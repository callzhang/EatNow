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70" yWindow="555" windowWidth="14055" windowHeight="10170" activeTab="4"/>
  </bookViews>
  <sheets>
    <sheet name="Algorithm" sheetId="1" r:id="rId1"/>
    <sheet name="User data" sheetId="2" r:id="rId2"/>
    <sheet name="Preference" sheetId="3" r:id="rId3"/>
    <sheet name="correlation" sheetId="4" r:id="rId4"/>
    <sheet name="corr_components" sheetId="5" r:id="rId5"/>
    <sheet name="Cuision" sheetId="6" r:id="rId6"/>
    <sheet name="Countries" sheetId="7" r:id="rId7"/>
  </sheets>
  <functionGroups builtInGroupCount="17"/>
  <definedNames>
    <definedName name="_xlnm._FilterDatabase" localSheetId="5" hidden="1">Cuision!$G$1:$M$79</definedName>
  </definedNames>
  <calcPr calcId="145621"/>
</workbook>
</file>

<file path=xl/calcChain.xml><?xml version="1.0" encoding="utf-8"?>
<calcChain xmlns="http://schemas.openxmlformats.org/spreadsheetml/2006/main">
  <c r="B87" i="5" l="1"/>
  <c r="B86" i="5"/>
  <c r="C85" i="5"/>
  <c r="C169" i="5" s="1"/>
  <c r="J81" i="5"/>
  <c r="D86" i="5"/>
  <c r="D170" i="5" s="1"/>
  <c r="E87" i="5"/>
  <c r="E171" i="5" s="1"/>
  <c r="F88" i="5"/>
  <c r="F172" i="5" s="1"/>
  <c r="G89" i="5"/>
  <c r="G173" i="5" s="1"/>
  <c r="H90" i="5"/>
  <c r="H174" i="5" s="1"/>
  <c r="I91" i="5"/>
  <c r="I175" i="5" s="1"/>
  <c r="J92" i="5"/>
  <c r="J176" i="5" s="1"/>
  <c r="K93" i="5"/>
  <c r="K177" i="5" s="1"/>
  <c r="L94" i="5"/>
  <c r="L178" i="5" s="1"/>
  <c r="M95" i="5"/>
  <c r="M179" i="5" s="1"/>
  <c r="BM95" i="5"/>
  <c r="N96" i="5"/>
  <c r="N180" i="5" s="1"/>
  <c r="O97" i="5"/>
  <c r="O181" i="5" s="1"/>
  <c r="P98" i="5"/>
  <c r="P182" i="5" s="1"/>
  <c r="Q99" i="5"/>
  <c r="Q183" i="5" s="1"/>
  <c r="R100" i="5"/>
  <c r="R184" i="5" s="1"/>
  <c r="S101" i="5"/>
  <c r="S185" i="5" s="1"/>
  <c r="T102" i="5"/>
  <c r="T186" i="5" s="1"/>
  <c r="U103" i="5"/>
  <c r="U187" i="5" s="1"/>
  <c r="V104" i="5"/>
  <c r="V188" i="5" s="1"/>
  <c r="W105" i="5"/>
  <c r="W189" i="5" s="1"/>
  <c r="X106" i="5"/>
  <c r="X190" i="5" s="1"/>
  <c r="Y107" i="5"/>
  <c r="Y191" i="5" s="1"/>
  <c r="Z108" i="5"/>
  <c r="Z192" i="5" s="1"/>
  <c r="AA109" i="5"/>
  <c r="AA193" i="5" s="1"/>
  <c r="AB110" i="5"/>
  <c r="AB194" i="5" s="1"/>
  <c r="AC111" i="5"/>
  <c r="AC195" i="5" s="1"/>
  <c r="AD112" i="5"/>
  <c r="AD196" i="5" s="1"/>
  <c r="AE113" i="5"/>
  <c r="AF114" i="5"/>
  <c r="AF198" i="5" s="1"/>
  <c r="AG115" i="5"/>
  <c r="AG199" i="5" s="1"/>
  <c r="AH116" i="5"/>
  <c r="AH200" i="5" s="1"/>
  <c r="AI117" i="5"/>
  <c r="AI201" i="5" s="1"/>
  <c r="AJ118" i="5"/>
  <c r="AJ202" i="5" s="1"/>
  <c r="AK119" i="5"/>
  <c r="AK203" i="5" s="1"/>
  <c r="AL120" i="5"/>
  <c r="AL204" i="5" s="1"/>
  <c r="AM121" i="5"/>
  <c r="AM205" i="5" s="1"/>
  <c r="AN122" i="5"/>
  <c r="AN206" i="5" s="1"/>
  <c r="AO123" i="5"/>
  <c r="AO207" i="5" s="1"/>
  <c r="AP124" i="5"/>
  <c r="AP208" i="5" s="1"/>
  <c r="AQ125" i="5"/>
  <c r="AQ209" i="5" s="1"/>
  <c r="AR126" i="5"/>
  <c r="AR210" i="5" s="1"/>
  <c r="AS127" i="5"/>
  <c r="AS211" i="5" s="1"/>
  <c r="AT128" i="5"/>
  <c r="AT212" i="5" s="1"/>
  <c r="AU129" i="5"/>
  <c r="AU213" i="5" s="1"/>
  <c r="AV130" i="5"/>
  <c r="AV214" i="5" s="1"/>
  <c r="AW131" i="5"/>
  <c r="AX132" i="5"/>
  <c r="AY133" i="5"/>
  <c r="AY217" i="5" s="1"/>
  <c r="AZ134" i="5"/>
  <c r="AZ218" i="5" s="1"/>
  <c r="BA135" i="5"/>
  <c r="BA219" i="5" s="1"/>
  <c r="BB136" i="5"/>
  <c r="BB220" i="5" s="1"/>
  <c r="BC137" i="5"/>
  <c r="BC221" i="5" s="1"/>
  <c r="BD138" i="5"/>
  <c r="BD222" i="5" s="1"/>
  <c r="BE139" i="5"/>
  <c r="BE223" i="5" s="1"/>
  <c r="BF140" i="5"/>
  <c r="BF224" i="5" s="1"/>
  <c r="BG141" i="5"/>
  <c r="BG225" i="5" s="1"/>
  <c r="BH142" i="5"/>
  <c r="BH226" i="5" s="1"/>
  <c r="BI143" i="5"/>
  <c r="BJ144" i="5"/>
  <c r="BJ228" i="5" s="1"/>
  <c r="BK145" i="5"/>
  <c r="BK229" i="5" s="1"/>
  <c r="BL146" i="5"/>
  <c r="BL230" i="5" s="1"/>
  <c r="M147" i="5"/>
  <c r="M231" i="5" s="1"/>
  <c r="BM147" i="5"/>
  <c r="BN148" i="5"/>
  <c r="BN232" i="5" s="1"/>
  <c r="BO149" i="5"/>
  <c r="BO233" i="5" s="1"/>
  <c r="BP150" i="5"/>
  <c r="BP234" i="5" s="1"/>
  <c r="BQ151" i="5"/>
  <c r="BQ235" i="5" s="1"/>
  <c r="BR152" i="5"/>
  <c r="BR236" i="5" s="1"/>
  <c r="BS153" i="5"/>
  <c r="BS237" i="5" s="1"/>
  <c r="BT154" i="5"/>
  <c r="BU155" i="5"/>
  <c r="BU239" i="5" s="1"/>
  <c r="BV156" i="5"/>
  <c r="BV240" i="5" s="1"/>
  <c r="BW157" i="5"/>
  <c r="BW241" i="5" s="1"/>
  <c r="BX158" i="5"/>
  <c r="BX242" i="5" s="1"/>
  <c r="BY159" i="5"/>
  <c r="BY243" i="5" s="1"/>
  <c r="BZ160" i="5"/>
  <c r="BZ244" i="5" s="1"/>
  <c r="CA161" i="5"/>
  <c r="CA245" i="5" s="1"/>
  <c r="O3" i="6"/>
  <c r="P3" i="6"/>
  <c r="O4" i="6"/>
  <c r="P4" i="6"/>
  <c r="O5" i="6"/>
  <c r="P5" i="6"/>
  <c r="O6" i="6"/>
  <c r="P6" i="6"/>
  <c r="O7" i="6"/>
  <c r="P7" i="6"/>
  <c r="O8" i="6"/>
  <c r="P8" i="6"/>
  <c r="O9" i="6"/>
  <c r="P9" i="6"/>
  <c r="O10" i="6"/>
  <c r="P10" i="6"/>
  <c r="O11" i="6"/>
  <c r="P11" i="6"/>
  <c r="O12" i="6"/>
  <c r="P12" i="6"/>
  <c r="O13" i="6"/>
  <c r="P13" i="6"/>
  <c r="O14" i="6"/>
  <c r="P14" i="6"/>
  <c r="O15" i="6"/>
  <c r="P15" i="6"/>
  <c r="O16" i="6"/>
  <c r="P16" i="6"/>
  <c r="O17" i="6"/>
  <c r="P17" i="6"/>
  <c r="O18" i="6"/>
  <c r="P18" i="6"/>
  <c r="O19" i="6"/>
  <c r="P19" i="6"/>
  <c r="O20" i="6"/>
  <c r="P20" i="6"/>
  <c r="O21" i="6"/>
  <c r="P21" i="6"/>
  <c r="O22" i="6"/>
  <c r="P22" i="6"/>
  <c r="O23" i="6"/>
  <c r="P23" i="6"/>
  <c r="O24" i="6"/>
  <c r="P24" i="6"/>
  <c r="O25" i="6"/>
  <c r="P25" i="6"/>
  <c r="O26" i="6"/>
  <c r="P26" i="6"/>
  <c r="O27" i="6"/>
  <c r="P27" i="6"/>
  <c r="O28" i="6"/>
  <c r="P28" i="6"/>
  <c r="O29" i="6"/>
  <c r="P29" i="6"/>
  <c r="O30" i="6"/>
  <c r="P30" i="6"/>
  <c r="O31" i="6"/>
  <c r="P31" i="6"/>
  <c r="O32" i="6"/>
  <c r="P32" i="6"/>
  <c r="O33" i="6"/>
  <c r="P33" i="6"/>
  <c r="O34" i="6"/>
  <c r="P34" i="6"/>
  <c r="O35" i="6"/>
  <c r="P35" i="6"/>
  <c r="O36" i="6"/>
  <c r="P36" i="6"/>
  <c r="O37" i="6"/>
  <c r="P37" i="6"/>
  <c r="O38" i="6"/>
  <c r="P38" i="6"/>
  <c r="O39" i="6"/>
  <c r="P39" i="6"/>
  <c r="O40" i="6"/>
  <c r="P40" i="6"/>
  <c r="O41" i="6"/>
  <c r="P41" i="6"/>
  <c r="O42" i="6"/>
  <c r="P42" i="6"/>
  <c r="O43" i="6"/>
  <c r="P43" i="6"/>
  <c r="O44" i="6"/>
  <c r="P44" i="6"/>
  <c r="O45" i="6"/>
  <c r="P45" i="6"/>
  <c r="O46" i="6"/>
  <c r="P46" i="6"/>
  <c r="O47" i="6"/>
  <c r="P47" i="6"/>
  <c r="O48" i="6"/>
  <c r="P48" i="6"/>
  <c r="O49" i="6"/>
  <c r="P49" i="6"/>
  <c r="O50" i="6"/>
  <c r="P50" i="6"/>
  <c r="O51" i="6"/>
  <c r="P51" i="6"/>
  <c r="O52" i="6"/>
  <c r="P52" i="6"/>
  <c r="O53" i="6"/>
  <c r="P53" i="6"/>
  <c r="O54" i="6"/>
  <c r="P54" i="6"/>
  <c r="O55" i="6"/>
  <c r="P55" i="6"/>
  <c r="O56" i="6"/>
  <c r="P56" i="6"/>
  <c r="O57" i="6"/>
  <c r="P57" i="6"/>
  <c r="O58" i="6"/>
  <c r="P58" i="6"/>
  <c r="O59" i="6"/>
  <c r="P59" i="6"/>
  <c r="O60" i="6"/>
  <c r="P60" i="6"/>
  <c r="O61" i="6"/>
  <c r="P61" i="6"/>
  <c r="O62" i="6"/>
  <c r="P62" i="6"/>
  <c r="O63" i="6"/>
  <c r="P63" i="6"/>
  <c r="O64" i="6"/>
  <c r="P64" i="6"/>
  <c r="O65" i="6"/>
  <c r="P65" i="6"/>
  <c r="O66" i="6"/>
  <c r="P66" i="6"/>
  <c r="O67" i="6"/>
  <c r="P67" i="6"/>
  <c r="O68" i="6"/>
  <c r="P68" i="6"/>
  <c r="O69" i="6"/>
  <c r="P69" i="6"/>
  <c r="O70" i="6"/>
  <c r="P70" i="6"/>
  <c r="O71" i="6"/>
  <c r="P71" i="6"/>
  <c r="O72" i="6"/>
  <c r="P72" i="6"/>
  <c r="O73" i="6"/>
  <c r="P73" i="6"/>
  <c r="O74" i="6"/>
  <c r="P74" i="6"/>
  <c r="O75" i="6"/>
  <c r="P75" i="6"/>
  <c r="O76" i="6"/>
  <c r="P76" i="6"/>
  <c r="O77" i="6"/>
  <c r="P77" i="6"/>
  <c r="O78" i="6"/>
  <c r="P78" i="6"/>
  <c r="O79" i="6"/>
  <c r="P79" i="6"/>
  <c r="P2" i="6"/>
  <c r="O2" i="6"/>
  <c r="B84" i="5"/>
  <c r="B168" i="5" s="1"/>
  <c r="AW215" i="5"/>
  <c r="AX216" i="5"/>
  <c r="BI227" i="5"/>
  <c r="BT238" i="5"/>
  <c r="D122" i="6"/>
  <c r="E122" i="6" s="1"/>
  <c r="D121" i="6"/>
  <c r="E121" i="6" s="1"/>
  <c r="D120" i="6"/>
  <c r="E120" i="6" s="1"/>
  <c r="D119" i="6"/>
  <c r="E119" i="6" s="1"/>
  <c r="D118" i="6"/>
  <c r="E118" i="6" s="1"/>
  <c r="D117" i="6"/>
  <c r="E117" i="6" s="1"/>
  <c r="D116" i="6"/>
  <c r="E116" i="6" s="1"/>
  <c r="D115" i="6"/>
  <c r="D114" i="6"/>
  <c r="D113" i="6"/>
  <c r="E113" i="6" s="1"/>
  <c r="D112" i="6"/>
  <c r="E112" i="6" s="1"/>
  <c r="D111" i="6"/>
  <c r="E110" i="6"/>
  <c r="D110" i="6"/>
  <c r="E109" i="6"/>
  <c r="D109" i="6"/>
  <c r="E108" i="6"/>
  <c r="D108" i="6"/>
  <c r="D107" i="6"/>
  <c r="D106" i="6"/>
  <c r="E106" i="6" s="1"/>
  <c r="D105" i="6"/>
  <c r="E105" i="6" s="1"/>
  <c r="D104" i="6"/>
  <c r="E104" i="6" s="1"/>
  <c r="D103" i="6"/>
  <c r="E103" i="6" s="1"/>
  <c r="D102" i="6"/>
  <c r="E102" i="6" s="1"/>
  <c r="D101" i="6"/>
  <c r="E101" i="6" s="1"/>
  <c r="D100" i="6"/>
  <c r="D99" i="6"/>
  <c r="E99" i="6" s="1"/>
  <c r="E98" i="6"/>
  <c r="D98" i="6"/>
  <c r="E97" i="6"/>
  <c r="D97" i="6"/>
  <c r="E96" i="6"/>
  <c r="D96" i="6"/>
  <c r="D95" i="6"/>
  <c r="D94" i="6"/>
  <c r="E94" i="6" s="1"/>
  <c r="D93" i="6"/>
  <c r="E93" i="6" s="1"/>
  <c r="D92" i="6"/>
  <c r="E92" i="6" s="1"/>
  <c r="D91" i="6"/>
  <c r="E91" i="6" s="1"/>
  <c r="D90" i="6"/>
  <c r="E90" i="6" s="1"/>
  <c r="D89" i="6"/>
  <c r="D88" i="6"/>
  <c r="D87" i="6"/>
  <c r="D86" i="6"/>
  <c r="E86" i="6" s="1"/>
  <c r="E87" i="6" s="1"/>
  <c r="E88" i="6" s="1"/>
  <c r="E85" i="6"/>
  <c r="D85" i="6"/>
  <c r="D84" i="6"/>
  <c r="E83" i="6"/>
  <c r="E84" i="6" s="1"/>
  <c r="D83" i="6"/>
  <c r="E82" i="6"/>
  <c r="D82" i="6"/>
  <c r="D81" i="6"/>
  <c r="D80" i="6"/>
  <c r="D79" i="6"/>
  <c r="D78" i="6"/>
  <c r="D77" i="6"/>
  <c r="E77" i="6" s="1"/>
  <c r="E78" i="6" s="1"/>
  <c r="E79" i="6" s="1"/>
  <c r="E80" i="6" s="1"/>
  <c r="D76" i="6"/>
  <c r="E76" i="6" s="1"/>
  <c r="D75" i="6"/>
  <c r="E75" i="6" s="1"/>
  <c r="D74" i="6"/>
  <c r="E74" i="6" s="1"/>
  <c r="D73" i="6"/>
  <c r="D72" i="6"/>
  <c r="D71" i="6"/>
  <c r="E71" i="6" s="1"/>
  <c r="E72" i="6" s="1"/>
  <c r="E73" i="6" s="1"/>
  <c r="D70" i="6"/>
  <c r="E70" i="6" s="1"/>
  <c r="D69" i="6"/>
  <c r="E69" i="6" s="1"/>
  <c r="D68" i="6"/>
  <c r="E68" i="6" s="1"/>
  <c r="D67" i="6"/>
  <c r="E67" i="6" s="1"/>
  <c r="D66" i="6"/>
  <c r="E65" i="6"/>
  <c r="D65" i="6"/>
  <c r="E64" i="6"/>
  <c r="D64" i="6"/>
  <c r="D63" i="6"/>
  <c r="D62" i="6"/>
  <c r="E62" i="6" s="1"/>
  <c r="D61" i="6"/>
  <c r="E61" i="6" s="1"/>
  <c r="D60" i="6"/>
  <c r="E60" i="6" s="1"/>
  <c r="D59" i="6"/>
  <c r="E59" i="6" s="1"/>
  <c r="D58" i="6"/>
  <c r="E58" i="6" s="1"/>
  <c r="D57" i="6"/>
  <c r="E57" i="6" s="1"/>
  <c r="D56" i="6"/>
  <c r="D55" i="6"/>
  <c r="E55" i="6" s="1"/>
  <c r="D54" i="6"/>
  <c r="D53" i="6"/>
  <c r="D52" i="6"/>
  <c r="D51" i="6"/>
  <c r="E50" i="6"/>
  <c r="D50" i="6"/>
  <c r="E49" i="6"/>
  <c r="D49" i="6"/>
  <c r="D48" i="6"/>
  <c r="E48" i="6" s="1"/>
  <c r="D47" i="6"/>
  <c r="D46" i="6"/>
  <c r="E45" i="6"/>
  <c r="D45" i="6"/>
  <c r="E44" i="6"/>
  <c r="D44" i="6"/>
  <c r="D43" i="6"/>
  <c r="D42" i="6"/>
  <c r="E42" i="6" s="1"/>
  <c r="D41" i="6"/>
  <c r="D40" i="6"/>
  <c r="D39" i="6"/>
  <c r="D38" i="6"/>
  <c r="D37" i="6"/>
  <c r="E37" i="6" s="1"/>
  <c r="E38" i="6" s="1"/>
  <c r="E39" i="6" s="1"/>
  <c r="E40" i="6" s="1"/>
  <c r="E41" i="6" s="1"/>
  <c r="D36" i="6"/>
  <c r="D35" i="6"/>
  <c r="D34" i="6"/>
  <c r="E34" i="6" s="1"/>
  <c r="D33" i="6"/>
  <c r="D32" i="6"/>
  <c r="D31" i="6"/>
  <c r="D30" i="6"/>
  <c r="D29" i="6"/>
  <c r="D28" i="6"/>
  <c r="E28" i="6" s="1"/>
  <c r="E29" i="6" s="1"/>
  <c r="E30" i="6" s="1"/>
  <c r="E31" i="6" s="1"/>
  <c r="E32" i="6" s="1"/>
  <c r="E33" i="6" s="1"/>
  <c r="D27" i="6"/>
  <c r="D26" i="6"/>
  <c r="D25" i="6"/>
  <c r="E25" i="6" s="1"/>
  <c r="E24" i="6"/>
  <c r="D24" i="6"/>
  <c r="D23" i="6"/>
  <c r="D22" i="6"/>
  <c r="E22" i="6" s="1"/>
  <c r="E21" i="6"/>
  <c r="D21" i="6"/>
  <c r="E20" i="6"/>
  <c r="D20" i="6"/>
  <c r="D19" i="6"/>
  <c r="E19" i="6" s="1"/>
  <c r="D18" i="6"/>
  <c r="D17" i="6"/>
  <c r="E17" i="6" s="1"/>
  <c r="E16" i="6"/>
  <c r="D16" i="6"/>
  <c r="D15" i="6"/>
  <c r="E14" i="6"/>
  <c r="D14" i="6"/>
  <c r="E13" i="6"/>
  <c r="D13" i="6"/>
  <c r="E12" i="6"/>
  <c r="D12" i="6"/>
  <c r="E11" i="6"/>
  <c r="D11" i="6"/>
  <c r="E10" i="6"/>
  <c r="D10" i="6"/>
  <c r="E9" i="6"/>
  <c r="D9" i="6"/>
  <c r="E8" i="6"/>
  <c r="D8" i="6"/>
  <c r="E7" i="6"/>
  <c r="D7" i="6"/>
  <c r="E6" i="6"/>
  <c r="D6" i="6"/>
  <c r="E5" i="6"/>
  <c r="D5" i="6"/>
  <c r="D4" i="6"/>
  <c r="E3" i="6"/>
  <c r="E4" i="6" s="1"/>
  <c r="D3" i="6"/>
  <c r="E2" i="6"/>
  <c r="D2" i="6"/>
  <c r="CB79" i="3"/>
  <c r="CA79" i="3"/>
  <c r="BZ79" i="3"/>
  <c r="AQ79" i="3"/>
  <c r="AK79" i="3"/>
  <c r="AJ79" i="3"/>
  <c r="AH79" i="3"/>
  <c r="AB79" i="3"/>
  <c r="M79" i="3"/>
  <c r="L79" i="3"/>
  <c r="F79" i="3" a="1"/>
  <c r="F79" i="3"/>
  <c r="B79" i="3"/>
  <c r="BY78" i="3"/>
  <c r="BW78" i="3"/>
  <c r="BV78" i="3"/>
  <c r="BU78" i="3"/>
  <c r="BP78" i="3"/>
  <c r="BO78" i="3"/>
  <c r="BN78" i="3"/>
  <c r="BM78" i="3"/>
  <c r="BF78" i="3"/>
  <c r="BE78" i="3"/>
  <c r="BA78" i="3"/>
  <c r="AY78" i="3"/>
  <c r="AW78" i="3"/>
  <c r="AT78" i="3"/>
  <c r="AS78" i="3"/>
  <c r="AR78" i="3"/>
  <c r="AL78" i="3"/>
  <c r="AK78" i="3"/>
  <c r="AG78" i="3"/>
  <c r="AF78" i="3"/>
  <c r="AD78" i="3"/>
  <c r="Z78" i="3"/>
  <c r="Y78" i="3"/>
  <c r="U78" i="3"/>
  <c r="Q78" i="3"/>
  <c r="P78" i="3"/>
  <c r="O78" i="3"/>
  <c r="J78" i="3"/>
  <c r="I78" i="3"/>
  <c r="H78" i="3"/>
  <c r="F78" i="3"/>
  <c r="B78" i="3"/>
  <c r="F78" i="3" s="1" a="1"/>
  <c r="BR77" i="3"/>
  <c r="BO77" i="3"/>
  <c r="BA77" i="3"/>
  <c r="AZ77" i="3"/>
  <c r="AW77" i="3"/>
  <c r="X77" i="3"/>
  <c r="S77" i="3"/>
  <c r="R77" i="3"/>
  <c r="N77" i="3"/>
  <c r="B77" i="3"/>
  <c r="F77" i="3" s="1" a="1"/>
  <c r="BB77" i="3" s="1"/>
  <c r="CE76" i="3"/>
  <c r="BT76" i="3"/>
  <c r="BS76" i="3"/>
  <c r="BJ76" i="3"/>
  <c r="BI76" i="3"/>
  <c r="BF76" i="3"/>
  <c r="BC76" i="3"/>
  <c r="AY76" i="3"/>
  <c r="AW76" i="3"/>
  <c r="AV76" i="3"/>
  <c r="AB76" i="3"/>
  <c r="AA76" i="3"/>
  <c r="Z76" i="3"/>
  <c r="Y76" i="3"/>
  <c r="W76" i="3"/>
  <c r="V76" i="3"/>
  <c r="I76" i="3"/>
  <c r="H76" i="3"/>
  <c r="G76" i="3"/>
  <c r="B76" i="3"/>
  <c r="F76" i="3" s="1" a="1"/>
  <c r="BW76" i="3" s="1"/>
  <c r="CB75" i="3"/>
  <c r="CA75" i="3"/>
  <c r="BN75" i="3"/>
  <c r="BM75" i="3"/>
  <c r="BL75" i="3"/>
  <c r="BH75" i="3"/>
  <c r="BG75" i="3"/>
  <c r="BF75" i="3"/>
  <c r="BE75" i="3"/>
  <c r="AW75" i="3"/>
  <c r="AQ75" i="3"/>
  <c r="AK75" i="3"/>
  <c r="AJ75" i="3"/>
  <c r="AH75" i="3"/>
  <c r="AD75" i="3"/>
  <c r="AC75" i="3"/>
  <c r="AB75" i="3"/>
  <c r="R75" i="3"/>
  <c r="P75" i="3"/>
  <c r="M75" i="3"/>
  <c r="H75" i="3"/>
  <c r="G75" i="3"/>
  <c r="F75" i="3" a="1"/>
  <c r="B75" i="3"/>
  <c r="CD74" i="3"/>
  <c r="CC74" i="3"/>
  <c r="BY74" i="3"/>
  <c r="BX74" i="3"/>
  <c r="BW74" i="3"/>
  <c r="BV74" i="3"/>
  <c r="BR74" i="3"/>
  <c r="BQ74" i="3"/>
  <c r="BP74" i="3"/>
  <c r="BO74" i="3"/>
  <c r="BN74" i="3"/>
  <c r="BK74" i="3"/>
  <c r="BJ74" i="3"/>
  <c r="BF74" i="3"/>
  <c r="BD74" i="3"/>
  <c r="BC74" i="3"/>
  <c r="BB74" i="3"/>
  <c r="BA74" i="3"/>
  <c r="AZ74" i="3"/>
  <c r="AW74" i="3"/>
  <c r="AT74" i="3"/>
  <c r="AS74" i="3"/>
  <c r="AR74" i="3"/>
  <c r="AP74" i="3"/>
  <c r="AN74" i="3"/>
  <c r="AM74" i="3"/>
  <c r="AL74" i="3"/>
  <c r="AG74" i="3"/>
  <c r="AF74" i="3"/>
  <c r="AE74" i="3"/>
  <c r="AD74" i="3"/>
  <c r="AB74" i="3"/>
  <c r="AA74" i="3"/>
  <c r="Z74" i="3"/>
  <c r="Y74" i="3"/>
  <c r="S74" i="3"/>
  <c r="R74" i="3"/>
  <c r="Q74" i="3"/>
  <c r="P74" i="3"/>
  <c r="N74" i="3"/>
  <c r="M74" i="3"/>
  <c r="J74" i="3"/>
  <c r="I74" i="3"/>
  <c r="H74" i="3"/>
  <c r="F74" i="3"/>
  <c r="B74" i="3"/>
  <c r="F74" i="3" s="1" a="1"/>
  <c r="CE73" i="3"/>
  <c r="CA73" i="3"/>
  <c r="BY73" i="3"/>
  <c r="BW73" i="3"/>
  <c r="BR73" i="3"/>
  <c r="BO73" i="3"/>
  <c r="BM73" i="3"/>
  <c r="BK73" i="3"/>
  <c r="BJ73" i="3"/>
  <c r="BI73" i="3"/>
  <c r="BF73" i="3"/>
  <c r="BC73" i="3"/>
  <c r="BA73" i="3"/>
  <c r="AV73" i="3"/>
  <c r="AP73" i="3"/>
  <c r="AO73" i="3"/>
  <c r="AN73" i="3"/>
  <c r="AM73" i="3"/>
  <c r="AK73" i="3"/>
  <c r="AJ73" i="3"/>
  <c r="AI73" i="3"/>
  <c r="AH73" i="3"/>
  <c r="Y73" i="3"/>
  <c r="V73" i="3"/>
  <c r="S73" i="3"/>
  <c r="R73" i="3"/>
  <c r="Q73" i="3"/>
  <c r="N73" i="3"/>
  <c r="M73" i="3"/>
  <c r="L73" i="3"/>
  <c r="F73" i="3"/>
  <c r="B73" i="3"/>
  <c r="F73" i="3" s="1" a="1"/>
  <c r="BX73" i="3" s="1"/>
  <c r="CC72" i="3"/>
  <c r="CB72" i="3"/>
  <c r="CA72" i="3"/>
  <c r="BX72" i="3"/>
  <c r="BV72" i="3"/>
  <c r="BU72" i="3"/>
  <c r="BT72" i="3"/>
  <c r="BS72" i="3"/>
  <c r="BR72" i="3"/>
  <c r="BO72" i="3"/>
  <c r="BL72" i="3"/>
  <c r="BK72" i="3"/>
  <c r="BJ72" i="3"/>
  <c r="BH72" i="3"/>
  <c r="BG72" i="3"/>
  <c r="BF72" i="3"/>
  <c r="BE72" i="3"/>
  <c r="BD72" i="3"/>
  <c r="AY72" i="3"/>
  <c r="AX72" i="3"/>
  <c r="AW72" i="3"/>
  <c r="AV72" i="3"/>
  <c r="AT72" i="3"/>
  <c r="AS72" i="3"/>
  <c r="AR72" i="3"/>
  <c r="AQ72" i="3"/>
  <c r="AN72" i="3"/>
  <c r="AK72" i="3"/>
  <c r="AJ72" i="3"/>
  <c r="AI72" i="3"/>
  <c r="AH72" i="3"/>
  <c r="AF72" i="3"/>
  <c r="AE72" i="3"/>
  <c r="AB72" i="3"/>
  <c r="AA72" i="3"/>
  <c r="Z72" i="3"/>
  <c r="W72" i="3"/>
  <c r="V72" i="3"/>
  <c r="U72" i="3"/>
  <c r="T72" i="3"/>
  <c r="P72" i="3"/>
  <c r="O72" i="3"/>
  <c r="N72" i="3"/>
  <c r="M72" i="3"/>
  <c r="L72" i="3"/>
  <c r="I72" i="3"/>
  <c r="H72" i="3"/>
  <c r="G72" i="3"/>
  <c r="B72" i="3"/>
  <c r="F72" i="3" s="1" a="1"/>
  <c r="CE71" i="3"/>
  <c r="CD71" i="3"/>
  <c r="CC71" i="3"/>
  <c r="CB71" i="3"/>
  <c r="CA71" i="3"/>
  <c r="BY71" i="3"/>
  <c r="BX71" i="3"/>
  <c r="BU71" i="3"/>
  <c r="BT71" i="3"/>
  <c r="BS71" i="3"/>
  <c r="BR71" i="3"/>
  <c r="BQ71" i="3"/>
  <c r="BP71" i="3"/>
  <c r="BO71" i="3"/>
  <c r="BN71" i="3"/>
  <c r="BM71" i="3"/>
  <c r="BI71" i="3"/>
  <c r="BH71" i="3"/>
  <c r="BG71" i="3"/>
  <c r="BF71" i="3"/>
  <c r="BE71" i="3"/>
  <c r="BD71" i="3"/>
  <c r="BC71" i="3"/>
  <c r="BB71" i="3"/>
  <c r="BA71" i="3"/>
  <c r="AZ71" i="3"/>
  <c r="AW71" i="3"/>
  <c r="AU71" i="3"/>
  <c r="AT71" i="3"/>
  <c r="AS71" i="3"/>
  <c r="AR71" i="3"/>
  <c r="AQ71" i="3"/>
  <c r="AP71" i="3"/>
  <c r="AO71" i="3"/>
  <c r="AN71" i="3"/>
  <c r="AK71" i="3"/>
  <c r="AJ71" i="3"/>
  <c r="AI71" i="3"/>
  <c r="AG71" i="3"/>
  <c r="AF71" i="3"/>
  <c r="AE71" i="3"/>
  <c r="AD71" i="3"/>
  <c r="AC71" i="3"/>
  <c r="AB71" i="3"/>
  <c r="Y71" i="3"/>
  <c r="X71" i="3"/>
  <c r="W71" i="3"/>
  <c r="V71" i="3"/>
  <c r="U71" i="3"/>
  <c r="S71" i="3"/>
  <c r="R71" i="3"/>
  <c r="Q71" i="3"/>
  <c r="P71" i="3"/>
  <c r="M71" i="3"/>
  <c r="L71" i="3"/>
  <c r="K71" i="3"/>
  <c r="J71" i="3"/>
  <c r="I71" i="3"/>
  <c r="H71" i="3"/>
  <c r="G71" i="3"/>
  <c r="F71" i="3" a="1"/>
  <c r="F71" i="3"/>
  <c r="B71" i="3"/>
  <c r="BY70" i="3"/>
  <c r="B70" i="3"/>
  <c r="F70" i="3" s="1" a="1"/>
  <c r="BO70" i="3" s="1"/>
  <c r="CE69" i="3"/>
  <c r="CC69" i="3"/>
  <c r="CA69" i="3"/>
  <c r="BZ69" i="3"/>
  <c r="BY69" i="3"/>
  <c r="BU69" i="3"/>
  <c r="BT69" i="3"/>
  <c r="BS69" i="3"/>
  <c r="BR69" i="3"/>
  <c r="BQ69" i="3"/>
  <c r="BO69" i="3"/>
  <c r="BM69" i="3"/>
  <c r="BL69" i="3"/>
  <c r="BK69" i="3"/>
  <c r="BH69" i="3"/>
  <c r="BG69" i="3"/>
  <c r="BE69" i="3"/>
  <c r="BC69" i="3"/>
  <c r="BB69" i="3"/>
  <c r="BA69" i="3"/>
  <c r="AZ69" i="3"/>
  <c r="AX69" i="3"/>
  <c r="AU69" i="3"/>
  <c r="AT69" i="3"/>
  <c r="AS69" i="3"/>
  <c r="AQ69" i="3"/>
  <c r="AP69" i="3"/>
  <c r="AN69" i="3"/>
  <c r="AM69" i="3"/>
  <c r="AL69" i="3"/>
  <c r="AK69" i="3"/>
  <c r="AG69" i="3"/>
  <c r="AE69" i="3"/>
  <c r="AD69" i="3"/>
  <c r="AC69" i="3"/>
  <c r="AB69" i="3"/>
  <c r="AA69" i="3"/>
  <c r="Z69" i="3"/>
  <c r="X69" i="3"/>
  <c r="U69" i="3"/>
  <c r="S69" i="3"/>
  <c r="Q69" i="3"/>
  <c r="P69" i="3"/>
  <c r="O69" i="3"/>
  <c r="N69" i="3"/>
  <c r="M69" i="3"/>
  <c r="L69" i="3"/>
  <c r="K69" i="3"/>
  <c r="G69" i="3"/>
  <c r="F69" i="3" a="1"/>
  <c r="F69" i="3"/>
  <c r="B69" i="3"/>
  <c r="CE68" i="3"/>
  <c r="BW68" i="3"/>
  <c r="BV68" i="3"/>
  <c r="BU68" i="3"/>
  <c r="BR68" i="3"/>
  <c r="BP68" i="3"/>
  <c r="BO68" i="3"/>
  <c r="BN68" i="3"/>
  <c r="BK68" i="3"/>
  <c r="BF68" i="3"/>
  <c r="BB68" i="3"/>
  <c r="AY68" i="3"/>
  <c r="AX68" i="3"/>
  <c r="AW68" i="3"/>
  <c r="AV68" i="3"/>
  <c r="AU68" i="3"/>
  <c r="AT68" i="3"/>
  <c r="AJ68" i="3"/>
  <c r="AI68" i="3"/>
  <c r="AH68" i="3"/>
  <c r="AG68" i="3"/>
  <c r="AF68" i="3"/>
  <c r="AE68" i="3"/>
  <c r="AD68" i="3"/>
  <c r="AA68" i="3"/>
  <c r="S68" i="3"/>
  <c r="R68" i="3"/>
  <c r="O68" i="3"/>
  <c r="N68" i="3"/>
  <c r="M68" i="3"/>
  <c r="L68" i="3"/>
  <c r="J68" i="3"/>
  <c r="G68" i="3"/>
  <c r="F68" i="3" a="1"/>
  <c r="CC68" i="3" s="1"/>
  <c r="B68" i="3"/>
  <c r="CC67" i="3"/>
  <c r="CB67" i="3"/>
  <c r="CA67" i="3"/>
  <c r="BY67" i="3"/>
  <c r="BX67" i="3"/>
  <c r="BS67" i="3"/>
  <c r="BR67" i="3"/>
  <c r="BQ67" i="3"/>
  <c r="BK67" i="3"/>
  <c r="BC67" i="3"/>
  <c r="BB67" i="3"/>
  <c r="BA67" i="3"/>
  <c r="AZ67" i="3"/>
  <c r="AR67" i="3"/>
  <c r="AO67" i="3"/>
  <c r="AN67" i="3"/>
  <c r="AM67" i="3"/>
  <c r="AJ67" i="3"/>
  <c r="W67" i="3"/>
  <c r="V67" i="3"/>
  <c r="U67" i="3"/>
  <c r="S67" i="3"/>
  <c r="R67" i="3"/>
  <c r="Q67" i="3"/>
  <c r="P67" i="3"/>
  <c r="O67" i="3"/>
  <c r="F67" i="3"/>
  <c r="B67" i="3"/>
  <c r="F67" i="3" s="1" a="1"/>
  <c r="BD67" i="3" s="1"/>
  <c r="CD66" i="3"/>
  <c r="CC66" i="3"/>
  <c r="CB66" i="3"/>
  <c r="CA66" i="3"/>
  <c r="BX66" i="3"/>
  <c r="BQ66" i="3"/>
  <c r="BP66" i="3"/>
  <c r="BO66" i="3"/>
  <c r="BN66" i="3"/>
  <c r="BM66" i="3"/>
  <c r="BJ66" i="3"/>
  <c r="BH66" i="3"/>
  <c r="BF66" i="3"/>
  <c r="BA66" i="3"/>
  <c r="AZ66" i="3"/>
  <c r="AY66" i="3"/>
  <c r="AT66" i="3"/>
  <c r="AS66" i="3"/>
  <c r="AR66" i="3"/>
  <c r="AQ66" i="3"/>
  <c r="AP66" i="3"/>
  <c r="AK66" i="3"/>
  <c r="AF66" i="3"/>
  <c r="AE66" i="3"/>
  <c r="AD66" i="3"/>
  <c r="AC66" i="3"/>
  <c r="AB66" i="3"/>
  <c r="AA66" i="3"/>
  <c r="Z66" i="3"/>
  <c r="Q66" i="3"/>
  <c r="P66" i="3"/>
  <c r="O66" i="3"/>
  <c r="N66" i="3"/>
  <c r="M66" i="3"/>
  <c r="L66" i="3"/>
  <c r="J66" i="3"/>
  <c r="I66" i="3"/>
  <c r="B66" i="3"/>
  <c r="F66" i="3" s="1" a="1"/>
  <c r="BR66" i="3" s="1"/>
  <c r="CC65" i="3"/>
  <c r="CA65" i="3"/>
  <c r="BZ65" i="3"/>
  <c r="BY65" i="3"/>
  <c r="BS65" i="3"/>
  <c r="AU65" i="3"/>
  <c r="AT65" i="3"/>
  <c r="AP65" i="3"/>
  <c r="AL65" i="3"/>
  <c r="AE65" i="3"/>
  <c r="AB65" i="3"/>
  <c r="U65" i="3"/>
  <c r="I65" i="3"/>
  <c r="F65" i="3" a="1"/>
  <c r="AV65" i="3" s="1"/>
  <c r="F65" i="3"/>
  <c r="B65" i="3"/>
  <c r="BX64" i="3"/>
  <c r="BW64" i="3"/>
  <c r="BV64" i="3"/>
  <c r="BT64" i="3"/>
  <c r="BR64" i="3"/>
  <c r="BP64" i="3"/>
  <c r="BI64" i="3"/>
  <c r="BH64" i="3"/>
  <c r="BG64" i="3"/>
  <c r="BF64" i="3"/>
  <c r="BE64" i="3"/>
  <c r="BD64" i="3"/>
  <c r="BB64" i="3"/>
  <c r="AT64" i="3"/>
  <c r="AR64" i="3"/>
  <c r="AQ64" i="3"/>
  <c r="AP64" i="3"/>
  <c r="AL64" i="3"/>
  <c r="AK64" i="3"/>
  <c r="AJ64" i="3"/>
  <c r="AE64" i="3"/>
  <c r="AD64" i="3"/>
  <c r="AB64" i="3"/>
  <c r="X64" i="3"/>
  <c r="V64" i="3"/>
  <c r="U64" i="3"/>
  <c r="O64" i="3"/>
  <c r="N64" i="3"/>
  <c r="L64" i="3"/>
  <c r="J64" i="3"/>
  <c r="I64" i="3"/>
  <c r="H64" i="3"/>
  <c r="G64" i="3"/>
  <c r="F64" i="3" a="1"/>
  <c r="BS64" i="3" s="1"/>
  <c r="B64" i="3"/>
  <c r="CE63" i="3"/>
  <c r="CB63" i="3"/>
  <c r="CA63" i="3"/>
  <c r="BY63" i="3"/>
  <c r="BX63" i="3"/>
  <c r="BW63" i="3"/>
  <c r="BU63" i="3"/>
  <c r="BT63" i="3"/>
  <c r="BS63" i="3"/>
  <c r="BR63" i="3"/>
  <c r="BO63" i="3"/>
  <c r="BM63" i="3"/>
  <c r="BK63" i="3"/>
  <c r="BI63" i="3"/>
  <c r="BH63" i="3"/>
  <c r="BG63" i="3"/>
  <c r="BF63" i="3"/>
  <c r="BE63" i="3"/>
  <c r="BD63" i="3"/>
  <c r="BB63" i="3"/>
  <c r="AZ63" i="3"/>
  <c r="AV63" i="3"/>
  <c r="AU63" i="3"/>
  <c r="AT63" i="3"/>
  <c r="AS63" i="3"/>
  <c r="AR63" i="3"/>
  <c r="AQ63" i="3"/>
  <c r="AO63" i="3"/>
  <c r="AN63" i="3"/>
  <c r="AM63" i="3"/>
  <c r="AJ63" i="3"/>
  <c r="AG63" i="3"/>
  <c r="AF63" i="3"/>
  <c r="AE63" i="3"/>
  <c r="AD63" i="3"/>
  <c r="AB63" i="3"/>
  <c r="AA63" i="3"/>
  <c r="Y63" i="3"/>
  <c r="X63" i="3"/>
  <c r="W63" i="3"/>
  <c r="T63" i="3"/>
  <c r="R63" i="3"/>
  <c r="Q63" i="3"/>
  <c r="O63" i="3"/>
  <c r="M63" i="3"/>
  <c r="L63" i="3"/>
  <c r="K63" i="3"/>
  <c r="J63" i="3"/>
  <c r="I63" i="3"/>
  <c r="H63" i="3"/>
  <c r="F63" i="3" a="1"/>
  <c r="CD63" i="3" s="1"/>
  <c r="F63" i="3"/>
  <c r="B63" i="3"/>
  <c r="CC62" i="3"/>
  <c r="CB62" i="3"/>
  <c r="CA62" i="3"/>
  <c r="AS62" i="3"/>
  <c r="AQ62" i="3"/>
  <c r="AL62" i="3"/>
  <c r="AK62" i="3"/>
  <c r="AJ62" i="3"/>
  <c r="S62" i="3"/>
  <c r="F62" i="3" a="1"/>
  <c r="B62" i="3"/>
  <c r="BU61" i="3"/>
  <c r="BT61" i="3"/>
  <c r="BR61" i="3"/>
  <c r="BQ61" i="3"/>
  <c r="BP61" i="3"/>
  <c r="BG61" i="3"/>
  <c r="BE61" i="3"/>
  <c r="AT61" i="3"/>
  <c r="AN61" i="3"/>
  <c r="AM61" i="3"/>
  <c r="AK61" i="3"/>
  <c r="AE61" i="3"/>
  <c r="AD61" i="3"/>
  <c r="O61" i="3"/>
  <c r="M61" i="3"/>
  <c r="L61" i="3"/>
  <c r="K61" i="3"/>
  <c r="J61" i="3"/>
  <c r="I61" i="3"/>
  <c r="B61" i="3"/>
  <c r="F61" i="3" s="1" a="1"/>
  <c r="BA60" i="3"/>
  <c r="AO60" i="3"/>
  <c r="F60" i="3" a="1"/>
  <c r="AG60" i="3" s="1"/>
  <c r="F60" i="3"/>
  <c r="B60" i="3"/>
  <c r="B59" i="3"/>
  <c r="F59" i="3" s="1" a="1"/>
  <c r="CE58" i="3"/>
  <c r="CD58" i="3"/>
  <c r="CC58" i="3"/>
  <c r="BH58" i="3"/>
  <c r="BG58" i="3"/>
  <c r="BF58" i="3"/>
  <c r="BE58" i="3"/>
  <c r="BD58" i="3"/>
  <c r="AT58" i="3"/>
  <c r="AS58" i="3"/>
  <c r="AK58" i="3"/>
  <c r="AF58" i="3"/>
  <c r="AA58" i="3"/>
  <c r="Y58" i="3"/>
  <c r="X58" i="3"/>
  <c r="W58" i="3"/>
  <c r="R58" i="3"/>
  <c r="B58" i="3"/>
  <c r="F58" i="3" s="1" a="1"/>
  <c r="BR58" i="3" s="1"/>
  <c r="CE57" i="3"/>
  <c r="CD57" i="3"/>
  <c r="CB57" i="3"/>
  <c r="CA57" i="3"/>
  <c r="BZ57" i="3"/>
  <c r="BY57" i="3"/>
  <c r="BX57" i="3"/>
  <c r="BR57" i="3"/>
  <c r="BM57" i="3"/>
  <c r="BL57" i="3"/>
  <c r="BK57" i="3"/>
  <c r="BI57" i="3"/>
  <c r="BD57" i="3"/>
  <c r="BB57" i="3"/>
  <c r="BA57" i="3"/>
  <c r="AZ57" i="3"/>
  <c r="AY57" i="3"/>
  <c r="AO57" i="3"/>
  <c r="AN57" i="3"/>
  <c r="AM57" i="3"/>
  <c r="AK57" i="3"/>
  <c r="AJ57" i="3"/>
  <c r="AI57" i="3"/>
  <c r="AH57" i="3"/>
  <c r="AG57" i="3"/>
  <c r="AA57" i="3"/>
  <c r="V57" i="3"/>
  <c r="U57" i="3"/>
  <c r="T57" i="3"/>
  <c r="S57" i="3"/>
  <c r="L57" i="3"/>
  <c r="K57" i="3"/>
  <c r="J57" i="3"/>
  <c r="I57" i="3"/>
  <c r="H57" i="3"/>
  <c r="F57" i="3" a="1"/>
  <c r="BN57" i="3" s="1"/>
  <c r="B57" i="3"/>
  <c r="CB56" i="3"/>
  <c r="CA56" i="3"/>
  <c r="BZ56" i="3"/>
  <c r="BY56" i="3"/>
  <c r="BX56" i="3"/>
  <c r="BW56" i="3"/>
  <c r="BH56" i="3"/>
  <c r="BF56" i="3"/>
  <c r="AZ56" i="3"/>
  <c r="AY56" i="3"/>
  <c r="AX56" i="3"/>
  <c r="AW56" i="3"/>
  <c r="AQ56" i="3"/>
  <c r="AF56" i="3"/>
  <c r="AD56" i="3"/>
  <c r="AC56" i="3"/>
  <c r="T56" i="3"/>
  <c r="S56" i="3"/>
  <c r="Q56" i="3"/>
  <c r="P56" i="3"/>
  <c r="F56" i="3" a="1"/>
  <c r="BJ56" i="3" s="1"/>
  <c r="B56" i="3"/>
  <c r="CD55" i="3"/>
  <c r="BX55" i="3"/>
  <c r="BW55" i="3"/>
  <c r="BV55" i="3"/>
  <c r="BT55" i="3"/>
  <c r="BS55" i="3"/>
  <c r="BR55" i="3"/>
  <c r="BQ55" i="3"/>
  <c r="BE55" i="3"/>
  <c r="BC55" i="3"/>
  <c r="BB55" i="3"/>
  <c r="BA55" i="3"/>
  <c r="AV55" i="3"/>
  <c r="AT55" i="3"/>
  <c r="AS55" i="3"/>
  <c r="AQ55" i="3"/>
  <c r="AM55" i="3"/>
  <c r="AG55" i="3"/>
  <c r="AC55" i="3"/>
  <c r="AB55" i="3"/>
  <c r="AA55" i="3"/>
  <c r="Z55" i="3"/>
  <c r="Y55" i="3"/>
  <c r="O55" i="3"/>
  <c r="N55" i="3"/>
  <c r="M55" i="3"/>
  <c r="L55" i="3"/>
  <c r="K55" i="3"/>
  <c r="B55" i="3"/>
  <c r="F55" i="3" s="1" a="1"/>
  <c r="CE54" i="3"/>
  <c r="CD54" i="3"/>
  <c r="BZ54" i="3"/>
  <c r="BS54" i="3"/>
  <c r="BR54" i="3"/>
  <c r="BQ54" i="3"/>
  <c r="BP54" i="3"/>
  <c r="BO54" i="3"/>
  <c r="AZ54" i="3"/>
  <c r="AY54" i="3"/>
  <c r="AX54" i="3"/>
  <c r="AV54" i="3"/>
  <c r="AQ54" i="3"/>
  <c r="AP54" i="3"/>
  <c r="AN54" i="3"/>
  <c r="AM54" i="3"/>
  <c r="Y54" i="3"/>
  <c r="X54" i="3"/>
  <c r="V54" i="3"/>
  <c r="U54" i="3"/>
  <c r="T54" i="3"/>
  <c r="K54" i="3"/>
  <c r="I54" i="3"/>
  <c r="H54" i="3"/>
  <c r="F54" i="3" a="1"/>
  <c r="BK54" i="3" s="1"/>
  <c r="B54" i="3"/>
  <c r="CA53" i="3"/>
  <c r="BU53" i="3"/>
  <c r="BT53" i="3"/>
  <c r="BO53" i="3"/>
  <c r="BN53" i="3"/>
  <c r="BL53" i="3"/>
  <c r="BK53" i="3"/>
  <c r="AU53" i="3"/>
  <c r="AS53" i="3"/>
  <c r="AR53" i="3"/>
  <c r="AK53" i="3"/>
  <c r="AJ53" i="3"/>
  <c r="AI53" i="3"/>
  <c r="T53" i="3"/>
  <c r="S53" i="3"/>
  <c r="R53" i="3"/>
  <c r="Q53" i="3"/>
  <c r="H53" i="3"/>
  <c r="G53" i="3"/>
  <c r="F53" i="3" a="1"/>
  <c r="B53" i="3"/>
  <c r="BY52" i="3"/>
  <c r="BX52" i="3"/>
  <c r="BT52" i="3"/>
  <c r="BS52" i="3"/>
  <c r="BM52" i="3"/>
  <c r="BL52" i="3"/>
  <c r="BK52" i="3"/>
  <c r="BJ52" i="3"/>
  <c r="AW52" i="3"/>
  <c r="AV52" i="3"/>
  <c r="AU52" i="3"/>
  <c r="AS52" i="3"/>
  <c r="AR52" i="3"/>
  <c r="AM52" i="3"/>
  <c r="AL52" i="3"/>
  <c r="AK52" i="3"/>
  <c r="X52" i="3"/>
  <c r="W52" i="3"/>
  <c r="U52" i="3"/>
  <c r="T52" i="3"/>
  <c r="S52" i="3"/>
  <c r="K52" i="3"/>
  <c r="I52" i="3"/>
  <c r="H52" i="3"/>
  <c r="F52" i="3" a="1"/>
  <c r="BG52" i="3" s="1"/>
  <c r="B52" i="3"/>
  <c r="CC51" i="3"/>
  <c r="CB51" i="3"/>
  <c r="BZ51" i="3"/>
  <c r="BY51" i="3"/>
  <c r="BX51" i="3"/>
  <c r="BW51" i="3"/>
  <c r="BV51" i="3"/>
  <c r="BU51" i="3"/>
  <c r="BP51" i="3"/>
  <c r="BN51" i="3"/>
  <c r="BM51" i="3"/>
  <c r="BL51" i="3"/>
  <c r="BK51" i="3"/>
  <c r="BJ51" i="3"/>
  <c r="BI51" i="3"/>
  <c r="BH51" i="3"/>
  <c r="BB51" i="3"/>
  <c r="BA51" i="3"/>
  <c r="AZ51" i="3"/>
  <c r="AY51" i="3"/>
  <c r="AX51" i="3"/>
  <c r="AW51" i="3"/>
  <c r="AV51" i="3"/>
  <c r="AU51" i="3"/>
  <c r="AO51" i="3"/>
  <c r="AN51" i="3"/>
  <c r="AM51" i="3"/>
  <c r="AL51" i="3"/>
  <c r="AK51" i="3"/>
  <c r="AJ51" i="3"/>
  <c r="AI51" i="3"/>
  <c r="AH51" i="3"/>
  <c r="AB51" i="3"/>
  <c r="AA51" i="3"/>
  <c r="Z51" i="3"/>
  <c r="Y51" i="3"/>
  <c r="X51" i="3"/>
  <c r="W51" i="3"/>
  <c r="V51" i="3"/>
  <c r="U51" i="3"/>
  <c r="O51" i="3"/>
  <c r="N51" i="3"/>
  <c r="M51" i="3"/>
  <c r="L51" i="3"/>
  <c r="K51" i="3"/>
  <c r="J51" i="3"/>
  <c r="I51" i="3"/>
  <c r="H51" i="3"/>
  <c r="F51" i="3" a="1"/>
  <c r="BS51" i="3" s="1"/>
  <c r="B51" i="3"/>
  <c r="BZ50" i="3"/>
  <c r="AK50" i="3"/>
  <c r="B50" i="3"/>
  <c r="F50" i="3" s="1" a="1"/>
  <c r="BI50" i="3" s="1"/>
  <c r="CE49" i="3"/>
  <c r="AS49" i="3"/>
  <c r="AO49" i="3"/>
  <c r="F49" i="3" a="1"/>
  <c r="BO49" i="3" s="1"/>
  <c r="F49" i="3"/>
  <c r="B49" i="3"/>
  <c r="BN48" i="3"/>
  <c r="BM48" i="3"/>
  <c r="BL48" i="3"/>
  <c r="BK48" i="3"/>
  <c r="BD48" i="3"/>
  <c r="BC48" i="3"/>
  <c r="BB48" i="3"/>
  <c r="AV48" i="3"/>
  <c r="AK48" i="3"/>
  <c r="AJ48" i="3"/>
  <c r="X48" i="3"/>
  <c r="T48" i="3"/>
  <c r="S48" i="3"/>
  <c r="R48" i="3"/>
  <c r="Q48" i="3"/>
  <c r="P48" i="3"/>
  <c r="B48" i="3"/>
  <c r="F48" i="3" s="1" a="1"/>
  <c r="CA48" i="3" s="1"/>
  <c r="CE47" i="3"/>
  <c r="CD47" i="3"/>
  <c r="CC47" i="3"/>
  <c r="BV47" i="3"/>
  <c r="BU47" i="3"/>
  <c r="BT47" i="3"/>
  <c r="BS47" i="3"/>
  <c r="BR47" i="3"/>
  <c r="BL47" i="3"/>
  <c r="BK47" i="3"/>
  <c r="BG47" i="3"/>
  <c r="BF47" i="3"/>
  <c r="BE47" i="3"/>
  <c r="BA47" i="3"/>
  <c r="AZ47" i="3"/>
  <c r="AY47" i="3"/>
  <c r="AX47" i="3"/>
  <c r="AW47" i="3"/>
  <c r="AN47" i="3"/>
  <c r="AM47" i="3"/>
  <c r="AL47" i="3"/>
  <c r="AK47" i="3"/>
  <c r="AJ47" i="3"/>
  <c r="AI47" i="3"/>
  <c r="AH47" i="3"/>
  <c r="AG47" i="3"/>
  <c r="Z47" i="3"/>
  <c r="Y47" i="3"/>
  <c r="V47" i="3"/>
  <c r="U47" i="3"/>
  <c r="Q47" i="3"/>
  <c r="P47" i="3"/>
  <c r="O47" i="3"/>
  <c r="K47" i="3"/>
  <c r="J47" i="3"/>
  <c r="I47" i="3"/>
  <c r="F47" i="3"/>
  <c r="B47" i="3"/>
  <c r="F47" i="3" s="1" a="1"/>
  <c r="BM47" i="3" s="1"/>
  <c r="CD46" i="3"/>
  <c r="CC46" i="3"/>
  <c r="BV46" i="3"/>
  <c r="BU46" i="3"/>
  <c r="BT46" i="3"/>
  <c r="BS46" i="3"/>
  <c r="BR46" i="3"/>
  <c r="BQ46" i="3"/>
  <c r="BO46" i="3"/>
  <c r="BF46" i="3"/>
  <c r="BE46" i="3"/>
  <c r="BD46" i="3"/>
  <c r="BC46" i="3"/>
  <c r="BB46" i="3"/>
  <c r="AX46" i="3"/>
  <c r="AW46" i="3"/>
  <c r="AV46" i="3"/>
  <c r="AQ46" i="3"/>
  <c r="AL46" i="3"/>
  <c r="AK46" i="3"/>
  <c r="AJ46" i="3"/>
  <c r="AI46" i="3"/>
  <c r="AH46" i="3"/>
  <c r="AD46" i="3"/>
  <c r="AB46" i="3"/>
  <c r="Z46" i="3"/>
  <c r="X46" i="3"/>
  <c r="U46" i="3"/>
  <c r="T46" i="3"/>
  <c r="N46" i="3"/>
  <c r="M46" i="3"/>
  <c r="L46" i="3"/>
  <c r="K46" i="3"/>
  <c r="J46" i="3"/>
  <c r="I46" i="3"/>
  <c r="G46" i="3"/>
  <c r="F46" i="3" a="1"/>
  <c r="CE46" i="3" s="1"/>
  <c r="B46" i="3"/>
  <c r="BX45" i="3"/>
  <c r="AM45" i="3"/>
  <c r="F45" i="3" a="1"/>
  <c r="F45" i="3"/>
  <c r="B45" i="3"/>
  <c r="BK44" i="3"/>
  <c r="BJ44" i="3"/>
  <c r="BI44" i="3"/>
  <c r="BH44" i="3"/>
  <c r="BF44" i="3"/>
  <c r="AC44" i="3"/>
  <c r="AB44" i="3"/>
  <c r="AA44" i="3"/>
  <c r="Z44" i="3"/>
  <c r="Y44" i="3"/>
  <c r="B44" i="3"/>
  <c r="F44" i="3" s="1" a="1"/>
  <c r="CD44" i="3" s="1"/>
  <c r="CE43" i="3"/>
  <c r="CD43" i="3"/>
  <c r="CC43" i="3"/>
  <c r="CA43" i="3"/>
  <c r="BY43" i="3"/>
  <c r="BX43" i="3"/>
  <c r="BT43" i="3"/>
  <c r="BS43" i="3"/>
  <c r="BR43" i="3"/>
  <c r="BQ43" i="3"/>
  <c r="BO43" i="3"/>
  <c r="BM43" i="3"/>
  <c r="BL43" i="3"/>
  <c r="BK43" i="3"/>
  <c r="BJ43" i="3"/>
  <c r="BF43" i="3"/>
  <c r="BE43" i="3"/>
  <c r="BC43" i="3"/>
  <c r="BA43" i="3"/>
  <c r="AZ43" i="3"/>
  <c r="AY43" i="3"/>
  <c r="AX43" i="3"/>
  <c r="AW43" i="3"/>
  <c r="AV43" i="3"/>
  <c r="AQ43" i="3"/>
  <c r="AO43" i="3"/>
  <c r="AN43" i="3"/>
  <c r="AM43" i="3"/>
  <c r="AL43" i="3"/>
  <c r="AK43" i="3"/>
  <c r="AJ43" i="3"/>
  <c r="AI43" i="3"/>
  <c r="AH43" i="3"/>
  <c r="AB43" i="3"/>
  <c r="AA43" i="3"/>
  <c r="Z43" i="3"/>
  <c r="Y43" i="3"/>
  <c r="X43" i="3"/>
  <c r="W43" i="3"/>
  <c r="V43" i="3"/>
  <c r="U43" i="3"/>
  <c r="S43" i="3"/>
  <c r="N43" i="3"/>
  <c r="M43" i="3"/>
  <c r="L43" i="3"/>
  <c r="K43" i="3"/>
  <c r="J43" i="3"/>
  <c r="I43" i="3"/>
  <c r="G43" i="3"/>
  <c r="F43" i="3"/>
  <c r="B43" i="3"/>
  <c r="F43" i="3" s="1" a="1"/>
  <c r="BV43" i="3" s="1"/>
  <c r="BZ42" i="3"/>
  <c r="BX42" i="3"/>
  <c r="BH42" i="3"/>
  <c r="BG42" i="3"/>
  <c r="BF42" i="3"/>
  <c r="BE42" i="3"/>
  <c r="BD42" i="3"/>
  <c r="AZ42" i="3"/>
  <c r="AX42" i="3"/>
  <c r="AI42" i="3"/>
  <c r="AH42" i="3"/>
  <c r="Z42" i="3"/>
  <c r="W42" i="3"/>
  <c r="V42" i="3"/>
  <c r="U42" i="3"/>
  <c r="T42" i="3"/>
  <c r="F42" i="3" a="1"/>
  <c r="B42" i="3"/>
  <c r="CE41" i="3"/>
  <c r="CD41" i="3"/>
  <c r="BU41" i="3"/>
  <c r="BS41" i="3"/>
  <c r="BR41" i="3"/>
  <c r="BP41" i="3"/>
  <c r="BD41" i="3"/>
  <c r="BC41" i="3"/>
  <c r="BB41" i="3"/>
  <c r="BA41" i="3"/>
  <c r="AZ41" i="3"/>
  <c r="AU41" i="3"/>
  <c r="AT41" i="3"/>
  <c r="AN41" i="3"/>
  <c r="AK41" i="3"/>
  <c r="AE41" i="3"/>
  <c r="AD41" i="3"/>
  <c r="V41" i="3"/>
  <c r="S41" i="3"/>
  <c r="R41" i="3"/>
  <c r="Q41" i="3"/>
  <c r="P41" i="3"/>
  <c r="O41" i="3"/>
  <c r="B41" i="3"/>
  <c r="F41" i="3" s="1" a="1"/>
  <c r="BN41" i="3" s="1"/>
  <c r="CD40" i="3"/>
  <c r="CB40" i="3"/>
  <c r="CA40" i="3"/>
  <c r="BZ40" i="3"/>
  <c r="BY40" i="3"/>
  <c r="BW40" i="3"/>
  <c r="BP40" i="3"/>
  <c r="BO40" i="3"/>
  <c r="BN40" i="3"/>
  <c r="BM40" i="3"/>
  <c r="BL40" i="3"/>
  <c r="BK40" i="3"/>
  <c r="BJ40" i="3"/>
  <c r="BI40" i="3"/>
  <c r="BC40" i="3"/>
  <c r="AZ40" i="3"/>
  <c r="AY40" i="3"/>
  <c r="AX40" i="3"/>
  <c r="AW40" i="3"/>
  <c r="AV40" i="3"/>
  <c r="AT40" i="3"/>
  <c r="AP40" i="3"/>
  <c r="AO40" i="3"/>
  <c r="AM40" i="3"/>
  <c r="AJ40" i="3"/>
  <c r="AH40" i="3"/>
  <c r="AF40" i="3"/>
  <c r="AE40" i="3"/>
  <c r="AB40" i="3"/>
  <c r="AA40" i="3"/>
  <c r="Z40" i="3"/>
  <c r="Y40" i="3"/>
  <c r="V40" i="3"/>
  <c r="R40" i="3"/>
  <c r="Q40" i="3"/>
  <c r="N40" i="3"/>
  <c r="M40" i="3"/>
  <c r="L40" i="3"/>
  <c r="J40" i="3"/>
  <c r="H40" i="3"/>
  <c r="G40" i="3"/>
  <c r="F40" i="3" a="1"/>
  <c r="BT40" i="3" s="1"/>
  <c r="F40" i="3"/>
  <c r="B40" i="3"/>
  <c r="CC39" i="3"/>
  <c r="CA39" i="3"/>
  <c r="BY39" i="3"/>
  <c r="BX39" i="3"/>
  <c r="BW39" i="3"/>
  <c r="BV39" i="3"/>
  <c r="BU39" i="3"/>
  <c r="BT39" i="3"/>
  <c r="BS39" i="3"/>
  <c r="BR39" i="3"/>
  <c r="BL39" i="3"/>
  <c r="BK39" i="3"/>
  <c r="BJ39" i="3"/>
  <c r="BI39" i="3"/>
  <c r="BH39" i="3"/>
  <c r="BG39" i="3"/>
  <c r="BF39" i="3"/>
  <c r="BE39" i="3"/>
  <c r="BC39" i="3"/>
  <c r="BA39" i="3"/>
  <c r="AY39" i="3"/>
  <c r="AW39" i="3"/>
  <c r="AV39" i="3"/>
  <c r="AU39" i="3"/>
  <c r="AT39" i="3"/>
  <c r="AS39" i="3"/>
  <c r="AQ39" i="3"/>
  <c r="AO39" i="3"/>
  <c r="AN39" i="3"/>
  <c r="AM39" i="3"/>
  <c r="AK39" i="3"/>
  <c r="AJ39" i="3"/>
  <c r="AH39" i="3"/>
  <c r="AG39" i="3"/>
  <c r="AE39" i="3"/>
  <c r="AC39" i="3"/>
  <c r="AB39" i="3"/>
  <c r="AA39" i="3"/>
  <c r="Z39" i="3"/>
  <c r="Y39" i="3"/>
  <c r="W39" i="3"/>
  <c r="V39" i="3"/>
  <c r="U39" i="3"/>
  <c r="Q39" i="3"/>
  <c r="P39" i="3"/>
  <c r="O39" i="3"/>
  <c r="N39" i="3"/>
  <c r="M39" i="3"/>
  <c r="L39" i="3"/>
  <c r="K39" i="3"/>
  <c r="I39" i="3"/>
  <c r="G39" i="3"/>
  <c r="F39" i="3"/>
  <c r="B39" i="3"/>
  <c r="F39" i="3" s="1" a="1"/>
  <c r="CD38" i="3"/>
  <c r="CC38" i="3"/>
  <c r="CB38" i="3"/>
  <c r="CA38" i="3"/>
  <c r="BZ38" i="3"/>
  <c r="BV38" i="3"/>
  <c r="BU38" i="3"/>
  <c r="BO38" i="3"/>
  <c r="BN38" i="3"/>
  <c r="BL38" i="3"/>
  <c r="BJ38" i="3"/>
  <c r="BH38" i="3"/>
  <c r="BG38" i="3"/>
  <c r="BF38" i="3"/>
  <c r="AX38" i="3"/>
  <c r="AW38" i="3"/>
  <c r="AV38" i="3"/>
  <c r="AT38" i="3"/>
  <c r="AS38" i="3"/>
  <c r="AR38" i="3"/>
  <c r="AQ38" i="3"/>
  <c r="AI38" i="3"/>
  <c r="AH38" i="3"/>
  <c r="AF38" i="3"/>
  <c r="AE38" i="3"/>
  <c r="AD38" i="3"/>
  <c r="AB38" i="3"/>
  <c r="Z38" i="3"/>
  <c r="T38" i="3"/>
  <c r="R38" i="3"/>
  <c r="P38" i="3"/>
  <c r="N38" i="3"/>
  <c r="M38" i="3"/>
  <c r="L38" i="3"/>
  <c r="K38" i="3"/>
  <c r="F38" i="3" a="1"/>
  <c r="B38" i="3"/>
  <c r="B37" i="3"/>
  <c r="F37" i="3" s="1" a="1"/>
  <c r="B36" i="3"/>
  <c r="F36" i="3" s="1" a="1"/>
  <c r="CE35" i="3"/>
  <c r="CD35" i="3"/>
  <c r="CC35" i="3"/>
  <c r="CA35" i="3"/>
  <c r="BY35" i="3"/>
  <c r="BX35" i="3"/>
  <c r="BV35" i="3"/>
  <c r="BU35" i="3"/>
  <c r="BT35" i="3"/>
  <c r="BS35" i="3"/>
  <c r="BR35" i="3"/>
  <c r="BQ35" i="3"/>
  <c r="BO35" i="3"/>
  <c r="BM35" i="3"/>
  <c r="BL35" i="3"/>
  <c r="BK35" i="3"/>
  <c r="BJ35" i="3"/>
  <c r="BH35" i="3"/>
  <c r="BG35" i="3"/>
  <c r="BF35" i="3"/>
  <c r="BE35" i="3"/>
  <c r="BC35" i="3"/>
  <c r="BA35" i="3"/>
  <c r="AZ35" i="3"/>
  <c r="AY35" i="3"/>
  <c r="AX35" i="3"/>
  <c r="AW35" i="3"/>
  <c r="AV35" i="3"/>
  <c r="AT35" i="3"/>
  <c r="AS35" i="3"/>
  <c r="AQ35" i="3"/>
  <c r="AO35" i="3"/>
  <c r="AN35" i="3"/>
  <c r="AM35" i="3"/>
  <c r="AL35" i="3"/>
  <c r="AK35" i="3"/>
  <c r="AJ35" i="3"/>
  <c r="AI35" i="3"/>
  <c r="AH35" i="3"/>
  <c r="AE35" i="3"/>
  <c r="AC35" i="3"/>
  <c r="AB35" i="3"/>
  <c r="AA35" i="3"/>
  <c r="Z35" i="3"/>
  <c r="Y35" i="3"/>
  <c r="X35" i="3"/>
  <c r="W35" i="3"/>
  <c r="V35" i="3"/>
  <c r="U35" i="3"/>
  <c r="S35" i="3"/>
  <c r="P35" i="3"/>
  <c r="O35" i="3"/>
  <c r="N35" i="3"/>
  <c r="M35" i="3"/>
  <c r="L35" i="3"/>
  <c r="K35" i="3"/>
  <c r="J35" i="3"/>
  <c r="I35" i="3"/>
  <c r="G35" i="3"/>
  <c r="F35" i="3"/>
  <c r="B35" i="3"/>
  <c r="F35" i="3" s="1" a="1"/>
  <c r="CB34" i="3"/>
  <c r="CA34" i="3"/>
  <c r="BZ34" i="3"/>
  <c r="BX34" i="3"/>
  <c r="BV34" i="3"/>
  <c r="BU34" i="3"/>
  <c r="BT34" i="3"/>
  <c r="BS34" i="3"/>
  <c r="BL34" i="3"/>
  <c r="BJ34" i="3"/>
  <c r="BI34" i="3"/>
  <c r="BH34" i="3"/>
  <c r="BG34" i="3"/>
  <c r="BF34" i="3"/>
  <c r="BE34" i="3"/>
  <c r="BC34" i="3"/>
  <c r="AV34" i="3"/>
  <c r="AU34" i="3"/>
  <c r="AT34" i="3"/>
  <c r="AS34" i="3"/>
  <c r="AR34" i="3"/>
  <c r="AQ34" i="3"/>
  <c r="AN34" i="3"/>
  <c r="AL34" i="3"/>
  <c r="AG34" i="3"/>
  <c r="AF34" i="3"/>
  <c r="AE34" i="3"/>
  <c r="AD34" i="3"/>
  <c r="AB34" i="3"/>
  <c r="Y34" i="3"/>
  <c r="X34" i="3"/>
  <c r="W34" i="3"/>
  <c r="R34" i="3"/>
  <c r="P34" i="3"/>
  <c r="N34" i="3"/>
  <c r="M34" i="3"/>
  <c r="K34" i="3"/>
  <c r="J34" i="3"/>
  <c r="I34" i="3"/>
  <c r="H34" i="3"/>
  <c r="F34" i="3" a="1"/>
  <c r="CD34" i="3" s="1"/>
  <c r="B34" i="3"/>
  <c r="CC33" i="3"/>
  <c r="CA33" i="3"/>
  <c r="BZ33" i="3"/>
  <c r="BY33" i="3"/>
  <c r="BX33" i="3"/>
  <c r="BW33" i="3"/>
  <c r="BF33" i="3"/>
  <c r="AY33" i="3"/>
  <c r="AW33" i="3"/>
  <c r="AU33" i="3"/>
  <c r="AT33" i="3"/>
  <c r="AS33" i="3"/>
  <c r="AD33" i="3"/>
  <c r="AC33" i="3"/>
  <c r="AB33" i="3"/>
  <c r="S33" i="3"/>
  <c r="R33" i="3"/>
  <c r="Q33" i="3"/>
  <c r="B33" i="3"/>
  <c r="F33" i="3" s="1" a="1"/>
  <c r="BM33" i="3" s="1"/>
  <c r="B32" i="3"/>
  <c r="F32" i="3" s="1" a="1"/>
  <c r="BW31" i="3"/>
  <c r="BV31" i="3"/>
  <c r="BC31" i="3"/>
  <c r="BA31" i="3"/>
  <c r="AB31" i="3"/>
  <c r="AA31" i="3"/>
  <c r="B31" i="3"/>
  <c r="F31" i="3" s="1" a="1"/>
  <c r="BS31" i="3" s="1"/>
  <c r="CE30" i="3"/>
  <c r="CD30" i="3"/>
  <c r="BR30" i="3"/>
  <c r="BQ30" i="3"/>
  <c r="BP30" i="3"/>
  <c r="BO30" i="3"/>
  <c r="BN30" i="3"/>
  <c r="BM30" i="3"/>
  <c r="BL30" i="3"/>
  <c r="BD30" i="3"/>
  <c r="AX30" i="3"/>
  <c r="AV30" i="3"/>
  <c r="AP30" i="3"/>
  <c r="AO30" i="3"/>
  <c r="AN30" i="3"/>
  <c r="AL30" i="3"/>
  <c r="AK30" i="3"/>
  <c r="AI30" i="3"/>
  <c r="X30" i="3"/>
  <c r="V30" i="3"/>
  <c r="U30" i="3"/>
  <c r="T30" i="3"/>
  <c r="M30" i="3"/>
  <c r="L30" i="3"/>
  <c r="K30" i="3"/>
  <c r="I30" i="3"/>
  <c r="F30" i="3" a="1"/>
  <c r="BZ30" i="3" s="1"/>
  <c r="B30" i="3"/>
  <c r="B29" i="3"/>
  <c r="F29" i="3" s="1" a="1"/>
  <c r="BX28" i="3"/>
  <c r="BW28" i="3"/>
  <c r="BV28" i="3"/>
  <c r="BU28" i="3"/>
  <c r="BT28" i="3"/>
  <c r="BS28" i="3"/>
  <c r="BR28" i="3"/>
  <c r="BJ28" i="3"/>
  <c r="BI28" i="3"/>
  <c r="BH28" i="3"/>
  <c r="BG28" i="3"/>
  <c r="BF28" i="3"/>
  <c r="BD28" i="3"/>
  <c r="BB28" i="3"/>
  <c r="AV28" i="3"/>
  <c r="AU28" i="3"/>
  <c r="AT28" i="3"/>
  <c r="AR28" i="3"/>
  <c r="AQ28" i="3"/>
  <c r="AO28" i="3"/>
  <c r="AN28" i="3"/>
  <c r="AH28" i="3"/>
  <c r="AF28" i="3"/>
  <c r="AE28" i="3"/>
  <c r="AD28" i="3"/>
  <c r="AB28" i="3"/>
  <c r="AA28" i="3"/>
  <c r="Z28" i="3"/>
  <c r="S28" i="3"/>
  <c r="R28" i="3"/>
  <c r="Q28" i="3"/>
  <c r="O28" i="3"/>
  <c r="N28" i="3"/>
  <c r="M28" i="3"/>
  <c r="L28" i="3"/>
  <c r="F28" i="3" a="1"/>
  <c r="CA28" i="3" s="1"/>
  <c r="F28" i="3"/>
  <c r="B28" i="3"/>
  <c r="CE27" i="3"/>
  <c r="CD27" i="3"/>
  <c r="CC27" i="3"/>
  <c r="CB27" i="3"/>
  <c r="BY27" i="3"/>
  <c r="BV27" i="3"/>
  <c r="BU27" i="3"/>
  <c r="BT27" i="3"/>
  <c r="BR27" i="3"/>
  <c r="BQ27" i="3"/>
  <c r="BP27" i="3"/>
  <c r="BO27" i="3"/>
  <c r="BM27" i="3"/>
  <c r="BK27" i="3"/>
  <c r="BH27" i="3"/>
  <c r="BG27" i="3"/>
  <c r="BE27" i="3"/>
  <c r="BD27" i="3"/>
  <c r="BC27" i="3"/>
  <c r="BA27" i="3"/>
  <c r="AZ27" i="3"/>
  <c r="AY27" i="3"/>
  <c r="AW27" i="3"/>
  <c r="AT27" i="3"/>
  <c r="AR27" i="3"/>
  <c r="AQ27" i="3"/>
  <c r="AO27" i="3"/>
  <c r="AN27" i="3"/>
  <c r="AM27" i="3"/>
  <c r="AL27" i="3"/>
  <c r="AK27" i="3"/>
  <c r="AI27" i="3"/>
  <c r="AE27" i="3"/>
  <c r="AC27" i="3"/>
  <c r="AB27" i="3"/>
  <c r="AA27" i="3"/>
  <c r="Z27" i="3"/>
  <c r="Y27" i="3"/>
  <c r="X27" i="3"/>
  <c r="W27" i="3"/>
  <c r="U27" i="3"/>
  <c r="P27" i="3"/>
  <c r="O27" i="3"/>
  <c r="N27" i="3"/>
  <c r="M27" i="3"/>
  <c r="L27" i="3"/>
  <c r="K27" i="3"/>
  <c r="J27" i="3"/>
  <c r="I27" i="3"/>
  <c r="G27" i="3"/>
  <c r="B27" i="3"/>
  <c r="F27" i="3" s="1" a="1"/>
  <c r="BZ26" i="3"/>
  <c r="BY26" i="3"/>
  <c r="BX26" i="3"/>
  <c r="BP26" i="3"/>
  <c r="AZ26" i="3"/>
  <c r="AX26" i="3"/>
  <c r="AW26" i="3"/>
  <c r="AV26" i="3"/>
  <c r="Y26" i="3"/>
  <c r="X26" i="3"/>
  <c r="W26" i="3"/>
  <c r="V26" i="3"/>
  <c r="F26" i="3" a="1"/>
  <c r="F26" i="3"/>
  <c r="B26" i="3"/>
  <c r="F25" i="3" a="1"/>
  <c r="BW25" i="3" s="1"/>
  <c r="BU24" i="3"/>
  <c r="BT24" i="3"/>
  <c r="BS24" i="3"/>
  <c r="BR24" i="3"/>
  <c r="BQ24" i="3"/>
  <c r="BO24" i="3"/>
  <c r="BN24" i="3"/>
  <c r="BA24" i="3"/>
  <c r="AY24" i="3"/>
  <c r="AS24" i="3"/>
  <c r="AQ24" i="3"/>
  <c r="AP24" i="3"/>
  <c r="AO24" i="3"/>
  <c r="AN24" i="3"/>
  <c r="AA24" i="3"/>
  <c r="Y24" i="3"/>
  <c r="X24" i="3"/>
  <c r="W24" i="3"/>
  <c r="P24" i="3"/>
  <c r="O24" i="3"/>
  <c r="N24" i="3"/>
  <c r="B24" i="3"/>
  <c r="F24" i="3" s="1" a="1"/>
  <c r="BX23" i="3"/>
  <c r="BW23" i="3"/>
  <c r="AX23" i="3"/>
  <c r="AW23" i="3"/>
  <c r="X23" i="3"/>
  <c r="W23" i="3"/>
  <c r="F23" i="3" a="1"/>
  <c r="B23" i="3"/>
  <c r="B22" i="3"/>
  <c r="F22" i="3" s="1" a="1"/>
  <c r="BV21" i="3"/>
  <c r="BT21" i="3"/>
  <c r="BR21" i="3"/>
  <c r="BQ21" i="3"/>
  <c r="BP21" i="3"/>
  <c r="BO21" i="3"/>
  <c r="BA21" i="3"/>
  <c r="AZ21" i="3"/>
  <c r="AR21" i="3"/>
  <c r="AQ21" i="3"/>
  <c r="AP21" i="3"/>
  <c r="AO21" i="3"/>
  <c r="AA21" i="3"/>
  <c r="Z21" i="3"/>
  <c r="Y21" i="3"/>
  <c r="X21" i="3"/>
  <c r="P21" i="3"/>
  <c r="O21" i="3"/>
  <c r="B21" i="3"/>
  <c r="F21" i="3" s="1" a="1"/>
  <c r="CD21" i="3" s="1"/>
  <c r="BZ20" i="3"/>
  <c r="BY20" i="3"/>
  <c r="AZ20" i="3"/>
  <c r="AY20" i="3"/>
  <c r="Z20" i="3"/>
  <c r="Y20" i="3"/>
  <c r="F20" i="3" a="1"/>
  <c r="BN20" i="3" s="1"/>
  <c r="F20" i="3"/>
  <c r="B20" i="3"/>
  <c r="BU19" i="3"/>
  <c r="BT19" i="3"/>
  <c r="BS19" i="3"/>
  <c r="BK19" i="3"/>
  <c r="BJ19" i="3"/>
  <c r="BI19" i="3"/>
  <c r="BH19" i="3"/>
  <c r="AU19" i="3"/>
  <c r="AT19" i="3"/>
  <c r="AS19" i="3"/>
  <c r="AR19" i="3"/>
  <c r="AQ19" i="3"/>
  <c r="AJ19" i="3"/>
  <c r="AI19" i="3"/>
  <c r="W19" i="3"/>
  <c r="V19" i="3"/>
  <c r="U19" i="3"/>
  <c r="T19" i="3"/>
  <c r="S19" i="3"/>
  <c r="R19" i="3"/>
  <c r="Q19" i="3"/>
  <c r="F19" i="3" a="1"/>
  <c r="BW19" i="3" s="1"/>
  <c r="F19" i="3"/>
  <c r="B19" i="3"/>
  <c r="CE18" i="3"/>
  <c r="CB18" i="3"/>
  <c r="CA18" i="3"/>
  <c r="BZ18" i="3"/>
  <c r="BY18" i="3"/>
  <c r="BX18" i="3"/>
  <c r="BW18" i="3"/>
  <c r="BV18" i="3"/>
  <c r="BU18" i="3"/>
  <c r="BR18" i="3"/>
  <c r="BO18" i="3"/>
  <c r="BN18" i="3"/>
  <c r="BM18" i="3"/>
  <c r="BL18" i="3"/>
  <c r="BK18" i="3"/>
  <c r="BJ18" i="3"/>
  <c r="BI18" i="3"/>
  <c r="BG18" i="3"/>
  <c r="BE18" i="3"/>
  <c r="BB18" i="3"/>
  <c r="BA18" i="3"/>
  <c r="AZ18" i="3"/>
  <c r="AY18" i="3"/>
  <c r="AX18" i="3"/>
  <c r="AW18" i="3"/>
  <c r="AU18" i="3"/>
  <c r="AT18" i="3"/>
  <c r="AR18" i="3"/>
  <c r="AO18" i="3"/>
  <c r="AN18" i="3"/>
  <c r="AM18" i="3"/>
  <c r="AL18" i="3"/>
  <c r="AK18" i="3"/>
  <c r="AI18" i="3"/>
  <c r="AH18" i="3"/>
  <c r="AG18" i="3"/>
  <c r="AE18" i="3"/>
  <c r="AB18" i="3"/>
  <c r="AA18" i="3"/>
  <c r="Z18" i="3"/>
  <c r="Y18" i="3"/>
  <c r="W18" i="3"/>
  <c r="V18" i="3"/>
  <c r="U18" i="3"/>
  <c r="T18" i="3"/>
  <c r="R18" i="3"/>
  <c r="O18" i="3"/>
  <c r="N18" i="3"/>
  <c r="M18" i="3"/>
  <c r="K18" i="3"/>
  <c r="J18" i="3"/>
  <c r="I18" i="3"/>
  <c r="H18" i="3"/>
  <c r="G18" i="3"/>
  <c r="F18" i="3" a="1"/>
  <c r="CD18" i="3" s="1"/>
  <c r="F18" i="3"/>
  <c r="B18" i="3"/>
  <c r="B17" i="3"/>
  <c r="F17" i="3" s="1" a="1"/>
  <c r="BM17" i="3" s="1"/>
  <c r="BP16" i="3"/>
  <c r="BO16" i="3"/>
  <c r="BM16" i="3"/>
  <c r="AR16" i="3"/>
  <c r="AQ16" i="3"/>
  <c r="AO16" i="3"/>
  <c r="Y16" i="3"/>
  <c r="T16" i="3"/>
  <c r="S16" i="3"/>
  <c r="B16" i="3"/>
  <c r="F16" i="3" s="1" a="1"/>
  <c r="CD16" i="3" s="1"/>
  <c r="CE15" i="3"/>
  <c r="CD15" i="3"/>
  <c r="CC15" i="3"/>
  <c r="BR15" i="3"/>
  <c r="BQ15" i="3"/>
  <c r="BP15" i="3"/>
  <c r="BO15" i="3"/>
  <c r="BH15" i="3"/>
  <c r="BG15" i="3"/>
  <c r="BF15" i="3"/>
  <c r="BE15" i="3"/>
  <c r="AT15" i="3"/>
  <c r="AS15" i="3"/>
  <c r="AR15" i="3"/>
  <c r="AQ15" i="3"/>
  <c r="AP15" i="3"/>
  <c r="AO15" i="3"/>
  <c r="AH15" i="3"/>
  <c r="AG15" i="3"/>
  <c r="AB15" i="3"/>
  <c r="U15" i="3"/>
  <c r="T15" i="3"/>
  <c r="S15" i="3"/>
  <c r="R15" i="3"/>
  <c r="Q15" i="3"/>
  <c r="P15" i="3"/>
  <c r="N15" i="3"/>
  <c r="F15" i="3" a="1"/>
  <c r="BS15" i="3" s="1"/>
  <c r="B15" i="3"/>
  <c r="CE14" i="3"/>
  <c r="BZ14" i="3"/>
  <c r="BY14" i="3"/>
  <c r="BX14" i="3"/>
  <c r="BW14" i="3"/>
  <c r="BV14" i="3"/>
  <c r="BR14" i="3"/>
  <c r="BK14" i="3"/>
  <c r="BJ14" i="3"/>
  <c r="BI14" i="3"/>
  <c r="BG14" i="3"/>
  <c r="BF14" i="3"/>
  <c r="BE14" i="3"/>
  <c r="AY14" i="3"/>
  <c r="AX14" i="3"/>
  <c r="AT14" i="3"/>
  <c r="AR14" i="3"/>
  <c r="AL14" i="3"/>
  <c r="AK14" i="3"/>
  <c r="AI14" i="3"/>
  <c r="AH14" i="3"/>
  <c r="AG14" i="3"/>
  <c r="AF14" i="3"/>
  <c r="AE14" i="3"/>
  <c r="V14" i="3"/>
  <c r="T14" i="3"/>
  <c r="S14" i="3"/>
  <c r="R14" i="3"/>
  <c r="M14" i="3"/>
  <c r="K14" i="3"/>
  <c r="J14" i="3"/>
  <c r="I14" i="3"/>
  <c r="H14" i="3"/>
  <c r="F14" i="3" a="1"/>
  <c r="BL14" i="3" s="1"/>
  <c r="F14" i="3"/>
  <c r="B14" i="3"/>
  <c r="CB13" i="3"/>
  <c r="CA13" i="3"/>
  <c r="BZ13" i="3"/>
  <c r="BY13" i="3"/>
  <c r="BX13" i="3"/>
  <c r="BW13" i="3"/>
  <c r="BV13" i="3"/>
  <c r="BU13" i="3"/>
  <c r="BS13" i="3"/>
  <c r="BO13" i="3"/>
  <c r="BN13" i="3"/>
  <c r="BM13" i="3"/>
  <c r="BL13" i="3"/>
  <c r="BK13" i="3"/>
  <c r="BJ13" i="3"/>
  <c r="BI13" i="3"/>
  <c r="BH13" i="3"/>
  <c r="BF13" i="3"/>
  <c r="BB13" i="3"/>
  <c r="BA13" i="3"/>
  <c r="AZ13" i="3"/>
  <c r="AY13" i="3"/>
  <c r="AX13" i="3"/>
  <c r="AW13" i="3"/>
  <c r="AV13" i="3"/>
  <c r="AU13" i="3"/>
  <c r="AR13" i="3"/>
  <c r="AO13" i="3"/>
  <c r="AN13" i="3"/>
  <c r="AM13" i="3"/>
  <c r="AL13" i="3"/>
  <c r="AK13" i="3"/>
  <c r="AJ13" i="3"/>
  <c r="AI13" i="3"/>
  <c r="AH13" i="3"/>
  <c r="AE13" i="3"/>
  <c r="AB13" i="3"/>
  <c r="AA13" i="3"/>
  <c r="Z13" i="3"/>
  <c r="Y13" i="3"/>
  <c r="X13" i="3"/>
  <c r="W13" i="3"/>
  <c r="V13" i="3"/>
  <c r="T13" i="3"/>
  <c r="R13" i="3"/>
  <c r="O13" i="3"/>
  <c r="N13" i="3"/>
  <c r="M13" i="3"/>
  <c r="L13" i="3"/>
  <c r="K13" i="3"/>
  <c r="J13" i="3"/>
  <c r="H13" i="3"/>
  <c r="G13" i="3"/>
  <c r="F13" i="3" a="1"/>
  <c r="CE13" i="3" s="1"/>
  <c r="F13" i="3"/>
  <c r="B13" i="3"/>
  <c r="CA12" i="3"/>
  <c r="BY12" i="3"/>
  <c r="BX12" i="3"/>
  <c r="BW12" i="3"/>
  <c r="BR12" i="3"/>
  <c r="BQ12" i="3"/>
  <c r="BP12" i="3"/>
  <c r="BO12" i="3"/>
  <c r="BE12" i="3"/>
  <c r="BD12" i="3"/>
  <c r="BC12" i="3"/>
  <c r="BA12" i="3"/>
  <c r="AZ12" i="3"/>
  <c r="AY12" i="3"/>
  <c r="AX12" i="3"/>
  <c r="AW12" i="3"/>
  <c r="AO12" i="3"/>
  <c r="AM12" i="3"/>
  <c r="AL12" i="3"/>
  <c r="AK12" i="3"/>
  <c r="AJ12" i="3"/>
  <c r="AE12" i="3"/>
  <c r="AC12" i="3"/>
  <c r="AB12" i="3"/>
  <c r="AA12" i="3"/>
  <c r="X12" i="3"/>
  <c r="Q12" i="3"/>
  <c r="P12" i="3"/>
  <c r="O12" i="3"/>
  <c r="N12" i="3"/>
  <c r="M12" i="3"/>
  <c r="L12" i="3"/>
  <c r="K12" i="3"/>
  <c r="J12" i="3"/>
  <c r="B12" i="3"/>
  <c r="F12" i="3" s="1" a="1"/>
  <c r="CC12" i="3" s="1"/>
  <c r="CE11" i="3"/>
  <c r="CC11" i="3"/>
  <c r="CB11" i="3"/>
  <c r="CA11" i="3"/>
  <c r="BZ11" i="3"/>
  <c r="BT11" i="3"/>
  <c r="BS11" i="3"/>
  <c r="BR11" i="3"/>
  <c r="BQ11" i="3"/>
  <c r="BN11" i="3"/>
  <c r="BG11" i="3"/>
  <c r="BF11" i="3"/>
  <c r="BE11" i="3"/>
  <c r="BD11" i="3"/>
  <c r="BC11" i="3"/>
  <c r="BB11" i="3"/>
  <c r="BA11" i="3"/>
  <c r="AZ11" i="3"/>
  <c r="AR11" i="3"/>
  <c r="AP11" i="3"/>
  <c r="AO11" i="3"/>
  <c r="AN11" i="3"/>
  <c r="AL11" i="3"/>
  <c r="AG11" i="3"/>
  <c r="AF11" i="3"/>
  <c r="AE11" i="3"/>
  <c r="AD11" i="3"/>
  <c r="Z11" i="3"/>
  <c r="T11" i="3"/>
  <c r="S11" i="3"/>
  <c r="R11" i="3"/>
  <c r="Q11" i="3"/>
  <c r="P11" i="3"/>
  <c r="N11" i="3"/>
  <c r="M11" i="3"/>
  <c r="L11" i="3"/>
  <c r="F11" i="3" a="1"/>
  <c r="CD11" i="3" s="1"/>
  <c r="F11" i="3"/>
  <c r="B11" i="3"/>
  <c r="B10" i="3"/>
  <c r="F10" i="3" s="1" a="1"/>
  <c r="BZ9" i="3"/>
  <c r="BY9" i="3"/>
  <c r="BX9" i="3"/>
  <c r="BW9" i="3"/>
  <c r="BJ9" i="3"/>
  <c r="BI9" i="3"/>
  <c r="BH9" i="3"/>
  <c r="BG9" i="3"/>
  <c r="BF9" i="3"/>
  <c r="AR9" i="3"/>
  <c r="AM9" i="3"/>
  <c r="AL9" i="3"/>
  <c r="AK9" i="3"/>
  <c r="AJ9" i="3"/>
  <c r="W9" i="3"/>
  <c r="V9" i="3"/>
  <c r="T9" i="3"/>
  <c r="S9" i="3"/>
  <c r="R9" i="3"/>
  <c r="F9" i="3" a="1"/>
  <c r="F9" i="3"/>
  <c r="B9" i="3"/>
  <c r="CC8" i="3"/>
  <c r="CB8" i="3"/>
  <c r="CA8" i="3"/>
  <c r="BY8" i="3"/>
  <c r="BX8" i="3"/>
  <c r="BW8" i="3"/>
  <c r="BV8" i="3"/>
  <c r="BU8" i="3"/>
  <c r="BT8" i="3"/>
  <c r="BS8" i="3"/>
  <c r="BP8" i="3"/>
  <c r="BO8" i="3"/>
  <c r="BM8" i="3"/>
  <c r="BL8" i="3"/>
  <c r="BK8" i="3"/>
  <c r="BJ8" i="3"/>
  <c r="BI8" i="3"/>
  <c r="BH8" i="3"/>
  <c r="BG8" i="3"/>
  <c r="BF8" i="3"/>
  <c r="BC8" i="3"/>
  <c r="BA8" i="3"/>
  <c r="AZ8" i="3"/>
  <c r="AY8" i="3"/>
  <c r="AX8" i="3"/>
  <c r="AW8" i="3"/>
  <c r="AV8" i="3"/>
  <c r="AU8" i="3"/>
  <c r="AT8" i="3"/>
  <c r="AS8" i="3"/>
  <c r="AO8" i="3"/>
  <c r="AN8" i="3"/>
  <c r="AM8" i="3"/>
  <c r="AL8" i="3"/>
  <c r="AK8" i="3"/>
  <c r="AJ8" i="3"/>
  <c r="AI8" i="3"/>
  <c r="AH8" i="3"/>
  <c r="AG8" i="3"/>
  <c r="AF8" i="3"/>
  <c r="AB8" i="3"/>
  <c r="AA8" i="3"/>
  <c r="Z8" i="3"/>
  <c r="Y8" i="3"/>
  <c r="X8" i="3"/>
  <c r="W8" i="3"/>
  <c r="V8" i="3"/>
  <c r="U8" i="3"/>
  <c r="T8" i="3"/>
  <c r="S8" i="3"/>
  <c r="O8" i="3"/>
  <c r="N8" i="3"/>
  <c r="M8" i="3"/>
  <c r="L8" i="3"/>
  <c r="K8" i="3"/>
  <c r="J8" i="3"/>
  <c r="I8" i="3"/>
  <c r="H8" i="3"/>
  <c r="G8" i="3"/>
  <c r="F8" i="3"/>
  <c r="B8" i="3"/>
  <c r="F8" i="3" s="1" a="1"/>
  <c r="BQ8" i="3" s="1"/>
  <c r="CE7" i="3"/>
  <c r="CD7" i="3"/>
  <c r="CC7" i="3"/>
  <c r="CB7" i="3"/>
  <c r="CA7" i="3"/>
  <c r="BZ7" i="3"/>
  <c r="BY7" i="3"/>
  <c r="BX7" i="3"/>
  <c r="BV7" i="3"/>
  <c r="BU7" i="3"/>
  <c r="BR7" i="3"/>
  <c r="BQ7" i="3"/>
  <c r="BP7" i="3"/>
  <c r="BO7" i="3"/>
  <c r="BN7" i="3"/>
  <c r="BM7" i="3"/>
  <c r="BL7" i="3"/>
  <c r="BJ7" i="3"/>
  <c r="BI7" i="3"/>
  <c r="BH7" i="3"/>
  <c r="BE7" i="3"/>
  <c r="BD7" i="3"/>
  <c r="BC7" i="3"/>
  <c r="BB7" i="3"/>
  <c r="BA7" i="3"/>
  <c r="AZ7" i="3"/>
  <c r="AX7" i="3"/>
  <c r="AW7" i="3"/>
  <c r="AV7" i="3"/>
  <c r="AU7" i="3"/>
  <c r="AR7" i="3"/>
  <c r="AQ7" i="3"/>
  <c r="AP7" i="3"/>
  <c r="AO7" i="3"/>
  <c r="AN7" i="3"/>
  <c r="AL7" i="3"/>
  <c r="AK7" i="3"/>
  <c r="AJ7" i="3"/>
  <c r="AI7" i="3"/>
  <c r="AH7" i="3"/>
  <c r="AE7" i="3"/>
  <c r="AD7" i="3"/>
  <c r="AC7" i="3"/>
  <c r="AB7" i="3"/>
  <c r="Z7" i="3"/>
  <c r="Y7" i="3"/>
  <c r="X7" i="3"/>
  <c r="W7" i="3"/>
  <c r="V7" i="3"/>
  <c r="U7" i="3"/>
  <c r="R7" i="3"/>
  <c r="Q7" i="3"/>
  <c r="P7" i="3"/>
  <c r="N7" i="3"/>
  <c r="M7" i="3"/>
  <c r="L7" i="3"/>
  <c r="K7" i="3"/>
  <c r="J7" i="3"/>
  <c r="I7" i="3"/>
  <c r="H7" i="3"/>
  <c r="F7" i="3" a="1"/>
  <c r="F7" i="3"/>
  <c r="B7" i="3"/>
  <c r="B6" i="3"/>
  <c r="F6" i="3" s="1" a="1"/>
  <c r="BV5" i="3"/>
  <c r="BU5" i="3"/>
  <c r="BF5" i="3"/>
  <c r="BA5" i="3"/>
  <c r="AL5" i="3"/>
  <c r="AK5" i="3"/>
  <c r="V5" i="3"/>
  <c r="Q5" i="3"/>
  <c r="B5" i="3"/>
  <c r="F5" i="3" s="1" a="1"/>
  <c r="BR5" i="3" s="1"/>
  <c r="CE4" i="3"/>
  <c r="CD4" i="3"/>
  <c r="CC4" i="3"/>
  <c r="CB4" i="3"/>
  <c r="CA4" i="3"/>
  <c r="BV4" i="3"/>
  <c r="BU4" i="3"/>
  <c r="BT4" i="3"/>
  <c r="BS4" i="3"/>
  <c r="BR4" i="3"/>
  <c r="BQ4" i="3"/>
  <c r="BP4" i="3"/>
  <c r="BO4" i="3"/>
  <c r="BJ4" i="3"/>
  <c r="BI4" i="3"/>
  <c r="BH4" i="3"/>
  <c r="BG4" i="3"/>
  <c r="BF4" i="3"/>
  <c r="BE4" i="3"/>
  <c r="BD4" i="3"/>
  <c r="BC4" i="3"/>
  <c r="AX4" i="3"/>
  <c r="AW4" i="3"/>
  <c r="AV4" i="3"/>
  <c r="AU4" i="3"/>
  <c r="AT4" i="3"/>
  <c r="AS4" i="3"/>
  <c r="AR4" i="3"/>
  <c r="AQ4" i="3"/>
  <c r="AL4" i="3"/>
  <c r="AK4" i="3"/>
  <c r="AJ4" i="3"/>
  <c r="AI4" i="3"/>
  <c r="AH4" i="3"/>
  <c r="AG4" i="3"/>
  <c r="AF4" i="3"/>
  <c r="AE4" i="3"/>
  <c r="Z4" i="3"/>
  <c r="Y4" i="3"/>
  <c r="X4" i="3"/>
  <c r="W4" i="3"/>
  <c r="V4" i="3"/>
  <c r="U4" i="3"/>
  <c r="T4" i="3"/>
  <c r="S4" i="3"/>
  <c r="N4" i="3"/>
  <c r="M4" i="3"/>
  <c r="L4" i="3"/>
  <c r="K4" i="3"/>
  <c r="J4" i="3"/>
  <c r="I4" i="3"/>
  <c r="H4" i="3"/>
  <c r="G4" i="3"/>
  <c r="F4" i="3" a="1"/>
  <c r="BZ4" i="3" s="1"/>
  <c r="B3" i="3"/>
  <c r="F3" i="3" s="1" a="1"/>
  <c r="BW2" i="3"/>
  <c r="BV2" i="3"/>
  <c r="BU2" i="3"/>
  <c r="BT2" i="3"/>
  <c r="BO2" i="3"/>
  <c r="BN2" i="3"/>
  <c r="BM2" i="3"/>
  <c r="BL2" i="3"/>
  <c r="BC2" i="3"/>
  <c r="BB2" i="3"/>
  <c r="BA2" i="3"/>
  <c r="AZ2" i="3"/>
  <c r="AY2" i="3"/>
  <c r="AX2" i="3"/>
  <c r="AW2" i="3"/>
  <c r="AV2" i="3"/>
  <c r="AM2" i="3"/>
  <c r="AL2" i="3"/>
  <c r="AK2" i="3"/>
  <c r="AJ2" i="3"/>
  <c r="AE2" i="3"/>
  <c r="AD2" i="3"/>
  <c r="AC2" i="3"/>
  <c r="AB2" i="3"/>
  <c r="S2" i="3"/>
  <c r="R2" i="3"/>
  <c r="Q2" i="3"/>
  <c r="P2" i="3"/>
  <c r="O2" i="3"/>
  <c r="N2" i="3"/>
  <c r="M2" i="3"/>
  <c r="L2" i="3"/>
  <c r="F2" i="3" a="1"/>
  <c r="BY2" i="3" s="1"/>
  <c r="B2" i="3"/>
  <c r="CE1" i="3"/>
  <c r="CD1" i="3"/>
  <c r="CC1" i="3"/>
  <c r="BX1" i="3"/>
  <c r="BS1" i="3"/>
  <c r="BR1" i="3"/>
  <c r="BQ1" i="3"/>
  <c r="BP1" i="3"/>
  <c r="BO1" i="3"/>
  <c r="BN1" i="3"/>
  <c r="BM1" i="3"/>
  <c r="BD1" i="3"/>
  <c r="BC1" i="3"/>
  <c r="BB1" i="3"/>
  <c r="BA1" i="3"/>
  <c r="AZ1" i="3"/>
  <c r="AU1" i="3"/>
  <c r="AT1" i="3"/>
  <c r="AS1" i="3"/>
  <c r="AN1" i="3"/>
  <c r="AI1" i="3"/>
  <c r="AH1" i="3"/>
  <c r="AG1" i="3"/>
  <c r="AF1" i="3"/>
  <c r="AE1" i="3"/>
  <c r="AD1" i="3"/>
  <c r="AC1" i="3"/>
  <c r="T1" i="3"/>
  <c r="S1" i="3"/>
  <c r="R1" i="3"/>
  <c r="Q1" i="3"/>
  <c r="P1" i="3"/>
  <c r="K1" i="3"/>
  <c r="J1" i="3"/>
  <c r="I1" i="3"/>
  <c r="F1" i="3" a="1"/>
  <c r="BY1" i="3" s="1"/>
  <c r="B23" i="1"/>
  <c r="B22" i="1"/>
  <c r="G12" i="1"/>
  <c r="F12" i="1"/>
  <c r="E12" i="1"/>
  <c r="L5" i="1" s="1"/>
  <c r="D12" i="1"/>
  <c r="N6" i="1"/>
  <c r="M6" i="1"/>
  <c r="L6" i="1"/>
  <c r="K6" i="1"/>
  <c r="M5" i="1"/>
  <c r="K5" i="1"/>
  <c r="N4" i="1"/>
  <c r="M4" i="1"/>
  <c r="L4" i="1"/>
  <c r="K4" i="1"/>
  <c r="M3" i="1"/>
  <c r="K3" i="1"/>
  <c r="N2" i="1"/>
  <c r="M2" i="1"/>
  <c r="L2" i="1"/>
  <c r="K2" i="1"/>
  <c r="B85" i="5"/>
  <c r="C84" i="5"/>
  <c r="C97" i="5"/>
  <c r="C109" i="5"/>
  <c r="C121" i="5"/>
  <c r="C133" i="5"/>
  <c r="C145" i="5"/>
  <c r="C157" i="5"/>
  <c r="C102" i="5"/>
  <c r="C91" i="5"/>
  <c r="C127" i="5"/>
  <c r="C104" i="5"/>
  <c r="C105" i="5"/>
  <c r="C153" i="5"/>
  <c r="C130" i="5"/>
  <c r="C86" i="5"/>
  <c r="C98" i="5"/>
  <c r="C110" i="5"/>
  <c r="C122" i="5"/>
  <c r="C134" i="5"/>
  <c r="C146" i="5"/>
  <c r="C158" i="5"/>
  <c r="C138" i="5"/>
  <c r="C140" i="5"/>
  <c r="C94" i="5"/>
  <c r="C87" i="5"/>
  <c r="C99" i="5"/>
  <c r="C111" i="5"/>
  <c r="C123" i="5"/>
  <c r="C135" i="5"/>
  <c r="C147" i="5"/>
  <c r="C159" i="5"/>
  <c r="C126" i="5"/>
  <c r="C116" i="5"/>
  <c r="C142" i="5"/>
  <c r="C88" i="5"/>
  <c r="C100" i="5"/>
  <c r="C112" i="5"/>
  <c r="C124" i="5"/>
  <c r="C136" i="5"/>
  <c r="C148" i="5"/>
  <c r="C160" i="5"/>
  <c r="C114" i="5"/>
  <c r="C103" i="5"/>
  <c r="C139" i="5"/>
  <c r="C128" i="5"/>
  <c r="C117" i="5"/>
  <c r="C106" i="5"/>
  <c r="C89" i="5"/>
  <c r="C101" i="5"/>
  <c r="C113" i="5"/>
  <c r="C125" i="5"/>
  <c r="C137" i="5"/>
  <c r="C149" i="5"/>
  <c r="C161" i="5"/>
  <c r="C90" i="5"/>
  <c r="C150" i="5"/>
  <c r="C115" i="5"/>
  <c r="C151" i="5"/>
  <c r="C152" i="5"/>
  <c r="C129" i="5"/>
  <c r="C154" i="5"/>
  <c r="C95" i="5"/>
  <c r="C107" i="5"/>
  <c r="C119" i="5"/>
  <c r="C131" i="5"/>
  <c r="C143" i="5"/>
  <c r="C155" i="5"/>
  <c r="C96" i="5"/>
  <c r="C108" i="5"/>
  <c r="C120" i="5"/>
  <c r="C132" i="5"/>
  <c r="C144" i="5"/>
  <c r="C156" i="5"/>
  <c r="C92" i="5"/>
  <c r="C93" i="5"/>
  <c r="C141" i="5"/>
  <c r="C118" i="5"/>
  <c r="N85" i="5"/>
  <c r="Z85" i="5"/>
  <c r="AL85" i="5"/>
  <c r="AX85" i="5"/>
  <c r="BJ85" i="5"/>
  <c r="BV85" i="5"/>
  <c r="H86" i="5"/>
  <c r="T86" i="5"/>
  <c r="AF86" i="5"/>
  <c r="AR86" i="5"/>
  <c r="BD86" i="5"/>
  <c r="BP86" i="5"/>
  <c r="N87" i="5"/>
  <c r="Z87" i="5"/>
  <c r="AL87" i="5"/>
  <c r="AX87" i="5"/>
  <c r="BJ87" i="5"/>
  <c r="BV87" i="5"/>
  <c r="H88" i="5"/>
  <c r="T88" i="5"/>
  <c r="AF88" i="5"/>
  <c r="AR88" i="5"/>
  <c r="BD88" i="5"/>
  <c r="BP88" i="5"/>
  <c r="B89" i="5"/>
  <c r="N89" i="5"/>
  <c r="Z89" i="5"/>
  <c r="AL89" i="5"/>
  <c r="AX89" i="5"/>
  <c r="BJ89" i="5"/>
  <c r="BV89" i="5"/>
  <c r="T90" i="5"/>
  <c r="AF90" i="5"/>
  <c r="AR90" i="5"/>
  <c r="BD90" i="5"/>
  <c r="BP90" i="5"/>
  <c r="B91" i="5"/>
  <c r="N91" i="5"/>
  <c r="Z91" i="5"/>
  <c r="AL91" i="5"/>
  <c r="AX91" i="5"/>
  <c r="BJ91" i="5"/>
  <c r="BV91" i="5"/>
  <c r="H92" i="5"/>
  <c r="T92" i="5"/>
  <c r="AF92" i="5"/>
  <c r="AR92" i="5"/>
  <c r="BD92" i="5"/>
  <c r="BP92" i="5"/>
  <c r="B93" i="5"/>
  <c r="N93" i="5"/>
  <c r="Z93" i="5"/>
  <c r="AL93" i="5"/>
  <c r="AX93" i="5"/>
  <c r="BJ93" i="5"/>
  <c r="BV93" i="5"/>
  <c r="H94" i="5"/>
  <c r="T94" i="5"/>
  <c r="AF94" i="5"/>
  <c r="AR94" i="5"/>
  <c r="BD94" i="5"/>
  <c r="BP94" i="5"/>
  <c r="B95" i="5"/>
  <c r="N95" i="5"/>
  <c r="Z95" i="5"/>
  <c r="AL95" i="5"/>
  <c r="AX95" i="5"/>
  <c r="BJ95" i="5"/>
  <c r="BV95" i="5"/>
  <c r="H96" i="5"/>
  <c r="T96" i="5"/>
  <c r="AF96" i="5"/>
  <c r="AR96" i="5"/>
  <c r="BD96" i="5"/>
  <c r="BP96" i="5"/>
  <c r="B97" i="5"/>
  <c r="N97" i="5"/>
  <c r="Z97" i="5"/>
  <c r="AL97" i="5"/>
  <c r="AX97" i="5"/>
  <c r="BJ97" i="5"/>
  <c r="BV97" i="5"/>
  <c r="H98" i="5"/>
  <c r="T98" i="5"/>
  <c r="AF98" i="5"/>
  <c r="AR98" i="5"/>
  <c r="BD98" i="5"/>
  <c r="BP98" i="5"/>
  <c r="B99" i="5"/>
  <c r="N99" i="5"/>
  <c r="Z99" i="5"/>
  <c r="AL99" i="5"/>
  <c r="AX99" i="5"/>
  <c r="BJ99" i="5"/>
  <c r="BV99" i="5"/>
  <c r="H100" i="5"/>
  <c r="T100" i="5"/>
  <c r="AF100" i="5"/>
  <c r="AR100" i="5"/>
  <c r="BD100" i="5"/>
  <c r="BP100" i="5"/>
  <c r="B101" i="5"/>
  <c r="N101" i="5"/>
  <c r="Z101" i="5"/>
  <c r="AL101" i="5"/>
  <c r="AX101" i="5"/>
  <c r="BJ101" i="5"/>
  <c r="BV101" i="5"/>
  <c r="H102" i="5"/>
  <c r="AF102" i="5"/>
  <c r="AR102" i="5"/>
  <c r="BD102" i="5"/>
  <c r="BP102" i="5"/>
  <c r="B103" i="5"/>
  <c r="N103" i="5"/>
  <c r="Z103" i="5"/>
  <c r="AL103" i="5"/>
  <c r="AX103" i="5"/>
  <c r="BJ103" i="5"/>
  <c r="BV103" i="5"/>
  <c r="H104" i="5"/>
  <c r="T104" i="5"/>
  <c r="AF104" i="5"/>
  <c r="AR104" i="5"/>
  <c r="BD104" i="5"/>
  <c r="O85" i="5"/>
  <c r="AA85" i="5"/>
  <c r="AM85" i="5"/>
  <c r="AY85" i="5"/>
  <c r="BK85" i="5"/>
  <c r="BW85" i="5"/>
  <c r="I86" i="5"/>
  <c r="U86" i="5"/>
  <c r="AG86" i="5"/>
  <c r="AS86" i="5"/>
  <c r="BE86" i="5"/>
  <c r="BQ86" i="5"/>
  <c r="O87" i="5"/>
  <c r="AA87" i="5"/>
  <c r="AM87" i="5"/>
  <c r="AY87" i="5"/>
  <c r="BK87" i="5"/>
  <c r="BW87" i="5"/>
  <c r="I88" i="5"/>
  <c r="U88" i="5"/>
  <c r="AG88" i="5"/>
  <c r="AS88" i="5"/>
  <c r="BE88" i="5"/>
  <c r="BQ88" i="5"/>
  <c r="O89" i="5"/>
  <c r="AA89" i="5"/>
  <c r="AM89" i="5"/>
  <c r="AY89" i="5"/>
  <c r="BK89" i="5"/>
  <c r="BW89" i="5"/>
  <c r="I90" i="5"/>
  <c r="U90" i="5"/>
  <c r="AG90" i="5"/>
  <c r="AS90" i="5"/>
  <c r="BE90" i="5"/>
  <c r="BQ90" i="5"/>
  <c r="O91" i="5"/>
  <c r="AA91" i="5"/>
  <c r="AM91" i="5"/>
  <c r="AY91" i="5"/>
  <c r="BK91" i="5"/>
  <c r="BW91" i="5"/>
  <c r="I92" i="5"/>
  <c r="U92" i="5"/>
  <c r="AG92" i="5"/>
  <c r="AS92" i="5"/>
  <c r="BE92" i="5"/>
  <c r="BQ92" i="5"/>
  <c r="O93" i="5"/>
  <c r="AA93" i="5"/>
  <c r="AM93" i="5"/>
  <c r="AY93" i="5"/>
  <c r="BK93" i="5"/>
  <c r="BW93" i="5"/>
  <c r="I94" i="5"/>
  <c r="U94" i="5"/>
  <c r="AG94" i="5"/>
  <c r="AS94" i="5"/>
  <c r="BE94" i="5"/>
  <c r="BQ94" i="5"/>
  <c r="O95" i="5"/>
  <c r="AA95" i="5"/>
  <c r="AM95" i="5"/>
  <c r="AY95" i="5"/>
  <c r="BK95" i="5"/>
  <c r="BW95" i="5"/>
  <c r="I96" i="5"/>
  <c r="U96" i="5"/>
  <c r="AG96" i="5"/>
  <c r="AS96" i="5"/>
  <c r="BE96" i="5"/>
  <c r="BQ96" i="5"/>
  <c r="AA97" i="5"/>
  <c r="AM97" i="5"/>
  <c r="AY97" i="5"/>
  <c r="BK97" i="5"/>
  <c r="BW97" i="5"/>
  <c r="I98" i="5"/>
  <c r="U98" i="5"/>
  <c r="AG98" i="5"/>
  <c r="AS98" i="5"/>
  <c r="BE98" i="5"/>
  <c r="BQ98" i="5"/>
  <c r="O99" i="5"/>
  <c r="AA99" i="5"/>
  <c r="AM99" i="5"/>
  <c r="AY99" i="5"/>
  <c r="BK99" i="5"/>
  <c r="BW99" i="5"/>
  <c r="I100" i="5"/>
  <c r="U100" i="5"/>
  <c r="AG100" i="5"/>
  <c r="AS100" i="5"/>
  <c r="BE100" i="5"/>
  <c r="BQ100" i="5"/>
  <c r="O101" i="5"/>
  <c r="AA101" i="5"/>
  <c r="AM101" i="5"/>
  <c r="AY101" i="5"/>
  <c r="BK101" i="5"/>
  <c r="BW101" i="5"/>
  <c r="I102" i="5"/>
  <c r="U102" i="5"/>
  <c r="AG102" i="5"/>
  <c r="AS102" i="5"/>
  <c r="BE102" i="5"/>
  <c r="BQ102" i="5"/>
  <c r="O103" i="5"/>
  <c r="AA103" i="5"/>
  <c r="AM103" i="5"/>
  <c r="D85" i="5"/>
  <c r="P85" i="5"/>
  <c r="AB85" i="5"/>
  <c r="AN85" i="5"/>
  <c r="AZ85" i="5"/>
  <c r="BL85" i="5"/>
  <c r="BX85" i="5"/>
  <c r="J86" i="5"/>
  <c r="V86" i="5"/>
  <c r="AH86" i="5"/>
  <c r="AT86" i="5"/>
  <c r="BF86" i="5"/>
  <c r="BR86" i="5"/>
  <c r="D87" i="5"/>
  <c r="P87" i="5"/>
  <c r="AB87" i="5"/>
  <c r="AN87" i="5"/>
  <c r="AZ87" i="5"/>
  <c r="BL87" i="5"/>
  <c r="BX87" i="5"/>
  <c r="J88" i="5"/>
  <c r="V88" i="5"/>
  <c r="AH88" i="5"/>
  <c r="AT88" i="5"/>
  <c r="BF88" i="5"/>
  <c r="BR88" i="5"/>
  <c r="D89" i="5"/>
  <c r="P89" i="5"/>
  <c r="AB89" i="5"/>
  <c r="AN89" i="5"/>
  <c r="AZ89" i="5"/>
  <c r="BL89" i="5"/>
  <c r="BX89" i="5"/>
  <c r="J90" i="5"/>
  <c r="V90" i="5"/>
  <c r="AH90" i="5"/>
  <c r="AT90" i="5"/>
  <c r="BF90" i="5"/>
  <c r="BR90" i="5"/>
  <c r="D91" i="5"/>
  <c r="P91" i="5"/>
  <c r="AB91" i="5"/>
  <c r="AN91" i="5"/>
  <c r="AZ91" i="5"/>
  <c r="BL91" i="5"/>
  <c r="BX91" i="5"/>
  <c r="V92" i="5"/>
  <c r="AH92" i="5"/>
  <c r="AT92" i="5"/>
  <c r="BF92" i="5"/>
  <c r="BR92" i="5"/>
  <c r="D93" i="5"/>
  <c r="P93" i="5"/>
  <c r="AB93" i="5"/>
  <c r="AN93" i="5"/>
  <c r="AZ93" i="5"/>
  <c r="BL93" i="5"/>
  <c r="BX93" i="5"/>
  <c r="J94" i="5"/>
  <c r="V94" i="5"/>
  <c r="AH94" i="5"/>
  <c r="AT94" i="5"/>
  <c r="BF94" i="5"/>
  <c r="BR94" i="5"/>
  <c r="D95" i="5"/>
  <c r="P95" i="5"/>
  <c r="AB95" i="5"/>
  <c r="AN95" i="5"/>
  <c r="AZ95" i="5"/>
  <c r="BL95" i="5"/>
  <c r="BX95" i="5"/>
  <c r="J96" i="5"/>
  <c r="V96" i="5"/>
  <c r="AH96" i="5"/>
  <c r="AT96" i="5"/>
  <c r="BF96" i="5"/>
  <c r="BR96" i="5"/>
  <c r="D97" i="5"/>
  <c r="P97" i="5"/>
  <c r="AB97" i="5"/>
  <c r="AN97" i="5"/>
  <c r="AZ97" i="5"/>
  <c r="BL97" i="5"/>
  <c r="BX97" i="5"/>
  <c r="J98" i="5"/>
  <c r="V98" i="5"/>
  <c r="AH98" i="5"/>
  <c r="AT98" i="5"/>
  <c r="BF98" i="5"/>
  <c r="BR98" i="5"/>
  <c r="D99" i="5"/>
  <c r="P99" i="5"/>
  <c r="AB99" i="5"/>
  <c r="AN99" i="5"/>
  <c r="AZ99" i="5"/>
  <c r="BL99" i="5"/>
  <c r="BX99" i="5"/>
  <c r="J100" i="5"/>
  <c r="V100" i="5"/>
  <c r="AH100" i="5"/>
  <c r="AT100" i="5"/>
  <c r="BF100" i="5"/>
  <c r="BR100" i="5"/>
  <c r="D101" i="5"/>
  <c r="P101" i="5"/>
  <c r="AB101" i="5"/>
  <c r="AN101" i="5"/>
  <c r="AZ101" i="5"/>
  <c r="E85" i="5"/>
  <c r="Q85" i="5"/>
  <c r="AC85" i="5"/>
  <c r="AO85" i="5"/>
  <c r="BA85" i="5"/>
  <c r="BM85" i="5"/>
  <c r="BY85" i="5"/>
  <c r="K86" i="5"/>
  <c r="W86" i="5"/>
  <c r="AI86" i="5"/>
  <c r="AU86" i="5"/>
  <c r="BG86" i="5"/>
  <c r="BS86" i="5"/>
  <c r="Q87" i="5"/>
  <c r="AC87" i="5"/>
  <c r="AO87" i="5"/>
  <c r="BA87" i="5"/>
  <c r="BM87" i="5"/>
  <c r="BY87" i="5"/>
  <c r="K88" i="5"/>
  <c r="W88" i="5"/>
  <c r="AI88" i="5"/>
  <c r="AU88" i="5"/>
  <c r="BG88" i="5"/>
  <c r="BS88" i="5"/>
  <c r="E89" i="5"/>
  <c r="Q89" i="5"/>
  <c r="AC89" i="5"/>
  <c r="AO89" i="5"/>
  <c r="BA89" i="5"/>
  <c r="BM89" i="5"/>
  <c r="BY89" i="5"/>
  <c r="K90" i="5"/>
  <c r="W90" i="5"/>
  <c r="AI90" i="5"/>
  <c r="AU90" i="5"/>
  <c r="BG90" i="5"/>
  <c r="BS90" i="5"/>
  <c r="E91" i="5"/>
  <c r="Q91" i="5"/>
  <c r="AC91" i="5"/>
  <c r="AO91" i="5"/>
  <c r="BA91" i="5"/>
  <c r="BM91" i="5"/>
  <c r="BY91" i="5"/>
  <c r="K92" i="5"/>
  <c r="W92" i="5"/>
  <c r="AI92" i="5"/>
  <c r="AU92" i="5"/>
  <c r="BG92" i="5"/>
  <c r="BS92" i="5"/>
  <c r="E93" i="5"/>
  <c r="Q93" i="5"/>
  <c r="AC93" i="5"/>
  <c r="AO93" i="5"/>
  <c r="BA93" i="5"/>
  <c r="BM93" i="5"/>
  <c r="BY93" i="5"/>
  <c r="K94" i="5"/>
  <c r="W94" i="5"/>
  <c r="AI94" i="5"/>
  <c r="AU94" i="5"/>
  <c r="BG94" i="5"/>
  <c r="BS94" i="5"/>
  <c r="E95" i="5"/>
  <c r="Q95" i="5"/>
  <c r="AC95" i="5"/>
  <c r="AO95" i="5"/>
  <c r="BA95" i="5"/>
  <c r="BY95" i="5"/>
  <c r="K96" i="5"/>
  <c r="W96" i="5"/>
  <c r="AI96" i="5"/>
  <c r="AU96" i="5"/>
  <c r="BG96" i="5"/>
  <c r="BS96" i="5"/>
  <c r="E97" i="5"/>
  <c r="Q97" i="5"/>
  <c r="AC97" i="5"/>
  <c r="AO97" i="5"/>
  <c r="BA97" i="5"/>
  <c r="BM97" i="5"/>
  <c r="BY97" i="5"/>
  <c r="K98" i="5"/>
  <c r="W98" i="5"/>
  <c r="AI98" i="5"/>
  <c r="AU98" i="5"/>
  <c r="BG98" i="5"/>
  <c r="BS98" i="5"/>
  <c r="E99" i="5"/>
  <c r="AC99" i="5"/>
  <c r="AO99" i="5"/>
  <c r="BA99" i="5"/>
  <c r="BM99" i="5"/>
  <c r="BY99" i="5"/>
  <c r="K100" i="5"/>
  <c r="W100" i="5"/>
  <c r="AI100" i="5"/>
  <c r="AU100" i="5"/>
  <c r="BG100" i="5"/>
  <c r="F85" i="5"/>
  <c r="R85" i="5"/>
  <c r="AD85" i="5"/>
  <c r="AP85" i="5"/>
  <c r="BB85" i="5"/>
  <c r="BN85" i="5"/>
  <c r="BZ85" i="5"/>
  <c r="L86" i="5"/>
  <c r="X86" i="5"/>
  <c r="AJ86" i="5"/>
  <c r="AV86" i="5"/>
  <c r="BH86" i="5"/>
  <c r="BT86" i="5"/>
  <c r="F87" i="5"/>
  <c r="R87" i="5"/>
  <c r="AD87" i="5"/>
  <c r="AP87" i="5"/>
  <c r="BB87" i="5"/>
  <c r="BN87" i="5"/>
  <c r="BZ87" i="5"/>
  <c r="L88" i="5"/>
  <c r="X88" i="5"/>
  <c r="AJ88" i="5"/>
  <c r="AV88" i="5"/>
  <c r="BH88" i="5"/>
  <c r="BT88" i="5"/>
  <c r="F89" i="5"/>
  <c r="R89" i="5"/>
  <c r="AD89" i="5"/>
  <c r="AP89" i="5"/>
  <c r="BB89" i="5"/>
  <c r="BN89" i="5"/>
  <c r="BZ89" i="5"/>
  <c r="L90" i="5"/>
  <c r="X90" i="5"/>
  <c r="AJ90" i="5"/>
  <c r="AV90" i="5"/>
  <c r="BH90" i="5"/>
  <c r="BT90" i="5"/>
  <c r="F91" i="5"/>
  <c r="R91" i="5"/>
  <c r="AD91" i="5"/>
  <c r="AP91" i="5"/>
  <c r="BB91" i="5"/>
  <c r="BN91" i="5"/>
  <c r="BZ91" i="5"/>
  <c r="L92" i="5"/>
  <c r="X92" i="5"/>
  <c r="AJ92" i="5"/>
  <c r="AV92" i="5"/>
  <c r="BH92" i="5"/>
  <c r="BT92" i="5"/>
  <c r="F93" i="5"/>
  <c r="R93" i="5"/>
  <c r="AD93" i="5"/>
  <c r="AP93" i="5"/>
  <c r="BB93" i="5"/>
  <c r="BN93" i="5"/>
  <c r="BZ93" i="5"/>
  <c r="X94" i="5"/>
  <c r="AJ94" i="5"/>
  <c r="AV94" i="5"/>
  <c r="BH94" i="5"/>
  <c r="BT94" i="5"/>
  <c r="F95" i="5"/>
  <c r="R95" i="5"/>
  <c r="AD95" i="5"/>
  <c r="AP95" i="5"/>
  <c r="BB95" i="5"/>
  <c r="BN95" i="5"/>
  <c r="BZ95" i="5"/>
  <c r="L96" i="5"/>
  <c r="X96" i="5"/>
  <c r="AJ96" i="5"/>
  <c r="AV96" i="5"/>
  <c r="BH96" i="5"/>
  <c r="BT96" i="5"/>
  <c r="F97" i="5"/>
  <c r="R97" i="5"/>
  <c r="AD97" i="5"/>
  <c r="AP97" i="5"/>
  <c r="BB97" i="5"/>
  <c r="BN97" i="5"/>
  <c r="BZ97" i="5"/>
  <c r="L98" i="5"/>
  <c r="X98" i="5"/>
  <c r="AJ98" i="5"/>
  <c r="J85" i="5"/>
  <c r="V85" i="5"/>
  <c r="AH85" i="5"/>
  <c r="AT85" i="5"/>
  <c r="BF85" i="5"/>
  <c r="BR85" i="5"/>
  <c r="P86" i="5"/>
  <c r="AB86" i="5"/>
  <c r="AN86" i="5"/>
  <c r="AZ86" i="5"/>
  <c r="BL86" i="5"/>
  <c r="BX86" i="5"/>
  <c r="J87" i="5"/>
  <c r="V87" i="5"/>
  <c r="AH87" i="5"/>
  <c r="AT87" i="5"/>
  <c r="BF87" i="5"/>
  <c r="BR87" i="5"/>
  <c r="D88" i="5"/>
  <c r="P88" i="5"/>
  <c r="AB88" i="5"/>
  <c r="AN88" i="5"/>
  <c r="AZ88" i="5"/>
  <c r="BL88" i="5"/>
  <c r="BX88" i="5"/>
  <c r="J89" i="5"/>
  <c r="V89" i="5"/>
  <c r="AH89" i="5"/>
  <c r="AT89" i="5"/>
  <c r="BF89" i="5"/>
  <c r="BR89" i="5"/>
  <c r="D90" i="5"/>
  <c r="P90" i="5"/>
  <c r="AB90" i="5"/>
  <c r="AN90" i="5"/>
  <c r="AZ90" i="5"/>
  <c r="BL90" i="5"/>
  <c r="BX90" i="5"/>
  <c r="J91" i="5"/>
  <c r="V91" i="5"/>
  <c r="AH91" i="5"/>
  <c r="AT91" i="5"/>
  <c r="BF91" i="5"/>
  <c r="BR91" i="5"/>
  <c r="D92" i="5"/>
  <c r="P92" i="5"/>
  <c r="AB92" i="5"/>
  <c r="AN92" i="5"/>
  <c r="AZ92" i="5"/>
  <c r="BL92" i="5"/>
  <c r="BX92" i="5"/>
  <c r="J93" i="5"/>
  <c r="V93" i="5"/>
  <c r="AH93" i="5"/>
  <c r="AT93" i="5"/>
  <c r="BF93" i="5"/>
  <c r="BR93" i="5"/>
  <c r="D94" i="5"/>
  <c r="P94" i="5"/>
  <c r="AB94" i="5"/>
  <c r="AN94" i="5"/>
  <c r="AZ94" i="5"/>
  <c r="BL94" i="5"/>
  <c r="BX94" i="5"/>
  <c r="J95" i="5"/>
  <c r="V95" i="5"/>
  <c r="AH95" i="5"/>
  <c r="AT95" i="5"/>
  <c r="BF95" i="5"/>
  <c r="BR95" i="5"/>
  <c r="D96" i="5"/>
  <c r="P96" i="5"/>
  <c r="AB96" i="5"/>
  <c r="AN96" i="5"/>
  <c r="AZ96" i="5"/>
  <c r="BL96" i="5"/>
  <c r="BX96" i="5"/>
  <c r="J97" i="5"/>
  <c r="V97" i="5"/>
  <c r="AH97" i="5"/>
  <c r="AT97" i="5"/>
  <c r="BF97" i="5"/>
  <c r="BR97" i="5"/>
  <c r="D98" i="5"/>
  <c r="AB98" i="5"/>
  <c r="AN98" i="5"/>
  <c r="AZ98" i="5"/>
  <c r="BL98" i="5"/>
  <c r="BX98" i="5"/>
  <c r="J99" i="5"/>
  <c r="V99" i="5"/>
  <c r="AH99" i="5"/>
  <c r="AT99" i="5"/>
  <c r="BF99" i="5"/>
  <c r="BR99" i="5"/>
  <c r="D100" i="5"/>
  <c r="P100" i="5"/>
  <c r="G85" i="5"/>
  <c r="AE85" i="5"/>
  <c r="BC85" i="5"/>
  <c r="CA85" i="5"/>
  <c r="S86" i="5"/>
  <c r="AQ86" i="5"/>
  <c r="BO86" i="5"/>
  <c r="L87" i="5"/>
  <c r="AJ87" i="5"/>
  <c r="BH87" i="5"/>
  <c r="AD88" i="5"/>
  <c r="BB88" i="5"/>
  <c r="BZ88" i="5"/>
  <c r="X89" i="5"/>
  <c r="AV89" i="5"/>
  <c r="BT89" i="5"/>
  <c r="Q90" i="5"/>
  <c r="AO90" i="5"/>
  <c r="BM90" i="5"/>
  <c r="K91" i="5"/>
  <c r="AI91" i="5"/>
  <c r="BG91" i="5"/>
  <c r="E92" i="5"/>
  <c r="AA92" i="5"/>
  <c r="AY92" i="5"/>
  <c r="BW92" i="5"/>
  <c r="U93" i="5"/>
  <c r="AS93" i="5"/>
  <c r="BQ93" i="5"/>
  <c r="N94" i="5"/>
  <c r="AL94" i="5"/>
  <c r="BJ94" i="5"/>
  <c r="H95" i="5"/>
  <c r="AF95" i="5"/>
  <c r="BD95" i="5"/>
  <c r="CA95" i="5"/>
  <c r="Y96" i="5"/>
  <c r="AW96" i="5"/>
  <c r="BU96" i="5"/>
  <c r="AK97" i="5"/>
  <c r="BI97" i="5"/>
  <c r="G98" i="5"/>
  <c r="AD98" i="5"/>
  <c r="BA98" i="5"/>
  <c r="BV98" i="5"/>
  <c r="AI99" i="5"/>
  <c r="BD99" i="5"/>
  <c r="BZ99" i="5"/>
  <c r="AL100" i="5"/>
  <c r="BB100" i="5"/>
  <c r="BU100" i="5"/>
  <c r="J101" i="5"/>
  <c r="Y101" i="5"/>
  <c r="AQ101" i="5"/>
  <c r="BF101" i="5"/>
  <c r="BT101" i="5"/>
  <c r="J102" i="5"/>
  <c r="W102" i="5"/>
  <c r="AK102" i="5"/>
  <c r="AY102" i="5"/>
  <c r="BM102" i="5"/>
  <c r="CA102" i="5"/>
  <c r="Q103" i="5"/>
  <c r="AE103" i="5"/>
  <c r="AS103" i="5"/>
  <c r="BF103" i="5"/>
  <c r="BS103" i="5"/>
  <c r="F104" i="5"/>
  <c r="S104" i="5"/>
  <c r="AG104" i="5"/>
  <c r="AT104" i="5"/>
  <c r="BG104" i="5"/>
  <c r="BS104" i="5"/>
  <c r="E105" i="5"/>
  <c r="Q105" i="5"/>
  <c r="AC105" i="5"/>
  <c r="AO105" i="5"/>
  <c r="BA105" i="5"/>
  <c r="BM105" i="5"/>
  <c r="BY105" i="5"/>
  <c r="K106" i="5"/>
  <c r="W106" i="5"/>
  <c r="AI106" i="5"/>
  <c r="AU106" i="5"/>
  <c r="BG106" i="5"/>
  <c r="BS106" i="5"/>
  <c r="E107" i="5"/>
  <c r="Q107" i="5"/>
  <c r="AC107" i="5"/>
  <c r="AO107" i="5"/>
  <c r="BA107" i="5"/>
  <c r="BM107" i="5"/>
  <c r="BY107" i="5"/>
  <c r="K108" i="5"/>
  <c r="W108" i="5"/>
  <c r="AI108" i="5"/>
  <c r="AU108" i="5"/>
  <c r="BG108" i="5"/>
  <c r="BS108" i="5"/>
  <c r="E109" i="5"/>
  <c r="Q109" i="5"/>
  <c r="AC109" i="5"/>
  <c r="AO109" i="5"/>
  <c r="BA109" i="5"/>
  <c r="BM109" i="5"/>
  <c r="BY109" i="5"/>
  <c r="K110" i="5"/>
  <c r="W110" i="5"/>
  <c r="AI110" i="5"/>
  <c r="AU110" i="5"/>
  <c r="BG110" i="5"/>
  <c r="BS110" i="5"/>
  <c r="E111" i="5"/>
  <c r="Q111" i="5"/>
  <c r="AO111" i="5"/>
  <c r="BA111" i="5"/>
  <c r="BM111" i="5"/>
  <c r="BY111" i="5"/>
  <c r="K112" i="5"/>
  <c r="W112" i="5"/>
  <c r="AI112" i="5"/>
  <c r="AU112" i="5"/>
  <c r="BG112" i="5"/>
  <c r="BS112" i="5"/>
  <c r="E113" i="5"/>
  <c r="Q113" i="5"/>
  <c r="AC113" i="5"/>
  <c r="AO113" i="5"/>
  <c r="BA113" i="5"/>
  <c r="BM113" i="5"/>
  <c r="BY113" i="5"/>
  <c r="K114" i="5"/>
  <c r="W114" i="5"/>
  <c r="AI114" i="5"/>
  <c r="H85" i="5"/>
  <c r="AF85" i="5"/>
  <c r="BD85" i="5"/>
  <c r="Y86" i="5"/>
  <c r="AW86" i="5"/>
  <c r="BU86" i="5"/>
  <c r="M87" i="5"/>
  <c r="AK87" i="5"/>
  <c r="BI87" i="5"/>
  <c r="G88" i="5"/>
  <c r="AE88" i="5"/>
  <c r="BC88" i="5"/>
  <c r="CA88" i="5"/>
  <c r="Y89" i="5"/>
  <c r="AW89" i="5"/>
  <c r="BU89" i="5"/>
  <c r="R90" i="5"/>
  <c r="AP90" i="5"/>
  <c r="BN90" i="5"/>
  <c r="L91" i="5"/>
  <c r="AJ91" i="5"/>
  <c r="BH91" i="5"/>
  <c r="F92" i="5"/>
  <c r="AC92" i="5"/>
  <c r="BA92" i="5"/>
  <c r="BY92" i="5"/>
  <c r="W93" i="5"/>
  <c r="AU93" i="5"/>
  <c r="BS93" i="5"/>
  <c r="O94" i="5"/>
  <c r="AM94" i="5"/>
  <c r="BK94" i="5"/>
  <c r="I95" i="5"/>
  <c r="AG95" i="5"/>
  <c r="BE95" i="5"/>
  <c r="B96" i="5"/>
  <c r="Z96" i="5"/>
  <c r="AX96" i="5"/>
  <c r="BV96" i="5"/>
  <c r="S97" i="5"/>
  <c r="AQ97" i="5"/>
  <c r="BO97" i="5"/>
  <c r="M98" i="5"/>
  <c r="AE98" i="5"/>
  <c r="BB98" i="5"/>
  <c r="BW98" i="5"/>
  <c r="R99" i="5"/>
  <c r="AJ99" i="5"/>
  <c r="BE99" i="5"/>
  <c r="CA99" i="5"/>
  <c r="S100" i="5"/>
  <c r="AM100" i="5"/>
  <c r="BC100" i="5"/>
  <c r="BV100" i="5"/>
  <c r="K101" i="5"/>
  <c r="AC101" i="5"/>
  <c r="AR101" i="5"/>
  <c r="BG101" i="5"/>
  <c r="BU101" i="5"/>
  <c r="K102" i="5"/>
  <c r="X102" i="5"/>
  <c r="AL102" i="5"/>
  <c r="AZ102" i="5"/>
  <c r="BN102" i="5"/>
  <c r="D103" i="5"/>
  <c r="R103" i="5"/>
  <c r="AF103" i="5"/>
  <c r="AT103" i="5"/>
  <c r="BG103" i="5"/>
  <c r="BT103" i="5"/>
  <c r="G104" i="5"/>
  <c r="U104" i="5"/>
  <c r="AH104" i="5"/>
  <c r="AU104" i="5"/>
  <c r="BH104" i="5"/>
  <c r="BT104" i="5"/>
  <c r="F105" i="5"/>
  <c r="R105" i="5"/>
  <c r="AD105" i="5"/>
  <c r="AP105" i="5"/>
  <c r="BB105" i="5"/>
  <c r="BN105" i="5"/>
  <c r="BZ105" i="5"/>
  <c r="L106" i="5"/>
  <c r="AJ106" i="5"/>
  <c r="AV106" i="5"/>
  <c r="BH106" i="5"/>
  <c r="BT106" i="5"/>
  <c r="F107" i="5"/>
  <c r="R107" i="5"/>
  <c r="AD107" i="5"/>
  <c r="AP107" i="5"/>
  <c r="BB107" i="5"/>
  <c r="BN107" i="5"/>
  <c r="BZ107" i="5"/>
  <c r="L108" i="5"/>
  <c r="X108" i="5"/>
  <c r="AJ108" i="5"/>
  <c r="AV108" i="5"/>
  <c r="BH108" i="5"/>
  <c r="BT108" i="5"/>
  <c r="F109" i="5"/>
  <c r="R109" i="5"/>
  <c r="AD109" i="5"/>
  <c r="AP109" i="5"/>
  <c r="BB109" i="5"/>
  <c r="BN109" i="5"/>
  <c r="BZ109" i="5"/>
  <c r="L110" i="5"/>
  <c r="X110" i="5"/>
  <c r="AJ110" i="5"/>
  <c r="AV110" i="5"/>
  <c r="BH110" i="5"/>
  <c r="BT110" i="5"/>
  <c r="F111" i="5"/>
  <c r="R111" i="5"/>
  <c r="AD111" i="5"/>
  <c r="AP111" i="5"/>
  <c r="BB111" i="5"/>
  <c r="BN111" i="5"/>
  <c r="BZ111" i="5"/>
  <c r="L112" i="5"/>
  <c r="X112" i="5"/>
  <c r="AJ112" i="5"/>
  <c r="AV112" i="5"/>
  <c r="BH112" i="5"/>
  <c r="I85" i="5"/>
  <c r="AG85" i="5"/>
  <c r="BE85" i="5"/>
  <c r="Z86" i="5"/>
  <c r="AX86" i="5"/>
  <c r="BV86" i="5"/>
  <c r="S87" i="5"/>
  <c r="AQ87" i="5"/>
  <c r="BO87" i="5"/>
  <c r="M88" i="5"/>
  <c r="AK88" i="5"/>
  <c r="BI88" i="5"/>
  <c r="AE89" i="5"/>
  <c r="BC89" i="5"/>
  <c r="CA89" i="5"/>
  <c r="S90" i="5"/>
  <c r="AQ90" i="5"/>
  <c r="BO90" i="5"/>
  <c r="M91" i="5"/>
  <c r="AK91" i="5"/>
  <c r="BI91" i="5"/>
  <c r="G92" i="5"/>
  <c r="AD92" i="5"/>
  <c r="BB92" i="5"/>
  <c r="BZ92" i="5"/>
  <c r="X93" i="5"/>
  <c r="AV93" i="5"/>
  <c r="BT93" i="5"/>
  <c r="Q94" i="5"/>
  <c r="AO94" i="5"/>
  <c r="BM94" i="5"/>
  <c r="K95" i="5"/>
  <c r="AI95" i="5"/>
  <c r="BG95" i="5"/>
  <c r="AA96" i="5"/>
  <c r="AY96" i="5"/>
  <c r="BW96" i="5"/>
  <c r="T97" i="5"/>
  <c r="AR97" i="5"/>
  <c r="BP97" i="5"/>
  <c r="N98" i="5"/>
  <c r="AK98" i="5"/>
  <c r="BC98" i="5"/>
  <c r="BY98" i="5"/>
  <c r="S99" i="5"/>
  <c r="AK99" i="5"/>
  <c r="BG99" i="5"/>
  <c r="B100" i="5"/>
  <c r="X100" i="5"/>
  <c r="AN100" i="5"/>
  <c r="BH100" i="5"/>
  <c r="BW100" i="5"/>
  <c r="L101" i="5"/>
  <c r="AD101" i="5"/>
  <c r="AS101" i="5"/>
  <c r="BH101" i="5"/>
  <c r="BX101" i="5"/>
  <c r="L102" i="5"/>
  <c r="Y102" i="5"/>
  <c r="AM102" i="5"/>
  <c r="BA102" i="5"/>
  <c r="BO102" i="5"/>
  <c r="E103" i="5"/>
  <c r="S103" i="5"/>
  <c r="AG103" i="5"/>
  <c r="AU103" i="5"/>
  <c r="BH103" i="5"/>
  <c r="BU103" i="5"/>
  <c r="I104" i="5"/>
  <c r="AI104" i="5"/>
  <c r="AV104" i="5"/>
  <c r="BI104" i="5"/>
  <c r="BU104" i="5"/>
  <c r="G105" i="5"/>
  <c r="S105" i="5"/>
  <c r="AE105" i="5"/>
  <c r="AQ105" i="5"/>
  <c r="BC105" i="5"/>
  <c r="BO105" i="5"/>
  <c r="CA105" i="5"/>
  <c r="M106" i="5"/>
  <c r="Y106" i="5"/>
  <c r="AK106" i="5"/>
  <c r="AW106" i="5"/>
  <c r="BI106" i="5"/>
  <c r="BU106" i="5"/>
  <c r="G107" i="5"/>
  <c r="S107" i="5"/>
  <c r="AE107" i="5"/>
  <c r="AQ107" i="5"/>
  <c r="BC107" i="5"/>
  <c r="BO107" i="5"/>
  <c r="CA107" i="5"/>
  <c r="M108" i="5"/>
  <c r="Y108" i="5"/>
  <c r="AK108" i="5"/>
  <c r="AW108" i="5"/>
  <c r="BI108" i="5"/>
  <c r="BU108" i="5"/>
  <c r="G109" i="5"/>
  <c r="S109" i="5"/>
  <c r="AE109" i="5"/>
  <c r="AQ109" i="5"/>
  <c r="BC109" i="5"/>
  <c r="BO109" i="5"/>
  <c r="CA109" i="5"/>
  <c r="M110" i="5"/>
  <c r="Y110" i="5"/>
  <c r="AK110" i="5"/>
  <c r="AW110" i="5"/>
  <c r="K85" i="5"/>
  <c r="AI85" i="5"/>
  <c r="BG85" i="5"/>
  <c r="AA86" i="5"/>
  <c r="AY86" i="5"/>
  <c r="BW86" i="5"/>
  <c r="T87" i="5"/>
  <c r="AR87" i="5"/>
  <c r="BP87" i="5"/>
  <c r="N88" i="5"/>
  <c r="AL88" i="5"/>
  <c r="BJ88" i="5"/>
  <c r="H89" i="5"/>
  <c r="AF89" i="5"/>
  <c r="BD89" i="5"/>
  <c r="B90" i="5"/>
  <c r="Y90" i="5"/>
  <c r="AW90" i="5"/>
  <c r="BU90" i="5"/>
  <c r="S91" i="5"/>
  <c r="AQ91" i="5"/>
  <c r="BO91" i="5"/>
  <c r="AE92" i="5"/>
  <c r="BC92" i="5"/>
  <c r="CA92" i="5"/>
  <c r="Y93" i="5"/>
  <c r="AW93" i="5"/>
  <c r="BU93" i="5"/>
  <c r="R94" i="5"/>
  <c r="AP94" i="5"/>
  <c r="BN94" i="5"/>
  <c r="L95" i="5"/>
  <c r="AJ95" i="5"/>
  <c r="BH95" i="5"/>
  <c r="E96" i="5"/>
  <c r="AC96" i="5"/>
  <c r="BA96" i="5"/>
  <c r="BY96" i="5"/>
  <c r="U97" i="5"/>
  <c r="AS97" i="5"/>
  <c r="BQ97" i="5"/>
  <c r="O98" i="5"/>
  <c r="AL98" i="5"/>
  <c r="BH98" i="5"/>
  <c r="BZ98" i="5"/>
  <c r="T99" i="5"/>
  <c r="AP99" i="5"/>
  <c r="BH99" i="5"/>
  <c r="Y100" i="5"/>
  <c r="AO100" i="5"/>
  <c r="BI100" i="5"/>
  <c r="BX100" i="5"/>
  <c r="M101" i="5"/>
  <c r="AE101" i="5"/>
  <c r="AT101" i="5"/>
  <c r="BI101" i="5"/>
  <c r="BY101" i="5"/>
  <c r="M102" i="5"/>
  <c r="Z102" i="5"/>
  <c r="AN102" i="5"/>
  <c r="BB102" i="5"/>
  <c r="BR102" i="5"/>
  <c r="F103" i="5"/>
  <c r="T103" i="5"/>
  <c r="AH103" i="5"/>
  <c r="AV103" i="5"/>
  <c r="BI103" i="5"/>
  <c r="BW103" i="5"/>
  <c r="J104" i="5"/>
  <c r="W104" i="5"/>
  <c r="AJ104" i="5"/>
  <c r="AW104" i="5"/>
  <c r="BJ104" i="5"/>
  <c r="BV104" i="5"/>
  <c r="H105" i="5"/>
  <c r="T105" i="5"/>
  <c r="AF105" i="5"/>
  <c r="AR105" i="5"/>
  <c r="BD105" i="5"/>
  <c r="BP105" i="5"/>
  <c r="B106" i="5"/>
  <c r="N106" i="5"/>
  <c r="Z106" i="5"/>
  <c r="AL106" i="5"/>
  <c r="AX106" i="5"/>
  <c r="BJ106" i="5"/>
  <c r="BV106" i="5"/>
  <c r="H107" i="5"/>
  <c r="T107" i="5"/>
  <c r="AF107" i="5"/>
  <c r="AR107" i="5"/>
  <c r="BD107" i="5"/>
  <c r="BP107" i="5"/>
  <c r="B108" i="5"/>
  <c r="N108" i="5"/>
  <c r="AL108" i="5"/>
  <c r="AX108" i="5"/>
  <c r="BJ108" i="5"/>
  <c r="BV108" i="5"/>
  <c r="H109" i="5"/>
  <c r="T109" i="5"/>
  <c r="AF109" i="5"/>
  <c r="AR109" i="5"/>
  <c r="BD109" i="5"/>
  <c r="BP109" i="5"/>
  <c r="L85" i="5"/>
  <c r="AJ85" i="5"/>
  <c r="BH85" i="5"/>
  <c r="E86" i="5"/>
  <c r="AC86" i="5"/>
  <c r="BA86" i="5"/>
  <c r="BY86" i="5"/>
  <c r="U87" i="5"/>
  <c r="AS87" i="5"/>
  <c r="BQ87" i="5"/>
  <c r="O88" i="5"/>
  <c r="AM88" i="5"/>
  <c r="BK88" i="5"/>
  <c r="I89" i="5"/>
  <c r="AG89" i="5"/>
  <c r="BE89" i="5"/>
  <c r="Z90" i="5"/>
  <c r="AX90" i="5"/>
  <c r="BV90" i="5"/>
  <c r="T91" i="5"/>
  <c r="AR91" i="5"/>
  <c r="BP91" i="5"/>
  <c r="M92" i="5"/>
  <c r="AK92" i="5"/>
  <c r="BI92" i="5"/>
  <c r="G93" i="5"/>
  <c r="AE93" i="5"/>
  <c r="BC93" i="5"/>
  <c r="CA93" i="5"/>
  <c r="S94" i="5"/>
  <c r="AQ94" i="5"/>
  <c r="BO94" i="5"/>
  <c r="AK95" i="5"/>
  <c r="BI95" i="5"/>
  <c r="F96" i="5"/>
  <c r="AD96" i="5"/>
  <c r="BB96" i="5"/>
  <c r="BZ96" i="5"/>
  <c r="W97" i="5"/>
  <c r="AU97" i="5"/>
  <c r="BS97" i="5"/>
  <c r="AM98" i="5"/>
  <c r="BI98" i="5"/>
  <c r="CA98" i="5"/>
  <c r="U99" i="5"/>
  <c r="AQ99" i="5"/>
  <c r="BI99" i="5"/>
  <c r="E100" i="5"/>
  <c r="Z100" i="5"/>
  <c r="AP100" i="5"/>
  <c r="BJ100" i="5"/>
  <c r="BY100" i="5"/>
  <c r="Q101" i="5"/>
  <c r="AF101" i="5"/>
  <c r="AU101" i="5"/>
  <c r="BL101" i="5"/>
  <c r="BZ101" i="5"/>
  <c r="N102" i="5"/>
  <c r="AA102" i="5"/>
  <c r="AO102" i="5"/>
  <c r="BC102" i="5"/>
  <c r="BS102" i="5"/>
  <c r="G103" i="5"/>
  <c r="AI103" i="5"/>
  <c r="AW103" i="5"/>
  <c r="BK103" i="5"/>
  <c r="BX103" i="5"/>
  <c r="K104" i="5"/>
  <c r="X104" i="5"/>
  <c r="AK104" i="5"/>
  <c r="AX104" i="5"/>
  <c r="BK104" i="5"/>
  <c r="BW104" i="5"/>
  <c r="I105" i="5"/>
  <c r="U105" i="5"/>
  <c r="AG105" i="5"/>
  <c r="AS105" i="5"/>
  <c r="BE105" i="5"/>
  <c r="BQ105" i="5"/>
  <c r="O106" i="5"/>
  <c r="AA106" i="5"/>
  <c r="AM106" i="5"/>
  <c r="AY106" i="5"/>
  <c r="BK106" i="5"/>
  <c r="BW106" i="5"/>
  <c r="I107" i="5"/>
  <c r="U107" i="5"/>
  <c r="AG107" i="5"/>
  <c r="AS107" i="5"/>
  <c r="BE107" i="5"/>
  <c r="BQ107" i="5"/>
  <c r="O108" i="5"/>
  <c r="AA108" i="5"/>
  <c r="AM108" i="5"/>
  <c r="U85" i="5"/>
  <c r="AS85" i="5"/>
  <c r="BQ85" i="5"/>
  <c r="N86" i="5"/>
  <c r="AL86" i="5"/>
  <c r="BJ86" i="5"/>
  <c r="G87" i="5"/>
  <c r="AE87" i="5"/>
  <c r="BC87" i="5"/>
  <c r="CA87" i="5"/>
  <c r="Y88" i="5"/>
  <c r="AW88" i="5"/>
  <c r="BU88" i="5"/>
  <c r="S89" i="5"/>
  <c r="AQ89" i="5"/>
  <c r="BO89" i="5"/>
  <c r="AE90" i="5"/>
  <c r="BC90" i="5"/>
  <c r="CA90" i="5"/>
  <c r="Y91" i="5"/>
  <c r="AW91" i="5"/>
  <c r="BU91" i="5"/>
  <c r="R92" i="5"/>
  <c r="AP92" i="5"/>
  <c r="BN92" i="5"/>
  <c r="L93" i="5"/>
  <c r="AJ93" i="5"/>
  <c r="BH93" i="5"/>
  <c r="F94" i="5"/>
  <c r="AC94" i="5"/>
  <c r="BA94" i="5"/>
  <c r="BY94" i="5"/>
  <c r="W95" i="5"/>
  <c r="AU95" i="5"/>
  <c r="BQ95" i="5"/>
  <c r="O96" i="5"/>
  <c r="AM96" i="5"/>
  <c r="BK96" i="5"/>
  <c r="I97" i="5"/>
  <c r="AF97" i="5"/>
  <c r="BD97" i="5"/>
  <c r="B98" i="5"/>
  <c r="Y98" i="5"/>
  <c r="AV98" i="5"/>
  <c r="BN98" i="5"/>
  <c r="I99" i="5"/>
  <c r="AD99" i="5"/>
  <c r="AV99" i="5"/>
  <c r="BQ99" i="5"/>
  <c r="M100" i="5"/>
  <c r="AD100" i="5"/>
  <c r="AX100" i="5"/>
  <c r="BN100" i="5"/>
  <c r="F101" i="5"/>
  <c r="U101" i="5"/>
  <c r="AJ101" i="5"/>
  <c r="BB101" i="5"/>
  <c r="BP101" i="5"/>
  <c r="D102" i="5"/>
  <c r="R102" i="5"/>
  <c r="AE102" i="5"/>
  <c r="AU102" i="5"/>
  <c r="BI102" i="5"/>
  <c r="BW102" i="5"/>
  <c r="K103" i="5"/>
  <c r="Y103" i="5"/>
  <c r="AO103" i="5"/>
  <c r="BB103" i="5"/>
  <c r="BO103" i="5"/>
  <c r="B104" i="5"/>
  <c r="O104" i="5"/>
  <c r="AB104" i="5"/>
  <c r="AO104" i="5"/>
  <c r="BB104" i="5"/>
  <c r="BO104" i="5"/>
  <c r="CA104" i="5"/>
  <c r="M105" i="5"/>
  <c r="Y105" i="5"/>
  <c r="AK105" i="5"/>
  <c r="AW105" i="5"/>
  <c r="BI105" i="5"/>
  <c r="BU105" i="5"/>
  <c r="G106" i="5"/>
  <c r="S106" i="5"/>
  <c r="AE106" i="5"/>
  <c r="AQ106" i="5"/>
  <c r="BC106" i="5"/>
  <c r="BO106" i="5"/>
  <c r="CA106" i="5"/>
  <c r="M107" i="5"/>
  <c r="AK107" i="5"/>
  <c r="AW107" i="5"/>
  <c r="BI107" i="5"/>
  <c r="BU107" i="5"/>
  <c r="G108" i="5"/>
  <c r="S108" i="5"/>
  <c r="AE108" i="5"/>
  <c r="AQ108" i="5"/>
  <c r="BC108" i="5"/>
  <c r="BO108" i="5"/>
  <c r="CA108" i="5"/>
  <c r="M109" i="5"/>
  <c r="Y109" i="5"/>
  <c r="AK109" i="5"/>
  <c r="AW109" i="5"/>
  <c r="M85" i="5"/>
  <c r="BI85" i="5"/>
  <c r="R86" i="5"/>
  <c r="BN86" i="5"/>
  <c r="AI87" i="5"/>
  <c r="E88" i="5"/>
  <c r="AY88" i="5"/>
  <c r="T89" i="5"/>
  <c r="BP89" i="5"/>
  <c r="AD90" i="5"/>
  <c r="BZ90" i="5"/>
  <c r="AV91" i="5"/>
  <c r="O92" i="5"/>
  <c r="BK92" i="5"/>
  <c r="AG93" i="5"/>
  <c r="AX94" i="5"/>
  <c r="S95" i="5"/>
  <c r="AE96" i="5"/>
  <c r="CA96" i="5"/>
  <c r="AJ97" i="5"/>
  <c r="F98" i="5"/>
  <c r="AX98" i="5"/>
  <c r="L99" i="5"/>
  <c r="AW99" i="5"/>
  <c r="N100" i="5"/>
  <c r="AW100" i="5"/>
  <c r="E101" i="5"/>
  <c r="AI101" i="5"/>
  <c r="BO101" i="5"/>
  <c r="Q102" i="5"/>
  <c r="AT102" i="5"/>
  <c r="BV102" i="5"/>
  <c r="W103" i="5"/>
  <c r="AZ103" i="5"/>
  <c r="BZ103" i="5"/>
  <c r="Y104" i="5"/>
  <c r="AY104" i="5"/>
  <c r="BX104" i="5"/>
  <c r="V105" i="5"/>
  <c r="AT105" i="5"/>
  <c r="BR105" i="5"/>
  <c r="P106" i="5"/>
  <c r="AH106" i="5"/>
  <c r="BF106" i="5"/>
  <c r="D107" i="5"/>
  <c r="AA107" i="5"/>
  <c r="AY107" i="5"/>
  <c r="BW107" i="5"/>
  <c r="U108" i="5"/>
  <c r="AR108" i="5"/>
  <c r="BM108" i="5"/>
  <c r="I109" i="5"/>
  <c r="AV109" i="5"/>
  <c r="BQ109" i="5"/>
  <c r="F110" i="5"/>
  <c r="U110" i="5"/>
  <c r="AM110" i="5"/>
  <c r="BB110" i="5"/>
  <c r="BP110" i="5"/>
  <c r="D111" i="5"/>
  <c r="T111" i="5"/>
  <c r="AG111" i="5"/>
  <c r="AU111" i="5"/>
  <c r="BI111" i="5"/>
  <c r="BW111" i="5"/>
  <c r="M112" i="5"/>
  <c r="AA112" i="5"/>
  <c r="AO112" i="5"/>
  <c r="BC112" i="5"/>
  <c r="BQ112" i="5"/>
  <c r="D113" i="5"/>
  <c r="R113" i="5"/>
  <c r="AR113" i="5"/>
  <c r="BE113" i="5"/>
  <c r="BR113" i="5"/>
  <c r="E114" i="5"/>
  <c r="R114" i="5"/>
  <c r="AE114" i="5"/>
  <c r="AR114" i="5"/>
  <c r="BD114" i="5"/>
  <c r="BP114" i="5"/>
  <c r="B115" i="5"/>
  <c r="N115" i="5"/>
  <c r="Z115" i="5"/>
  <c r="AL115" i="5"/>
  <c r="AX115" i="5"/>
  <c r="BJ115" i="5"/>
  <c r="BV115" i="5"/>
  <c r="H116" i="5"/>
  <c r="T116" i="5"/>
  <c r="AF116" i="5"/>
  <c r="AR116" i="5"/>
  <c r="BD116" i="5"/>
  <c r="BP116" i="5"/>
  <c r="B117" i="5"/>
  <c r="N117" i="5"/>
  <c r="Z117" i="5"/>
  <c r="AL117" i="5"/>
  <c r="AX117" i="5"/>
  <c r="BJ117" i="5"/>
  <c r="BV117" i="5"/>
  <c r="H118" i="5"/>
  <c r="T118" i="5"/>
  <c r="AF118" i="5"/>
  <c r="AR118" i="5"/>
  <c r="BD118" i="5"/>
  <c r="BP118" i="5"/>
  <c r="B119" i="5"/>
  <c r="N119" i="5"/>
  <c r="Z119" i="5"/>
  <c r="AL119" i="5"/>
  <c r="AX119" i="5"/>
  <c r="BJ119" i="5"/>
  <c r="BV119" i="5"/>
  <c r="H120" i="5"/>
  <c r="T120" i="5"/>
  <c r="AF120" i="5"/>
  <c r="AR120" i="5"/>
  <c r="BD120" i="5"/>
  <c r="BP120" i="5"/>
  <c r="B121" i="5"/>
  <c r="N121" i="5"/>
  <c r="Z121" i="5"/>
  <c r="AL121" i="5"/>
  <c r="AX121" i="5"/>
  <c r="BJ121" i="5"/>
  <c r="BV121" i="5"/>
  <c r="H122" i="5"/>
  <c r="T122" i="5"/>
  <c r="AF122" i="5"/>
  <c r="S85" i="5"/>
  <c r="BO85" i="5"/>
  <c r="AD86" i="5"/>
  <c r="BZ86" i="5"/>
  <c r="AU87" i="5"/>
  <c r="BA88" i="5"/>
  <c r="U89" i="5"/>
  <c r="BQ89" i="5"/>
  <c r="AK90" i="5"/>
  <c r="G91" i="5"/>
  <c r="BC91" i="5"/>
  <c r="Q92" i="5"/>
  <c r="BM92" i="5"/>
  <c r="AI93" i="5"/>
  <c r="E94" i="5"/>
  <c r="AY94" i="5"/>
  <c r="T95" i="5"/>
  <c r="BO95" i="5"/>
  <c r="AK96" i="5"/>
  <c r="G97" i="5"/>
  <c r="AV97" i="5"/>
  <c r="AY98" i="5"/>
  <c r="M99" i="5"/>
  <c r="BB99" i="5"/>
  <c r="O100" i="5"/>
  <c r="AY100" i="5"/>
  <c r="G101" i="5"/>
  <c r="AK101" i="5"/>
  <c r="BQ101" i="5"/>
  <c r="S102" i="5"/>
  <c r="AV102" i="5"/>
  <c r="BX102" i="5"/>
  <c r="X103" i="5"/>
  <c r="BA103" i="5"/>
  <c r="CA103" i="5"/>
  <c r="Z104" i="5"/>
  <c r="AZ104" i="5"/>
  <c r="BY104" i="5"/>
  <c r="AU105" i="5"/>
  <c r="BS105" i="5"/>
  <c r="Q106" i="5"/>
  <c r="AN106" i="5"/>
  <c r="BL106" i="5"/>
  <c r="J107" i="5"/>
  <c r="AB107" i="5"/>
  <c r="AZ107" i="5"/>
  <c r="BX107" i="5"/>
  <c r="V108" i="5"/>
  <c r="AS108" i="5"/>
  <c r="BN108" i="5"/>
  <c r="J109" i="5"/>
  <c r="AB109" i="5"/>
  <c r="AX109" i="5"/>
  <c r="BR109" i="5"/>
  <c r="G110" i="5"/>
  <c r="V110" i="5"/>
  <c r="AN110" i="5"/>
  <c r="BC110" i="5"/>
  <c r="BQ110" i="5"/>
  <c r="G111" i="5"/>
  <c r="U111" i="5"/>
  <c r="AH111" i="5"/>
  <c r="AV111" i="5"/>
  <c r="BJ111" i="5"/>
  <c r="BX111" i="5"/>
  <c r="N112" i="5"/>
  <c r="AB112" i="5"/>
  <c r="AP112" i="5"/>
  <c r="BD112" i="5"/>
  <c r="BR112" i="5"/>
  <c r="F113" i="5"/>
  <c r="S113" i="5"/>
  <c r="AF113" i="5"/>
  <c r="AS113" i="5"/>
  <c r="BF113" i="5"/>
  <c r="BS113" i="5"/>
  <c r="F114" i="5"/>
  <c r="S114" i="5"/>
  <c r="AS114" i="5"/>
  <c r="BE114" i="5"/>
  <c r="BQ114" i="5"/>
  <c r="O115" i="5"/>
  <c r="AA115" i="5"/>
  <c r="AM115" i="5"/>
  <c r="AY115" i="5"/>
  <c r="BK115" i="5"/>
  <c r="BW115" i="5"/>
  <c r="I116" i="5"/>
  <c r="U116" i="5"/>
  <c r="AG116" i="5"/>
  <c r="AS116" i="5"/>
  <c r="BE116" i="5"/>
  <c r="BQ116" i="5"/>
  <c r="O117" i="5"/>
  <c r="AA117" i="5"/>
  <c r="AM117" i="5"/>
  <c r="AY117" i="5"/>
  <c r="BK117" i="5"/>
  <c r="BW117" i="5"/>
  <c r="I118" i="5"/>
  <c r="U118" i="5"/>
  <c r="AG118" i="5"/>
  <c r="AS118" i="5"/>
  <c r="BE118" i="5"/>
  <c r="BQ118" i="5"/>
  <c r="O119" i="5"/>
  <c r="AA119" i="5"/>
  <c r="AM119" i="5"/>
  <c r="AY119" i="5"/>
  <c r="BK119" i="5"/>
  <c r="BW119" i="5"/>
  <c r="I120" i="5"/>
  <c r="U120" i="5"/>
  <c r="AG120" i="5"/>
  <c r="AS120" i="5"/>
  <c r="BE120" i="5"/>
  <c r="BQ120" i="5"/>
  <c r="O121" i="5"/>
  <c r="AA121" i="5"/>
  <c r="AY121" i="5"/>
  <c r="BK121" i="5"/>
  <c r="BW121" i="5"/>
  <c r="I122" i="5"/>
  <c r="U122" i="5"/>
  <c r="AG122" i="5"/>
  <c r="T85" i="5"/>
  <c r="BP85" i="5"/>
  <c r="AE86" i="5"/>
  <c r="CA86" i="5"/>
  <c r="AV87" i="5"/>
  <c r="Q88" i="5"/>
  <c r="BM88" i="5"/>
  <c r="W89" i="5"/>
  <c r="BS89" i="5"/>
  <c r="AL90" i="5"/>
  <c r="H91" i="5"/>
  <c r="BD91" i="5"/>
  <c r="S92" i="5"/>
  <c r="BO92" i="5"/>
  <c r="AK93" i="5"/>
  <c r="G94" i="5"/>
  <c r="BB94" i="5"/>
  <c r="U95" i="5"/>
  <c r="BP95" i="5"/>
  <c r="AL96" i="5"/>
  <c r="H97" i="5"/>
  <c r="AW97" i="5"/>
  <c r="Q98" i="5"/>
  <c r="BJ98" i="5"/>
  <c r="BC99" i="5"/>
  <c r="Q100" i="5"/>
  <c r="AZ100" i="5"/>
  <c r="H101" i="5"/>
  <c r="AO101" i="5"/>
  <c r="BR101" i="5"/>
  <c r="AW102" i="5"/>
  <c r="BY102" i="5"/>
  <c r="AB103" i="5"/>
  <c r="BC103" i="5"/>
  <c r="AA104" i="5"/>
  <c r="BA104" i="5"/>
  <c r="BZ104" i="5"/>
  <c r="X105" i="5"/>
  <c r="AV105" i="5"/>
  <c r="BT105" i="5"/>
  <c r="R106" i="5"/>
  <c r="AO106" i="5"/>
  <c r="BM106" i="5"/>
  <c r="K107" i="5"/>
  <c r="AH107" i="5"/>
  <c r="BF107" i="5"/>
  <c r="D108" i="5"/>
  <c r="AT108" i="5"/>
  <c r="BP108" i="5"/>
  <c r="K109" i="5"/>
  <c r="AG109" i="5"/>
  <c r="AY109" i="5"/>
  <c r="BS109" i="5"/>
  <c r="H110" i="5"/>
  <c r="Z110" i="5"/>
  <c r="AO110" i="5"/>
  <c r="BD110" i="5"/>
  <c r="BR110" i="5"/>
  <c r="H111" i="5"/>
  <c r="V111" i="5"/>
  <c r="AI111" i="5"/>
  <c r="AW111" i="5"/>
  <c r="BK111" i="5"/>
  <c r="CA111" i="5"/>
  <c r="O112" i="5"/>
  <c r="AC112" i="5"/>
  <c r="AQ112" i="5"/>
  <c r="BE112" i="5"/>
  <c r="BT112" i="5"/>
  <c r="G113" i="5"/>
  <c r="T113" i="5"/>
  <c r="AG113" i="5"/>
  <c r="AT113" i="5"/>
  <c r="BG113" i="5"/>
  <c r="BT113" i="5"/>
  <c r="G114" i="5"/>
  <c r="T114" i="5"/>
  <c r="AG114" i="5"/>
  <c r="AT114" i="5"/>
  <c r="BF114" i="5"/>
  <c r="BR114" i="5"/>
  <c r="D115" i="5"/>
  <c r="P115" i="5"/>
  <c r="AB115" i="5"/>
  <c r="AN115" i="5"/>
  <c r="AZ115" i="5"/>
  <c r="BL115" i="5"/>
  <c r="BX115" i="5"/>
  <c r="J116" i="5"/>
  <c r="V116" i="5"/>
  <c r="AT116" i="5"/>
  <c r="BF116" i="5"/>
  <c r="BR116" i="5"/>
  <c r="D117" i="5"/>
  <c r="P117" i="5"/>
  <c r="AB117" i="5"/>
  <c r="AN117" i="5"/>
  <c r="AZ117" i="5"/>
  <c r="BL117" i="5"/>
  <c r="BX117" i="5"/>
  <c r="J118" i="5"/>
  <c r="V118" i="5"/>
  <c r="AH118" i="5"/>
  <c r="AT118" i="5"/>
  <c r="BF118" i="5"/>
  <c r="BR118" i="5"/>
  <c r="D119" i="5"/>
  <c r="P119" i="5"/>
  <c r="AB119" i="5"/>
  <c r="AN119" i="5"/>
  <c r="AZ119" i="5"/>
  <c r="BL119" i="5"/>
  <c r="BX119" i="5"/>
  <c r="J120" i="5"/>
  <c r="V120" i="5"/>
  <c r="AH120" i="5"/>
  <c r="AT120" i="5"/>
  <c r="BF120" i="5"/>
  <c r="BR120" i="5"/>
  <c r="D121" i="5"/>
  <c r="P121" i="5"/>
  <c r="AB121" i="5"/>
  <c r="AN121" i="5"/>
  <c r="AZ121" i="5"/>
  <c r="BL121" i="5"/>
  <c r="BX121" i="5"/>
  <c r="W85" i="5"/>
  <c r="BS85" i="5"/>
  <c r="AK86" i="5"/>
  <c r="AW87" i="5"/>
  <c r="R88" i="5"/>
  <c r="BN88" i="5"/>
  <c r="AI89" i="5"/>
  <c r="E90" i="5"/>
  <c r="AM90" i="5"/>
  <c r="BE91" i="5"/>
  <c r="Y92" i="5"/>
  <c r="BU92" i="5"/>
  <c r="AQ93" i="5"/>
  <c r="BC94" i="5"/>
  <c r="X95" i="5"/>
  <c r="BS95" i="5"/>
  <c r="AO96" i="5"/>
  <c r="K97" i="5"/>
  <c r="BC97" i="5"/>
  <c r="R98" i="5"/>
  <c r="BK98" i="5"/>
  <c r="W99" i="5"/>
  <c r="BN99" i="5"/>
  <c r="BA100" i="5"/>
  <c r="I101" i="5"/>
  <c r="AP101" i="5"/>
  <c r="BS101" i="5"/>
  <c r="V102" i="5"/>
  <c r="AX102" i="5"/>
  <c r="BZ102" i="5"/>
  <c r="AC103" i="5"/>
  <c r="BD103" i="5"/>
  <c r="D104" i="5"/>
  <c r="AC104" i="5"/>
  <c r="BC104" i="5"/>
  <c r="B105" i="5"/>
  <c r="Z105" i="5"/>
  <c r="AX105" i="5"/>
  <c r="BV105" i="5"/>
  <c r="T106" i="5"/>
  <c r="AP106" i="5"/>
  <c r="BN106" i="5"/>
  <c r="L107" i="5"/>
  <c r="AI107" i="5"/>
  <c r="BG107" i="5"/>
  <c r="E108" i="5"/>
  <c r="AB108" i="5"/>
  <c r="AY108" i="5"/>
  <c r="BQ108" i="5"/>
  <c r="L109" i="5"/>
  <c r="AH109" i="5"/>
  <c r="AZ109" i="5"/>
  <c r="BT109" i="5"/>
  <c r="I110" i="5"/>
  <c r="AA110" i="5"/>
  <c r="AP110" i="5"/>
  <c r="BE110" i="5"/>
  <c r="BU110" i="5"/>
  <c r="I111" i="5"/>
  <c r="W111" i="5"/>
  <c r="AJ111" i="5"/>
  <c r="AX111" i="5"/>
  <c r="BL111" i="5"/>
  <c r="B112" i="5"/>
  <c r="P112" i="5"/>
  <c r="AR112" i="5"/>
  <c r="BF112" i="5"/>
  <c r="BU112" i="5"/>
  <c r="H113" i="5"/>
  <c r="U113" i="5"/>
  <c r="AH113" i="5"/>
  <c r="AU113" i="5"/>
  <c r="BH113" i="5"/>
  <c r="BU113" i="5"/>
  <c r="H114" i="5"/>
  <c r="U114" i="5"/>
  <c r="AH114" i="5"/>
  <c r="AU114" i="5"/>
  <c r="BG114" i="5"/>
  <c r="BS114" i="5"/>
  <c r="E115" i="5"/>
  <c r="Q115" i="5"/>
  <c r="AC115" i="5"/>
  <c r="AO115" i="5"/>
  <c r="BA115" i="5"/>
  <c r="BM115" i="5"/>
  <c r="BY115" i="5"/>
  <c r="K116" i="5"/>
  <c r="W116" i="5"/>
  <c r="AI116" i="5"/>
  <c r="AU116" i="5"/>
  <c r="BG116" i="5"/>
  <c r="BS116" i="5"/>
  <c r="E117" i="5"/>
  <c r="Q117" i="5"/>
  <c r="AC117" i="5"/>
  <c r="AO117" i="5"/>
  <c r="BA117" i="5"/>
  <c r="BM117" i="5"/>
  <c r="BY117" i="5"/>
  <c r="K118" i="5"/>
  <c r="W118" i="5"/>
  <c r="AI118" i="5"/>
  <c r="AU118" i="5"/>
  <c r="BG118" i="5"/>
  <c r="BS118" i="5"/>
  <c r="E119" i="5"/>
  <c r="Q119" i="5"/>
  <c r="AC119" i="5"/>
  <c r="AO119" i="5"/>
  <c r="BA119" i="5"/>
  <c r="BM119" i="5"/>
  <c r="BY119" i="5"/>
  <c r="K120" i="5"/>
  <c r="W120" i="5"/>
  <c r="AI120" i="5"/>
  <c r="AU120" i="5"/>
  <c r="BG120" i="5"/>
  <c r="BS120" i="5"/>
  <c r="E121" i="5"/>
  <c r="Q121" i="5"/>
  <c r="AC121" i="5"/>
  <c r="AO121" i="5"/>
  <c r="BA121" i="5"/>
  <c r="BM121" i="5"/>
  <c r="BY121" i="5"/>
  <c r="X85" i="5"/>
  <c r="BT85" i="5"/>
  <c r="AM86" i="5"/>
  <c r="H87" i="5"/>
  <c r="BD87" i="5"/>
  <c r="S88" i="5"/>
  <c r="BO88" i="5"/>
  <c r="AJ89" i="5"/>
  <c r="F90" i="5"/>
  <c r="AY90" i="5"/>
  <c r="U91" i="5"/>
  <c r="BQ91" i="5"/>
  <c r="Z92" i="5"/>
  <c r="BV92" i="5"/>
  <c r="AR93" i="5"/>
  <c r="M94" i="5"/>
  <c r="BI94" i="5"/>
  <c r="Y95" i="5"/>
  <c r="BT95" i="5"/>
  <c r="AP96" i="5"/>
  <c r="L97" i="5"/>
  <c r="BE97" i="5"/>
  <c r="S98" i="5"/>
  <c r="BM98" i="5"/>
  <c r="X99" i="5"/>
  <c r="BO99" i="5"/>
  <c r="AA100" i="5"/>
  <c r="BK100" i="5"/>
  <c r="R101" i="5"/>
  <c r="AV101" i="5"/>
  <c r="CA101" i="5"/>
  <c r="AB102" i="5"/>
  <c r="BF102" i="5"/>
  <c r="H103" i="5"/>
  <c r="AD103" i="5"/>
  <c r="BE103" i="5"/>
  <c r="E104" i="5"/>
  <c r="AD104" i="5"/>
  <c r="BE104" i="5"/>
  <c r="AA105" i="5"/>
  <c r="AY105" i="5"/>
  <c r="BW105" i="5"/>
  <c r="U106" i="5"/>
  <c r="AR106" i="5"/>
  <c r="BP106" i="5"/>
  <c r="N107" i="5"/>
  <c r="AJ107" i="5"/>
  <c r="BH107" i="5"/>
  <c r="F108" i="5"/>
  <c r="AC108" i="5"/>
  <c r="AZ108" i="5"/>
  <c r="BR108" i="5"/>
  <c r="N109" i="5"/>
  <c r="AI109" i="5"/>
  <c r="BE109" i="5"/>
  <c r="BU109" i="5"/>
  <c r="J110" i="5"/>
  <c r="AQ110" i="5"/>
  <c r="BF110" i="5"/>
  <c r="BV110" i="5"/>
  <c r="J111" i="5"/>
  <c r="X111" i="5"/>
  <c r="AK111" i="5"/>
  <c r="AY111" i="5"/>
  <c r="BO111" i="5"/>
  <c r="Q112" i="5"/>
  <c r="AE112" i="5"/>
  <c r="AS112" i="5"/>
  <c r="BI112" i="5"/>
  <c r="BV112" i="5"/>
  <c r="I113" i="5"/>
  <c r="V113" i="5"/>
  <c r="AI113" i="5"/>
  <c r="AV113" i="5"/>
  <c r="BI113" i="5"/>
  <c r="BV113" i="5"/>
  <c r="I114" i="5"/>
  <c r="V114" i="5"/>
  <c r="AJ114" i="5"/>
  <c r="AV114" i="5"/>
  <c r="BH114" i="5"/>
  <c r="BT114" i="5"/>
  <c r="F115" i="5"/>
  <c r="R115" i="5"/>
  <c r="AD115" i="5"/>
  <c r="AP115" i="5"/>
  <c r="BB115" i="5"/>
  <c r="BN115" i="5"/>
  <c r="BZ115" i="5"/>
  <c r="L116" i="5"/>
  <c r="X116" i="5"/>
  <c r="AJ116" i="5"/>
  <c r="AV116" i="5"/>
  <c r="BH116" i="5"/>
  <c r="BT116" i="5"/>
  <c r="F117" i="5"/>
  <c r="R117" i="5"/>
  <c r="AD117" i="5"/>
  <c r="AP117" i="5"/>
  <c r="BB117" i="5"/>
  <c r="BN117" i="5"/>
  <c r="BZ117" i="5"/>
  <c r="L118" i="5"/>
  <c r="X118" i="5"/>
  <c r="AV118" i="5"/>
  <c r="BH118" i="5"/>
  <c r="BT118" i="5"/>
  <c r="F119" i="5"/>
  <c r="R119" i="5"/>
  <c r="AD119" i="5"/>
  <c r="AP119" i="5"/>
  <c r="BB119" i="5"/>
  <c r="BN119" i="5"/>
  <c r="BZ119" i="5"/>
  <c r="L120" i="5"/>
  <c r="X120" i="5"/>
  <c r="AR85" i="5"/>
  <c r="G86" i="5"/>
  <c r="BC86" i="5"/>
  <c r="X87" i="5"/>
  <c r="BT87" i="5"/>
  <c r="AO88" i="5"/>
  <c r="AU89" i="5"/>
  <c r="N90" i="5"/>
  <c r="BJ90" i="5"/>
  <c r="AF91" i="5"/>
  <c r="B92" i="5"/>
  <c r="AQ92" i="5"/>
  <c r="M93" i="5"/>
  <c r="BI93" i="5"/>
  <c r="AD94" i="5"/>
  <c r="BZ94" i="5"/>
  <c r="AS95" i="5"/>
  <c r="BJ96" i="5"/>
  <c r="Y97" i="5"/>
  <c r="BU97" i="5"/>
  <c r="AO98" i="5"/>
  <c r="F99" i="5"/>
  <c r="AG99" i="5"/>
  <c r="BU99" i="5"/>
  <c r="AJ100" i="5"/>
  <c r="BS100" i="5"/>
  <c r="W101" i="5"/>
  <c r="BD101" i="5"/>
  <c r="F102" i="5"/>
  <c r="AI102" i="5"/>
  <c r="BK102" i="5"/>
  <c r="M103" i="5"/>
  <c r="AP103" i="5"/>
  <c r="BP103" i="5"/>
  <c r="P104" i="5"/>
  <c r="AN104" i="5"/>
  <c r="BN104" i="5"/>
  <c r="L105" i="5"/>
  <c r="AJ105" i="5"/>
  <c r="BH105" i="5"/>
  <c r="F106" i="5"/>
  <c r="AC106" i="5"/>
  <c r="BA106" i="5"/>
  <c r="BY106" i="5"/>
  <c r="W107" i="5"/>
  <c r="AT107" i="5"/>
  <c r="BR107" i="5"/>
  <c r="P108" i="5"/>
  <c r="AH108" i="5"/>
  <c r="BE108" i="5"/>
  <c r="BZ108" i="5"/>
  <c r="V109" i="5"/>
  <c r="AN109" i="5"/>
  <c r="BI109" i="5"/>
  <c r="B110" i="5"/>
  <c r="Q110" i="5"/>
  <c r="AF110" i="5"/>
  <c r="AX110" i="5"/>
  <c r="BL110" i="5"/>
  <c r="BZ110" i="5"/>
  <c r="N111" i="5"/>
  <c r="AB111" i="5"/>
  <c r="AQ111" i="5"/>
  <c r="BE111" i="5"/>
  <c r="BS111" i="5"/>
  <c r="G112" i="5"/>
  <c r="U112" i="5"/>
  <c r="AK112" i="5"/>
  <c r="AY112" i="5"/>
  <c r="BM112" i="5"/>
  <c r="BZ112" i="5"/>
  <c r="M113" i="5"/>
  <c r="Z113" i="5"/>
  <c r="AM113" i="5"/>
  <c r="AZ113" i="5"/>
  <c r="BN113" i="5"/>
  <c r="CA113" i="5"/>
  <c r="N114" i="5"/>
  <c r="AA114" i="5"/>
  <c r="AN114" i="5"/>
  <c r="AZ114" i="5"/>
  <c r="BL114" i="5"/>
  <c r="BX114" i="5"/>
  <c r="J115" i="5"/>
  <c r="V115" i="5"/>
  <c r="AH115" i="5"/>
  <c r="AT115" i="5"/>
  <c r="BF115" i="5"/>
  <c r="BR115" i="5"/>
  <c r="D116" i="5"/>
  <c r="P116" i="5"/>
  <c r="AB116" i="5"/>
  <c r="AN116" i="5"/>
  <c r="AZ116" i="5"/>
  <c r="BL116" i="5"/>
  <c r="BX116" i="5"/>
  <c r="J117" i="5"/>
  <c r="V117" i="5"/>
  <c r="AH117" i="5"/>
  <c r="AT117" i="5"/>
  <c r="BF117" i="5"/>
  <c r="BR117" i="5"/>
  <c r="D118" i="5"/>
  <c r="P118" i="5"/>
  <c r="AB118" i="5"/>
  <c r="AN118" i="5"/>
  <c r="AZ118" i="5"/>
  <c r="BL118" i="5"/>
  <c r="BX118" i="5"/>
  <c r="J119" i="5"/>
  <c r="V119" i="5"/>
  <c r="AH119" i="5"/>
  <c r="AT119" i="5"/>
  <c r="BF119" i="5"/>
  <c r="BR119" i="5"/>
  <c r="D120" i="5"/>
  <c r="P120" i="5"/>
  <c r="AB120" i="5"/>
  <c r="AN120" i="5"/>
  <c r="AZ120" i="5"/>
  <c r="BL120" i="5"/>
  <c r="BX120" i="5"/>
  <c r="J121" i="5"/>
  <c r="Y85" i="5"/>
  <c r="AO86" i="5"/>
  <c r="AG87" i="5"/>
  <c r="AQ88" i="5"/>
  <c r="BG89" i="5"/>
  <c r="BK90" i="5"/>
  <c r="CA91" i="5"/>
  <c r="Z94" i="5"/>
  <c r="AQ95" i="5"/>
  <c r="S96" i="5"/>
  <c r="AI97" i="5"/>
  <c r="AQ98" i="5"/>
  <c r="AR99" i="5"/>
  <c r="AE100" i="5"/>
  <c r="V101" i="5"/>
  <c r="E102" i="5"/>
  <c r="BH102" i="5"/>
  <c r="AK103" i="5"/>
  <c r="M104" i="5"/>
  <c r="BL104" i="5"/>
  <c r="AB105" i="5"/>
  <c r="BX105" i="5"/>
  <c r="AS106" i="5"/>
  <c r="O107" i="5"/>
  <c r="BJ107" i="5"/>
  <c r="BL108" i="5"/>
  <c r="Z109" i="5"/>
  <c r="BK109" i="5"/>
  <c r="S110" i="5"/>
  <c r="AY110" i="5"/>
  <c r="CA110" i="5"/>
  <c r="BF111" i="5"/>
  <c r="H112" i="5"/>
  <c r="AH112" i="5"/>
  <c r="BL112" i="5"/>
  <c r="L113" i="5"/>
  <c r="AK113" i="5"/>
  <c r="BK113" i="5"/>
  <c r="L114" i="5"/>
  <c r="AK114" i="5"/>
  <c r="BI114" i="5"/>
  <c r="G115" i="5"/>
  <c r="AE115" i="5"/>
  <c r="BC115" i="5"/>
  <c r="CA115" i="5"/>
  <c r="Y116" i="5"/>
  <c r="AQ116" i="5"/>
  <c r="BO116" i="5"/>
  <c r="M117" i="5"/>
  <c r="AK117" i="5"/>
  <c r="BI117" i="5"/>
  <c r="G118" i="5"/>
  <c r="AE118" i="5"/>
  <c r="BB118" i="5"/>
  <c r="BZ118" i="5"/>
  <c r="X119" i="5"/>
  <c r="AV119" i="5"/>
  <c r="BT119" i="5"/>
  <c r="R120" i="5"/>
  <c r="AO120" i="5"/>
  <c r="BJ120" i="5"/>
  <c r="F121" i="5"/>
  <c r="W121" i="5"/>
  <c r="AP121" i="5"/>
  <c r="BF121" i="5"/>
  <c r="BZ121" i="5"/>
  <c r="N122" i="5"/>
  <c r="AB122" i="5"/>
  <c r="AP122" i="5"/>
  <c r="BB122" i="5"/>
  <c r="BN122" i="5"/>
  <c r="BZ122" i="5"/>
  <c r="L123" i="5"/>
  <c r="X123" i="5"/>
  <c r="AJ123" i="5"/>
  <c r="AV123" i="5"/>
  <c r="BH123" i="5"/>
  <c r="BT123" i="5"/>
  <c r="F124" i="5"/>
  <c r="R124" i="5"/>
  <c r="AD124" i="5"/>
  <c r="BB124" i="5"/>
  <c r="BN124" i="5"/>
  <c r="BZ124" i="5"/>
  <c r="L125" i="5"/>
  <c r="X125" i="5"/>
  <c r="AJ125" i="5"/>
  <c r="AV125" i="5"/>
  <c r="BH125" i="5"/>
  <c r="BT125" i="5"/>
  <c r="F126" i="5"/>
  <c r="R126" i="5"/>
  <c r="AD126" i="5"/>
  <c r="AP126" i="5"/>
  <c r="BB126" i="5"/>
  <c r="BN126" i="5"/>
  <c r="BZ126" i="5"/>
  <c r="L127" i="5"/>
  <c r="X127" i="5"/>
  <c r="AJ127" i="5"/>
  <c r="AV127" i="5"/>
  <c r="BH127" i="5"/>
  <c r="BT127" i="5"/>
  <c r="F128" i="5"/>
  <c r="R128" i="5"/>
  <c r="AD128" i="5"/>
  <c r="AP128" i="5"/>
  <c r="BB128" i="5"/>
  <c r="BN128" i="5"/>
  <c r="BZ128" i="5"/>
  <c r="L129" i="5"/>
  <c r="X129" i="5"/>
  <c r="AJ129" i="5"/>
  <c r="AV129" i="5"/>
  <c r="BH129" i="5"/>
  <c r="BT129" i="5"/>
  <c r="F130" i="5"/>
  <c r="R130" i="5"/>
  <c r="AD130" i="5"/>
  <c r="AP130" i="5"/>
  <c r="AK85" i="5"/>
  <c r="AP86" i="5"/>
  <c r="BE87" i="5"/>
  <c r="AX88" i="5"/>
  <c r="BH89" i="5"/>
  <c r="BW90" i="5"/>
  <c r="S93" i="5"/>
  <c r="AA94" i="5"/>
  <c r="AR95" i="5"/>
  <c r="AQ96" i="5"/>
  <c r="BG97" i="5"/>
  <c r="AW98" i="5"/>
  <c r="AS99" i="5"/>
  <c r="AK100" i="5"/>
  <c r="X101" i="5"/>
  <c r="G102" i="5"/>
  <c r="BJ102" i="5"/>
  <c r="AN103" i="5"/>
  <c r="N104" i="5"/>
  <c r="BM104" i="5"/>
  <c r="AH105" i="5"/>
  <c r="D106" i="5"/>
  <c r="AT106" i="5"/>
  <c r="P107" i="5"/>
  <c r="BK107" i="5"/>
  <c r="AD108" i="5"/>
  <c r="BW108" i="5"/>
  <c r="BL109" i="5"/>
  <c r="T110" i="5"/>
  <c r="AZ110" i="5"/>
  <c r="B111" i="5"/>
  <c r="AE111" i="5"/>
  <c r="BG111" i="5"/>
  <c r="I112" i="5"/>
  <c r="AL112" i="5"/>
  <c r="BN112" i="5"/>
  <c r="N113" i="5"/>
  <c r="AL113" i="5"/>
  <c r="BL113" i="5"/>
  <c r="M114" i="5"/>
  <c r="AL114" i="5"/>
  <c r="BJ114" i="5"/>
  <c r="H115" i="5"/>
  <c r="AF115" i="5"/>
  <c r="BD115" i="5"/>
  <c r="B116" i="5"/>
  <c r="Z116" i="5"/>
  <c r="AW116" i="5"/>
  <c r="BU116" i="5"/>
  <c r="S117" i="5"/>
  <c r="AQ117" i="5"/>
  <c r="BO117" i="5"/>
  <c r="M118" i="5"/>
  <c r="BC118" i="5"/>
  <c r="CA118" i="5"/>
  <c r="Y119" i="5"/>
  <c r="AW119" i="5"/>
  <c r="BU119" i="5"/>
  <c r="S120" i="5"/>
  <c r="AP120" i="5"/>
  <c r="BK120" i="5"/>
  <c r="G121" i="5"/>
  <c r="X121" i="5"/>
  <c r="AQ121" i="5"/>
  <c r="BG121" i="5"/>
  <c r="CA121" i="5"/>
  <c r="O122" i="5"/>
  <c r="AC122" i="5"/>
  <c r="AQ122" i="5"/>
  <c r="BC122" i="5"/>
  <c r="BO122" i="5"/>
  <c r="CA122" i="5"/>
  <c r="M123" i="5"/>
  <c r="Y123" i="5"/>
  <c r="AK123" i="5"/>
  <c r="AW123" i="5"/>
  <c r="BI123" i="5"/>
  <c r="BU123" i="5"/>
  <c r="G124" i="5"/>
  <c r="S124" i="5"/>
  <c r="AE124" i="5"/>
  <c r="AQ124" i="5"/>
  <c r="BC124" i="5"/>
  <c r="BO124" i="5"/>
  <c r="CA124" i="5"/>
  <c r="M125" i="5"/>
  <c r="Y125" i="5"/>
  <c r="AK125" i="5"/>
  <c r="AW125" i="5"/>
  <c r="BI125" i="5"/>
  <c r="BU125" i="5"/>
  <c r="G126" i="5"/>
  <c r="S126" i="5"/>
  <c r="AE126" i="5"/>
  <c r="AQ126" i="5"/>
  <c r="BC126" i="5"/>
  <c r="BO126" i="5"/>
  <c r="CA126" i="5"/>
  <c r="M127" i="5"/>
  <c r="Y127" i="5"/>
  <c r="AK127" i="5"/>
  <c r="AW127" i="5"/>
  <c r="BI127" i="5"/>
  <c r="BU127" i="5"/>
  <c r="G128" i="5"/>
  <c r="S128" i="5"/>
  <c r="AE128" i="5"/>
  <c r="AQ128" i="5"/>
  <c r="BC128" i="5"/>
  <c r="BO128" i="5"/>
  <c r="CA128" i="5"/>
  <c r="M129" i="5"/>
  <c r="Y129" i="5"/>
  <c r="AK129" i="5"/>
  <c r="AW129" i="5"/>
  <c r="BI129" i="5"/>
  <c r="BU129" i="5"/>
  <c r="G130" i="5"/>
  <c r="S130" i="5"/>
  <c r="AE130" i="5"/>
  <c r="AQ130" i="5"/>
  <c r="BC130" i="5"/>
  <c r="BO130" i="5"/>
  <c r="CA130" i="5"/>
  <c r="M131" i="5"/>
  <c r="Y131" i="5"/>
  <c r="AQ85" i="5"/>
  <c r="BB86" i="5"/>
  <c r="BG87" i="5"/>
  <c r="BV88" i="5"/>
  <c r="BI89" i="5"/>
  <c r="BY90" i="5"/>
  <c r="T93" i="5"/>
  <c r="AE94" i="5"/>
  <c r="AV95" i="5"/>
  <c r="BC96" i="5"/>
  <c r="BH97" i="5"/>
  <c r="BO98" i="5"/>
  <c r="AU99" i="5"/>
  <c r="AQ100" i="5"/>
  <c r="AG101" i="5"/>
  <c r="O102" i="5"/>
  <c r="BL102" i="5"/>
  <c r="AQ103" i="5"/>
  <c r="Q104" i="5"/>
  <c r="BP104" i="5"/>
  <c r="AI105" i="5"/>
  <c r="E106" i="5"/>
  <c r="AZ106" i="5"/>
  <c r="V107" i="5"/>
  <c r="BL107" i="5"/>
  <c r="AF108" i="5"/>
  <c r="BX108" i="5"/>
  <c r="AJ109" i="5"/>
  <c r="BV109" i="5"/>
  <c r="BA110" i="5"/>
  <c r="AF111" i="5"/>
  <c r="BH111" i="5"/>
  <c r="J112" i="5"/>
  <c r="AM112" i="5"/>
  <c r="BO112" i="5"/>
  <c r="O113" i="5"/>
  <c r="AN113" i="5"/>
  <c r="BO113" i="5"/>
  <c r="O114" i="5"/>
  <c r="AM114" i="5"/>
  <c r="BK114" i="5"/>
  <c r="I115" i="5"/>
  <c r="BE115" i="5"/>
  <c r="AA116" i="5"/>
  <c r="AX116" i="5"/>
  <c r="BV116" i="5"/>
  <c r="T117" i="5"/>
  <c r="AR117" i="5"/>
  <c r="BP117" i="5"/>
  <c r="N118" i="5"/>
  <c r="AK118" i="5"/>
  <c r="BI118" i="5"/>
  <c r="G119" i="5"/>
  <c r="AE119" i="5"/>
  <c r="BC119" i="5"/>
  <c r="CA119" i="5"/>
  <c r="Y120" i="5"/>
  <c r="AQ120" i="5"/>
  <c r="BM120" i="5"/>
  <c r="H121" i="5"/>
  <c r="Y121" i="5"/>
  <c r="AR121" i="5"/>
  <c r="BH121" i="5"/>
  <c r="B122" i="5"/>
  <c r="P122" i="5"/>
  <c r="AD122" i="5"/>
  <c r="AR122" i="5"/>
  <c r="BD122" i="5"/>
  <c r="BP122" i="5"/>
  <c r="B123" i="5"/>
  <c r="N123" i="5"/>
  <c r="Z123" i="5"/>
  <c r="AL123" i="5"/>
  <c r="AX123" i="5"/>
  <c r="BJ123" i="5"/>
  <c r="BV123" i="5"/>
  <c r="H124" i="5"/>
  <c r="T124" i="5"/>
  <c r="AF124" i="5"/>
  <c r="AR124" i="5"/>
  <c r="BD124" i="5"/>
  <c r="BP124" i="5"/>
  <c r="B125" i="5"/>
  <c r="N125" i="5"/>
  <c r="Z125" i="5"/>
  <c r="AL125" i="5"/>
  <c r="AX125" i="5"/>
  <c r="BJ125" i="5"/>
  <c r="BV125" i="5"/>
  <c r="H126" i="5"/>
  <c r="T126" i="5"/>
  <c r="AF126" i="5"/>
  <c r="BD126" i="5"/>
  <c r="BP126" i="5"/>
  <c r="B127" i="5"/>
  <c r="N127" i="5"/>
  <c r="Z127" i="5"/>
  <c r="AL127" i="5"/>
  <c r="AX127" i="5"/>
  <c r="BJ127" i="5"/>
  <c r="BV127" i="5"/>
  <c r="H128" i="5"/>
  <c r="T128" i="5"/>
  <c r="AF128" i="5"/>
  <c r="AR128" i="5"/>
  <c r="BD128" i="5"/>
  <c r="BP128" i="5"/>
  <c r="B129" i="5"/>
  <c r="N129" i="5"/>
  <c r="Z129" i="5"/>
  <c r="AL129" i="5"/>
  <c r="AX129" i="5"/>
  <c r="BJ129" i="5"/>
  <c r="BV129" i="5"/>
  <c r="H130" i="5"/>
  <c r="T130" i="5"/>
  <c r="AF130" i="5"/>
  <c r="AR130" i="5"/>
  <c r="BD130" i="5"/>
  <c r="BP130" i="5"/>
  <c r="B131" i="5"/>
  <c r="N131" i="5"/>
  <c r="Z131" i="5"/>
  <c r="AL131" i="5"/>
  <c r="AX131" i="5"/>
  <c r="BJ131" i="5"/>
  <c r="AW85" i="5"/>
  <c r="BM86" i="5"/>
  <c r="B88" i="5"/>
  <c r="M90" i="5"/>
  <c r="X91" i="5"/>
  <c r="AM92" i="5"/>
  <c r="BE93" i="5"/>
  <c r="BU94" i="5"/>
  <c r="BN96" i="5"/>
  <c r="G99" i="5"/>
  <c r="BT99" i="5"/>
  <c r="BM100" i="5"/>
  <c r="BA101" i="5"/>
  <c r="AC102" i="5"/>
  <c r="I103" i="5"/>
  <c r="BL103" i="5"/>
  <c r="AE104" i="5"/>
  <c r="D105" i="5"/>
  <c r="AN105" i="5"/>
  <c r="J106" i="5"/>
  <c r="BE106" i="5"/>
  <c r="Z107" i="5"/>
  <c r="BV107" i="5"/>
  <c r="AO108" i="5"/>
  <c r="AS109" i="5"/>
  <c r="AE110" i="5"/>
  <c r="BK110" i="5"/>
  <c r="M111" i="5"/>
  <c r="AN111" i="5"/>
  <c r="BR111" i="5"/>
  <c r="T112" i="5"/>
  <c r="AW112" i="5"/>
  <c r="BX112" i="5"/>
  <c r="X113" i="5"/>
  <c r="AW113" i="5"/>
  <c r="BW113" i="5"/>
  <c r="X114" i="5"/>
  <c r="AQ114" i="5"/>
  <c r="BO114" i="5"/>
  <c r="M115" i="5"/>
  <c r="AK115" i="5"/>
  <c r="BI115" i="5"/>
  <c r="G116" i="5"/>
  <c r="AE116" i="5"/>
  <c r="BB116" i="5"/>
  <c r="BZ116" i="5"/>
  <c r="X117" i="5"/>
  <c r="AV117" i="5"/>
  <c r="BT117" i="5"/>
  <c r="R118" i="5"/>
  <c r="AO118" i="5"/>
  <c r="BM118" i="5"/>
  <c r="K119" i="5"/>
  <c r="AI119" i="5"/>
  <c r="BG119" i="5"/>
  <c r="E120" i="5"/>
  <c r="AC120" i="5"/>
  <c r="AX120" i="5"/>
  <c r="BT120" i="5"/>
  <c r="L121" i="5"/>
  <c r="AF121" i="5"/>
  <c r="AU121" i="5"/>
  <c r="BO121" i="5"/>
  <c r="E122" i="5"/>
  <c r="S122" i="5"/>
  <c r="AI122" i="5"/>
  <c r="AU122" i="5"/>
  <c r="BG122" i="5"/>
  <c r="BS122" i="5"/>
  <c r="E123" i="5"/>
  <c r="Q123" i="5"/>
  <c r="AC123" i="5"/>
  <c r="BA123" i="5"/>
  <c r="BM123" i="5"/>
  <c r="BY123" i="5"/>
  <c r="K124" i="5"/>
  <c r="W124" i="5"/>
  <c r="AI124" i="5"/>
  <c r="AU124" i="5"/>
  <c r="BG124" i="5"/>
  <c r="BS124" i="5"/>
  <c r="E125" i="5"/>
  <c r="Q125" i="5"/>
  <c r="AC125" i="5"/>
  <c r="AO125" i="5"/>
  <c r="BA125" i="5"/>
  <c r="BM125" i="5"/>
  <c r="BY125" i="5"/>
  <c r="K126" i="5"/>
  <c r="W126" i="5"/>
  <c r="AI126" i="5"/>
  <c r="AU126" i="5"/>
  <c r="BG126" i="5"/>
  <c r="BS126" i="5"/>
  <c r="E127" i="5"/>
  <c r="Q127" i="5"/>
  <c r="AC127" i="5"/>
  <c r="AO127" i="5"/>
  <c r="BA127" i="5"/>
  <c r="BM127" i="5"/>
  <c r="BY127" i="5"/>
  <c r="K128" i="5"/>
  <c r="W128" i="5"/>
  <c r="AI128" i="5"/>
  <c r="AU128" i="5"/>
  <c r="BG128" i="5"/>
  <c r="BS128" i="5"/>
  <c r="E129" i="5"/>
  <c r="Q129" i="5"/>
  <c r="AC129" i="5"/>
  <c r="AO129" i="5"/>
  <c r="BA129" i="5"/>
  <c r="BM129" i="5"/>
  <c r="BY129" i="5"/>
  <c r="K130" i="5"/>
  <c r="W130" i="5"/>
  <c r="AI130" i="5"/>
  <c r="AU130" i="5"/>
  <c r="BG130" i="5"/>
  <c r="BS130" i="5"/>
  <c r="E131" i="5"/>
  <c r="Q131" i="5"/>
  <c r="AC131" i="5"/>
  <c r="AO131" i="5"/>
  <c r="BU85" i="5"/>
  <c r="K89" i="5"/>
  <c r="O90" i="5"/>
  <c r="AE91" i="5"/>
  <c r="AO92" i="5"/>
  <c r="BG93" i="5"/>
  <c r="BV94" i="5"/>
  <c r="BU95" i="5"/>
  <c r="BO96" i="5"/>
  <c r="E98" i="5"/>
  <c r="H99" i="5"/>
  <c r="F100" i="5"/>
  <c r="BO100" i="5"/>
  <c r="BC101" i="5"/>
  <c r="AD102" i="5"/>
  <c r="J103" i="5"/>
  <c r="BM103" i="5"/>
  <c r="AL104" i="5"/>
  <c r="J105" i="5"/>
  <c r="AZ105" i="5"/>
  <c r="V106" i="5"/>
  <c r="BQ106" i="5"/>
  <c r="AL107" i="5"/>
  <c r="H108" i="5"/>
  <c r="AP108" i="5"/>
  <c r="D109" i="5"/>
  <c r="AT109" i="5"/>
  <c r="D110" i="5"/>
  <c r="AG110" i="5"/>
  <c r="BM110" i="5"/>
  <c r="O111" i="5"/>
  <c r="AR111" i="5"/>
  <c r="BT111" i="5"/>
  <c r="V112" i="5"/>
  <c r="AX112" i="5"/>
  <c r="BY112" i="5"/>
  <c r="Y113" i="5"/>
  <c r="AX113" i="5"/>
  <c r="BX113" i="5"/>
  <c r="Y114" i="5"/>
  <c r="AW114" i="5"/>
  <c r="BU114" i="5"/>
  <c r="S115" i="5"/>
  <c r="AQ115" i="5"/>
  <c r="BO115" i="5"/>
  <c r="M116" i="5"/>
  <c r="BC116" i="5"/>
  <c r="CA116" i="5"/>
  <c r="Y117" i="5"/>
  <c r="AW117" i="5"/>
  <c r="BU117" i="5"/>
  <c r="S118" i="5"/>
  <c r="AP118" i="5"/>
  <c r="BN118" i="5"/>
  <c r="L119" i="5"/>
  <c r="AJ119" i="5"/>
  <c r="BH119" i="5"/>
  <c r="F120" i="5"/>
  <c r="AD120" i="5"/>
  <c r="AY120" i="5"/>
  <c r="BU120" i="5"/>
  <c r="M121" i="5"/>
  <c r="AG121" i="5"/>
  <c r="AV121" i="5"/>
  <c r="BP121" i="5"/>
  <c r="F122" i="5"/>
  <c r="V122" i="5"/>
  <c r="AJ122" i="5"/>
  <c r="AV122" i="5"/>
  <c r="BH122" i="5"/>
  <c r="BT122" i="5"/>
  <c r="F123" i="5"/>
  <c r="R123" i="5"/>
  <c r="AD123" i="5"/>
  <c r="AP123" i="5"/>
  <c r="BB123" i="5"/>
  <c r="BN123" i="5"/>
  <c r="BZ123" i="5"/>
  <c r="L124" i="5"/>
  <c r="X124" i="5"/>
  <c r="AJ124" i="5"/>
  <c r="AV124" i="5"/>
  <c r="BH124" i="5"/>
  <c r="BT124" i="5"/>
  <c r="F125" i="5"/>
  <c r="R125" i="5"/>
  <c r="AD125" i="5"/>
  <c r="AP125" i="5"/>
  <c r="BB125" i="5"/>
  <c r="BN125" i="5"/>
  <c r="BZ125" i="5"/>
  <c r="L126" i="5"/>
  <c r="X126" i="5"/>
  <c r="AJ126" i="5"/>
  <c r="AV126" i="5"/>
  <c r="BH126" i="5"/>
  <c r="BT126" i="5"/>
  <c r="F127" i="5"/>
  <c r="R127" i="5"/>
  <c r="AD127" i="5"/>
  <c r="AP127" i="5"/>
  <c r="BB127" i="5"/>
  <c r="BN127" i="5"/>
  <c r="BZ127" i="5"/>
  <c r="L128" i="5"/>
  <c r="X128" i="5"/>
  <c r="AJ128" i="5"/>
  <c r="AV128" i="5"/>
  <c r="BH128" i="5"/>
  <c r="BT128" i="5"/>
  <c r="F129" i="5"/>
  <c r="R129" i="5"/>
  <c r="AD129" i="5"/>
  <c r="AP129" i="5"/>
  <c r="BB129" i="5"/>
  <c r="BN129" i="5"/>
  <c r="BZ129" i="5"/>
  <c r="L130" i="5"/>
  <c r="X130" i="5"/>
  <c r="AJ130" i="5"/>
  <c r="BH130" i="5"/>
  <c r="BT130" i="5"/>
  <c r="F131" i="5"/>
  <c r="R131" i="5"/>
  <c r="I87" i="5"/>
  <c r="L89" i="5"/>
  <c r="AA90" i="5"/>
  <c r="AG91" i="5"/>
  <c r="AW92" i="5"/>
  <c r="BO93" i="5"/>
  <c r="BW94" i="5"/>
  <c r="G96" i="5"/>
  <c r="M97" i="5"/>
  <c r="K99" i="5"/>
  <c r="G100" i="5"/>
  <c r="BT100" i="5"/>
  <c r="BE101" i="5"/>
  <c r="AH102" i="5"/>
  <c r="L103" i="5"/>
  <c r="BN103" i="5"/>
  <c r="AM104" i="5"/>
  <c r="K105" i="5"/>
  <c r="BF105" i="5"/>
  <c r="BR106" i="5"/>
  <c r="AM107" i="5"/>
  <c r="I108" i="5"/>
  <c r="BA108" i="5"/>
  <c r="O109" i="5"/>
  <c r="AU109" i="5"/>
  <c r="E110" i="5"/>
  <c r="AH110" i="5"/>
  <c r="BN110" i="5"/>
  <c r="P111" i="5"/>
  <c r="AS111" i="5"/>
  <c r="BU111" i="5"/>
  <c r="Y112" i="5"/>
  <c r="AZ112" i="5"/>
  <c r="CA112" i="5"/>
  <c r="AA113" i="5"/>
  <c r="AY113" i="5"/>
  <c r="BZ113" i="5"/>
  <c r="Z114" i="5"/>
  <c r="AX114" i="5"/>
  <c r="BV114" i="5"/>
  <c r="T115" i="5"/>
  <c r="AR115" i="5"/>
  <c r="BP115" i="5"/>
  <c r="N116" i="5"/>
  <c r="AK116" i="5"/>
  <c r="BI116" i="5"/>
  <c r="G117" i="5"/>
  <c r="AE117" i="5"/>
  <c r="BC117" i="5"/>
  <c r="CA117" i="5"/>
  <c r="Y118" i="5"/>
  <c r="AQ118" i="5"/>
  <c r="BO118" i="5"/>
  <c r="M119" i="5"/>
  <c r="BI119" i="5"/>
  <c r="G120" i="5"/>
  <c r="AE120" i="5"/>
  <c r="BA120" i="5"/>
  <c r="BV120" i="5"/>
  <c r="R121" i="5"/>
  <c r="AH121" i="5"/>
  <c r="AW121" i="5"/>
  <c r="BQ121" i="5"/>
  <c r="G122" i="5"/>
  <c r="W122" i="5"/>
  <c r="AK122" i="5"/>
  <c r="AW122" i="5"/>
  <c r="BI122" i="5"/>
  <c r="BU122" i="5"/>
  <c r="G123" i="5"/>
  <c r="S123" i="5"/>
  <c r="AE123" i="5"/>
  <c r="AQ123" i="5"/>
  <c r="BC123" i="5"/>
  <c r="BO123" i="5"/>
  <c r="CA123" i="5"/>
  <c r="M124" i="5"/>
  <c r="Y124" i="5"/>
  <c r="AK124" i="5"/>
  <c r="AW124" i="5"/>
  <c r="BI124" i="5"/>
  <c r="BU124" i="5"/>
  <c r="G125" i="5"/>
  <c r="S125" i="5"/>
  <c r="AE125" i="5"/>
  <c r="BC125" i="5"/>
  <c r="BO125" i="5"/>
  <c r="CA125" i="5"/>
  <c r="M126" i="5"/>
  <c r="Y126" i="5"/>
  <c r="AK126" i="5"/>
  <c r="AW126" i="5"/>
  <c r="BI126" i="5"/>
  <c r="BU126" i="5"/>
  <c r="G127" i="5"/>
  <c r="S127" i="5"/>
  <c r="AE127" i="5"/>
  <c r="AQ127" i="5"/>
  <c r="BC127" i="5"/>
  <c r="BO127" i="5"/>
  <c r="CA127" i="5"/>
  <c r="M128" i="5"/>
  <c r="Y128" i="5"/>
  <c r="AK128" i="5"/>
  <c r="AW128" i="5"/>
  <c r="BI128" i="5"/>
  <c r="BU128" i="5"/>
  <c r="G129" i="5"/>
  <c r="S129" i="5"/>
  <c r="AE129" i="5"/>
  <c r="AQ129" i="5"/>
  <c r="BC129" i="5"/>
  <c r="BO129" i="5"/>
  <c r="CA129" i="5"/>
  <c r="M130" i="5"/>
  <c r="Y130" i="5"/>
  <c r="AK130" i="5"/>
  <c r="AW130" i="5"/>
  <c r="BI130" i="5"/>
  <c r="BU130" i="5"/>
  <c r="G131" i="5"/>
  <c r="S131" i="5"/>
  <c r="AE131" i="5"/>
  <c r="AQ131" i="5"/>
  <c r="AU85" i="5"/>
  <c r="Y87" i="5"/>
  <c r="M89" i="5"/>
  <c r="AS91" i="5"/>
  <c r="AF93" i="5"/>
  <c r="AW95" i="5"/>
  <c r="AG97" i="5"/>
  <c r="AE99" i="5"/>
  <c r="AQ102" i="5"/>
  <c r="BY103" i="5"/>
  <c r="P105" i="5"/>
  <c r="AD106" i="5"/>
  <c r="AU107" i="5"/>
  <c r="BB108" i="5"/>
  <c r="AM109" i="5"/>
  <c r="AC110" i="5"/>
  <c r="K111" i="5"/>
  <c r="BD111" i="5"/>
  <c r="AG112" i="5"/>
  <c r="K113" i="5"/>
  <c r="BJ113" i="5"/>
  <c r="CA114" i="5"/>
  <c r="AV115" i="5"/>
  <c r="R116" i="5"/>
  <c r="BK116" i="5"/>
  <c r="AG117" i="5"/>
  <c r="AW118" i="5"/>
  <c r="S119" i="5"/>
  <c r="BE119" i="5"/>
  <c r="AA120" i="5"/>
  <c r="BO120" i="5"/>
  <c r="AE121" i="5"/>
  <c r="BN121" i="5"/>
  <c r="R122" i="5"/>
  <c r="AT122" i="5"/>
  <c r="BR122" i="5"/>
  <c r="P123" i="5"/>
  <c r="AN123" i="5"/>
  <c r="BK123" i="5"/>
  <c r="I124" i="5"/>
  <c r="AG124" i="5"/>
  <c r="BA124" i="5"/>
  <c r="BY124" i="5"/>
  <c r="W125" i="5"/>
  <c r="AT125" i="5"/>
  <c r="BR125" i="5"/>
  <c r="P126" i="5"/>
  <c r="AN126" i="5"/>
  <c r="BK126" i="5"/>
  <c r="I127" i="5"/>
  <c r="AG127" i="5"/>
  <c r="BE127" i="5"/>
  <c r="AA128" i="5"/>
  <c r="AY128" i="5"/>
  <c r="BW128" i="5"/>
  <c r="U129" i="5"/>
  <c r="AS129" i="5"/>
  <c r="BQ129" i="5"/>
  <c r="O130" i="5"/>
  <c r="AM130" i="5"/>
  <c r="BF130" i="5"/>
  <c r="BZ130" i="5"/>
  <c r="V131" i="5"/>
  <c r="AM131" i="5"/>
  <c r="BB131" i="5"/>
  <c r="BO131" i="5"/>
  <c r="CA131" i="5"/>
  <c r="M132" i="5"/>
  <c r="Y132" i="5"/>
  <c r="AK132" i="5"/>
  <c r="AW132" i="5"/>
  <c r="BI132" i="5"/>
  <c r="BU132" i="5"/>
  <c r="G133" i="5"/>
  <c r="S133" i="5"/>
  <c r="AE133" i="5"/>
  <c r="AQ133" i="5"/>
  <c r="BC133" i="5"/>
  <c r="BO133" i="5"/>
  <c r="CA133" i="5"/>
  <c r="M134" i="5"/>
  <c r="Y134" i="5"/>
  <c r="AK134" i="5"/>
  <c r="AW134" i="5"/>
  <c r="BI134" i="5"/>
  <c r="BU134" i="5"/>
  <c r="G135" i="5"/>
  <c r="S135" i="5"/>
  <c r="AE135" i="5"/>
  <c r="AQ135" i="5"/>
  <c r="BC135" i="5"/>
  <c r="BO135" i="5"/>
  <c r="CA135" i="5"/>
  <c r="M136" i="5"/>
  <c r="Y136" i="5"/>
  <c r="AK136" i="5"/>
  <c r="AW136" i="5"/>
  <c r="BI136" i="5"/>
  <c r="BU136" i="5"/>
  <c r="G137" i="5"/>
  <c r="S137" i="5"/>
  <c r="AE137" i="5"/>
  <c r="AQ137" i="5"/>
  <c r="BO137" i="5"/>
  <c r="CA137" i="5"/>
  <c r="M138" i="5"/>
  <c r="Y138" i="5"/>
  <c r="AK138" i="5"/>
  <c r="AW138" i="5"/>
  <c r="BI138" i="5"/>
  <c r="BU138" i="5"/>
  <c r="G139" i="5"/>
  <c r="S139" i="5"/>
  <c r="AE139" i="5"/>
  <c r="AQ139" i="5"/>
  <c r="BC139" i="5"/>
  <c r="BO139" i="5"/>
  <c r="CA139" i="5"/>
  <c r="M140" i="5"/>
  <c r="Y140" i="5"/>
  <c r="AK140" i="5"/>
  <c r="AW140" i="5"/>
  <c r="BI140" i="5"/>
  <c r="BU140" i="5"/>
  <c r="G141" i="5"/>
  <c r="S141" i="5"/>
  <c r="AE141" i="5"/>
  <c r="AQ141" i="5"/>
  <c r="BC141" i="5"/>
  <c r="AV85" i="5"/>
  <c r="AF87" i="5"/>
  <c r="AK89" i="5"/>
  <c r="AU91" i="5"/>
  <c r="BD93" i="5"/>
  <c r="BC95" i="5"/>
  <c r="BT97" i="5"/>
  <c r="AF99" i="5"/>
  <c r="T101" i="5"/>
  <c r="BG102" i="5"/>
  <c r="L104" i="5"/>
  <c r="AF106" i="5"/>
  <c r="AV107" i="5"/>
  <c r="BD108" i="5"/>
  <c r="BF109" i="5"/>
  <c r="AD110" i="5"/>
  <c r="L111" i="5"/>
  <c r="BP111" i="5"/>
  <c r="AN112" i="5"/>
  <c r="P113" i="5"/>
  <c r="BP113" i="5"/>
  <c r="AO114" i="5"/>
  <c r="K115" i="5"/>
  <c r="AW115" i="5"/>
  <c r="S116" i="5"/>
  <c r="BM116" i="5"/>
  <c r="E118" i="5"/>
  <c r="AX118" i="5"/>
  <c r="T119" i="5"/>
  <c r="BO119" i="5"/>
  <c r="AJ120" i="5"/>
  <c r="BW120" i="5"/>
  <c r="AI121" i="5"/>
  <c r="BR121" i="5"/>
  <c r="X122" i="5"/>
  <c r="AX122" i="5"/>
  <c r="BV122" i="5"/>
  <c r="T123" i="5"/>
  <c r="BL123" i="5"/>
  <c r="J124" i="5"/>
  <c r="AH124" i="5"/>
  <c r="BE124" i="5"/>
  <c r="AA125" i="5"/>
  <c r="AU125" i="5"/>
  <c r="BS125" i="5"/>
  <c r="Q126" i="5"/>
  <c r="AO126" i="5"/>
  <c r="BL126" i="5"/>
  <c r="J127" i="5"/>
  <c r="AH127" i="5"/>
  <c r="BF127" i="5"/>
  <c r="D128" i="5"/>
  <c r="AB128" i="5"/>
  <c r="AZ128" i="5"/>
  <c r="BX128" i="5"/>
  <c r="V129" i="5"/>
  <c r="AT129" i="5"/>
  <c r="BR129" i="5"/>
  <c r="P130" i="5"/>
  <c r="AN130" i="5"/>
  <c r="BJ130" i="5"/>
  <c r="W131" i="5"/>
  <c r="AN131" i="5"/>
  <c r="BC131" i="5"/>
  <c r="BP131" i="5"/>
  <c r="B132" i="5"/>
  <c r="N132" i="5"/>
  <c r="Z132" i="5"/>
  <c r="AL132" i="5"/>
  <c r="BJ132" i="5"/>
  <c r="BV132" i="5"/>
  <c r="H133" i="5"/>
  <c r="T133" i="5"/>
  <c r="AF133" i="5"/>
  <c r="AR133" i="5"/>
  <c r="BD133" i="5"/>
  <c r="BP133" i="5"/>
  <c r="B134" i="5"/>
  <c r="N134" i="5"/>
  <c r="Z134" i="5"/>
  <c r="AL134" i="5"/>
  <c r="AX134" i="5"/>
  <c r="BJ134" i="5"/>
  <c r="BV134" i="5"/>
  <c r="H135" i="5"/>
  <c r="T135" i="5"/>
  <c r="AF135" i="5"/>
  <c r="AR135" i="5"/>
  <c r="BD135" i="5"/>
  <c r="BP135" i="5"/>
  <c r="B136" i="5"/>
  <c r="N136" i="5"/>
  <c r="Z136" i="5"/>
  <c r="AL136" i="5"/>
  <c r="AX136" i="5"/>
  <c r="BJ136" i="5"/>
  <c r="BV136" i="5"/>
  <c r="H137" i="5"/>
  <c r="T137" i="5"/>
  <c r="AF137" i="5"/>
  <c r="AR137" i="5"/>
  <c r="BD137" i="5"/>
  <c r="BP137" i="5"/>
  <c r="B138" i="5"/>
  <c r="N138" i="5"/>
  <c r="Z138" i="5"/>
  <c r="AL138" i="5"/>
  <c r="AX138" i="5"/>
  <c r="BJ138" i="5"/>
  <c r="BV138" i="5"/>
  <c r="H139" i="5"/>
  <c r="T139" i="5"/>
  <c r="AF139" i="5"/>
  <c r="AR139" i="5"/>
  <c r="BD139" i="5"/>
  <c r="BP139" i="5"/>
  <c r="B140" i="5"/>
  <c r="N140" i="5"/>
  <c r="Z140" i="5"/>
  <c r="AL140" i="5"/>
  <c r="AX140" i="5"/>
  <c r="BJ140" i="5"/>
  <c r="BV140" i="5"/>
  <c r="H141" i="5"/>
  <c r="T141" i="5"/>
  <c r="AF141" i="5"/>
  <c r="AR141" i="5"/>
  <c r="BD141" i="5"/>
  <c r="BP141" i="5"/>
  <c r="BS87" i="5"/>
  <c r="AR89" i="5"/>
  <c r="BS91" i="5"/>
  <c r="BP93" i="5"/>
  <c r="CA97" i="5"/>
  <c r="BP99" i="5"/>
  <c r="AH101" i="5"/>
  <c r="BT102" i="5"/>
  <c r="R104" i="5"/>
  <c r="AL105" i="5"/>
  <c r="AG106" i="5"/>
  <c r="AX107" i="5"/>
  <c r="BF108" i="5"/>
  <c r="BG109" i="5"/>
  <c r="AL110" i="5"/>
  <c r="S111" i="5"/>
  <c r="BQ111" i="5"/>
  <c r="AT112" i="5"/>
  <c r="W113" i="5"/>
  <c r="BQ113" i="5"/>
  <c r="AP114" i="5"/>
  <c r="L115" i="5"/>
  <c r="BG115" i="5"/>
  <c r="AC116" i="5"/>
  <c r="BN116" i="5"/>
  <c r="AJ117" i="5"/>
  <c r="F118" i="5"/>
  <c r="AY118" i="5"/>
  <c r="U119" i="5"/>
  <c r="BP119" i="5"/>
  <c r="AK120" i="5"/>
  <c r="BY120" i="5"/>
  <c r="AJ121" i="5"/>
  <c r="BS121" i="5"/>
  <c r="Y122" i="5"/>
  <c r="AY122" i="5"/>
  <c r="BW122" i="5"/>
  <c r="U123" i="5"/>
  <c r="AR123" i="5"/>
  <c r="BP123" i="5"/>
  <c r="N124" i="5"/>
  <c r="AL124" i="5"/>
  <c r="BF124" i="5"/>
  <c r="D125" i="5"/>
  <c r="AB125" i="5"/>
  <c r="AY125" i="5"/>
  <c r="BW125" i="5"/>
  <c r="U126" i="5"/>
  <c r="BM126" i="5"/>
  <c r="K127" i="5"/>
  <c r="AI127" i="5"/>
  <c r="BG127" i="5"/>
  <c r="E128" i="5"/>
  <c r="AC128" i="5"/>
  <c r="BA128" i="5"/>
  <c r="BY128" i="5"/>
  <c r="W129" i="5"/>
  <c r="BS129" i="5"/>
  <c r="Q130" i="5"/>
  <c r="AO130" i="5"/>
  <c r="BK130" i="5"/>
  <c r="D131" i="5"/>
  <c r="X131" i="5"/>
  <c r="AP131" i="5"/>
  <c r="BD131" i="5"/>
  <c r="BQ131" i="5"/>
  <c r="O132" i="5"/>
  <c r="AA132" i="5"/>
  <c r="AM132" i="5"/>
  <c r="AY132" i="5"/>
  <c r="BK132" i="5"/>
  <c r="BW132" i="5"/>
  <c r="I133" i="5"/>
  <c r="U133" i="5"/>
  <c r="AG133" i="5"/>
  <c r="AS133" i="5"/>
  <c r="BE133" i="5"/>
  <c r="BQ133" i="5"/>
  <c r="O134" i="5"/>
  <c r="AA134" i="5"/>
  <c r="AM134" i="5"/>
  <c r="AY134" i="5"/>
  <c r="BK134" i="5"/>
  <c r="BW134" i="5"/>
  <c r="I135" i="5"/>
  <c r="U135" i="5"/>
  <c r="AG135" i="5"/>
  <c r="AS135" i="5"/>
  <c r="BE135" i="5"/>
  <c r="BQ135" i="5"/>
  <c r="O136" i="5"/>
  <c r="AA136" i="5"/>
  <c r="AM136" i="5"/>
  <c r="AY136" i="5"/>
  <c r="BK136" i="5"/>
  <c r="BW136" i="5"/>
  <c r="I137" i="5"/>
  <c r="U137" i="5"/>
  <c r="AG137" i="5"/>
  <c r="AS137" i="5"/>
  <c r="BE137" i="5"/>
  <c r="BQ137" i="5"/>
  <c r="O138" i="5"/>
  <c r="AA138" i="5"/>
  <c r="AM138" i="5"/>
  <c r="AY138" i="5"/>
  <c r="BK138" i="5"/>
  <c r="BW138" i="5"/>
  <c r="I139" i="5"/>
  <c r="U139" i="5"/>
  <c r="AG139" i="5"/>
  <c r="AS139" i="5"/>
  <c r="BQ139" i="5"/>
  <c r="O140" i="5"/>
  <c r="AA140" i="5"/>
  <c r="AM140" i="5"/>
  <c r="AY140" i="5"/>
  <c r="BK140" i="5"/>
  <c r="BW140" i="5"/>
  <c r="F86" i="5"/>
  <c r="BU87" i="5"/>
  <c r="AS89" i="5"/>
  <c r="BT91" i="5"/>
  <c r="B94" i="5"/>
  <c r="M96" i="5"/>
  <c r="BS99" i="5"/>
  <c r="AW101" i="5"/>
  <c r="BU102" i="5"/>
  <c r="AM105" i="5"/>
  <c r="BB106" i="5"/>
  <c r="BS107" i="5"/>
  <c r="BK108" i="5"/>
  <c r="BH109" i="5"/>
  <c r="AR110" i="5"/>
  <c r="Y111" i="5"/>
  <c r="BV111" i="5"/>
  <c r="BA112" i="5"/>
  <c r="AB113" i="5"/>
  <c r="B114" i="5"/>
  <c r="AY114" i="5"/>
  <c r="U115" i="5"/>
  <c r="BH115" i="5"/>
  <c r="AD116" i="5"/>
  <c r="BW116" i="5"/>
  <c r="AS117" i="5"/>
  <c r="O118" i="5"/>
  <c r="BA118" i="5"/>
  <c r="W119" i="5"/>
  <c r="BQ119" i="5"/>
  <c r="BZ120" i="5"/>
  <c r="AK121" i="5"/>
  <c r="BT121" i="5"/>
  <c r="Z122" i="5"/>
  <c r="AZ122" i="5"/>
  <c r="BX122" i="5"/>
  <c r="V123" i="5"/>
  <c r="AS123" i="5"/>
  <c r="BQ123" i="5"/>
  <c r="O124" i="5"/>
  <c r="AM124" i="5"/>
  <c r="BJ124" i="5"/>
  <c r="H125" i="5"/>
  <c r="AF125" i="5"/>
  <c r="AZ125" i="5"/>
  <c r="BX125" i="5"/>
  <c r="V126" i="5"/>
  <c r="AS126" i="5"/>
  <c r="BQ126" i="5"/>
  <c r="O127" i="5"/>
  <c r="AM127" i="5"/>
  <c r="BK127" i="5"/>
  <c r="I128" i="5"/>
  <c r="AG128" i="5"/>
  <c r="BE128" i="5"/>
  <c r="AA129" i="5"/>
  <c r="AY129" i="5"/>
  <c r="BW129" i="5"/>
  <c r="U130" i="5"/>
  <c r="AS130" i="5"/>
  <c r="BL130" i="5"/>
  <c r="H131" i="5"/>
  <c r="AA131" i="5"/>
  <c r="AR131" i="5"/>
  <c r="BE131" i="5"/>
  <c r="BR131" i="5"/>
  <c r="D132" i="5"/>
  <c r="P132" i="5"/>
  <c r="AB132" i="5"/>
  <c r="AN132" i="5"/>
  <c r="AZ132" i="5"/>
  <c r="BL132" i="5"/>
  <c r="BX132" i="5"/>
  <c r="J133" i="5"/>
  <c r="V133" i="5"/>
  <c r="AH133" i="5"/>
  <c r="AT133" i="5"/>
  <c r="BF133" i="5"/>
  <c r="BR133" i="5"/>
  <c r="D134" i="5"/>
  <c r="P134" i="5"/>
  <c r="AB134" i="5"/>
  <c r="AN134" i="5"/>
  <c r="BL134" i="5"/>
  <c r="BX134" i="5"/>
  <c r="J135" i="5"/>
  <c r="V135" i="5"/>
  <c r="AH135" i="5"/>
  <c r="AT135" i="5"/>
  <c r="BF135" i="5"/>
  <c r="BR135" i="5"/>
  <c r="D136" i="5"/>
  <c r="P136" i="5"/>
  <c r="AB136" i="5"/>
  <c r="AN136" i="5"/>
  <c r="AZ136" i="5"/>
  <c r="BL136" i="5"/>
  <c r="BX136" i="5"/>
  <c r="J137" i="5"/>
  <c r="V137" i="5"/>
  <c r="AH137" i="5"/>
  <c r="AT137" i="5"/>
  <c r="BF137" i="5"/>
  <c r="BR137" i="5"/>
  <c r="D138" i="5"/>
  <c r="P138" i="5"/>
  <c r="AB138" i="5"/>
  <c r="AN138" i="5"/>
  <c r="AZ138" i="5"/>
  <c r="BL138" i="5"/>
  <c r="BX138" i="5"/>
  <c r="J139" i="5"/>
  <c r="V139" i="5"/>
  <c r="AH139" i="5"/>
  <c r="AT139" i="5"/>
  <c r="BF139" i="5"/>
  <c r="BR139" i="5"/>
  <c r="D140" i="5"/>
  <c r="P140" i="5"/>
  <c r="AB140" i="5"/>
  <c r="AN140" i="5"/>
  <c r="AZ140" i="5"/>
  <c r="BL140" i="5"/>
  <c r="BX140" i="5"/>
  <c r="J141" i="5"/>
  <c r="V141" i="5"/>
  <c r="M86" i="5"/>
  <c r="AP88" i="5"/>
  <c r="CA94" i="5"/>
  <c r="AE97" i="5"/>
  <c r="AB100" i="5"/>
  <c r="AP104" i="5"/>
  <c r="BL105" i="5"/>
  <c r="AN107" i="5"/>
  <c r="U109" i="5"/>
  <c r="AL111" i="5"/>
  <c r="AF112" i="5"/>
  <c r="AP113" i="5"/>
  <c r="AD114" i="5"/>
  <c r="Y115" i="5"/>
  <c r="O116" i="5"/>
  <c r="I117" i="5"/>
  <c r="BQ117" i="5"/>
  <c r="BK118" i="5"/>
  <c r="AS119" i="5"/>
  <c r="AM120" i="5"/>
  <c r="T121" i="5"/>
  <c r="BU121" i="5"/>
  <c r="AM122" i="5"/>
  <c r="BY122" i="5"/>
  <c r="AG123" i="5"/>
  <c r="BG123" i="5"/>
  <c r="V124" i="5"/>
  <c r="AZ124" i="5"/>
  <c r="O125" i="5"/>
  <c r="AS125" i="5"/>
  <c r="E126" i="5"/>
  <c r="AM126" i="5"/>
  <c r="BW126" i="5"/>
  <c r="AB127" i="5"/>
  <c r="BQ127" i="5"/>
  <c r="V128" i="5"/>
  <c r="BK128" i="5"/>
  <c r="P129" i="5"/>
  <c r="BD129" i="5"/>
  <c r="I130" i="5"/>
  <c r="BW130" i="5"/>
  <c r="AD131" i="5"/>
  <c r="AY131" i="5"/>
  <c r="BT131" i="5"/>
  <c r="J132" i="5"/>
  <c r="AD132" i="5"/>
  <c r="AT132" i="5"/>
  <c r="BM132" i="5"/>
  <c r="W133" i="5"/>
  <c r="AM133" i="5"/>
  <c r="BG133" i="5"/>
  <c r="BW133" i="5"/>
  <c r="Q134" i="5"/>
  <c r="AG134" i="5"/>
  <c r="BP134" i="5"/>
  <c r="F135" i="5"/>
  <c r="Z135" i="5"/>
  <c r="AP135" i="5"/>
  <c r="BJ135" i="5"/>
  <c r="BZ135" i="5"/>
  <c r="T136" i="5"/>
  <c r="AJ136" i="5"/>
  <c r="BD136" i="5"/>
  <c r="BT136" i="5"/>
  <c r="N137" i="5"/>
  <c r="AD137" i="5"/>
  <c r="AX137" i="5"/>
  <c r="BM137" i="5"/>
  <c r="G138" i="5"/>
  <c r="W138" i="5"/>
  <c r="AQ138" i="5"/>
  <c r="BG138" i="5"/>
  <c r="CA138" i="5"/>
  <c r="Q139" i="5"/>
  <c r="AK139" i="5"/>
  <c r="BA139" i="5"/>
  <c r="BT139" i="5"/>
  <c r="J140" i="5"/>
  <c r="AD140" i="5"/>
  <c r="AT140" i="5"/>
  <c r="BN140" i="5"/>
  <c r="D141" i="5"/>
  <c r="U141" i="5"/>
  <c r="AJ141" i="5"/>
  <c r="AX141" i="5"/>
  <c r="BL141" i="5"/>
  <c r="BY141" i="5"/>
  <c r="K142" i="5"/>
  <c r="W142" i="5"/>
  <c r="AI142" i="5"/>
  <c r="AU142" i="5"/>
  <c r="BG142" i="5"/>
  <c r="BS142" i="5"/>
  <c r="E143" i="5"/>
  <c r="Q143" i="5"/>
  <c r="AC143" i="5"/>
  <c r="AO143" i="5"/>
  <c r="BA143" i="5"/>
  <c r="BM143" i="5"/>
  <c r="BY143" i="5"/>
  <c r="K144" i="5"/>
  <c r="W144" i="5"/>
  <c r="AI144" i="5"/>
  <c r="AU144" i="5"/>
  <c r="BG144" i="5"/>
  <c r="BS144" i="5"/>
  <c r="E145" i="5"/>
  <c r="Q145" i="5"/>
  <c r="AC145" i="5"/>
  <c r="AO145" i="5"/>
  <c r="BA145" i="5"/>
  <c r="BM145" i="5"/>
  <c r="BY145" i="5"/>
  <c r="K146" i="5"/>
  <c r="W146" i="5"/>
  <c r="AI146" i="5"/>
  <c r="AU146" i="5"/>
  <c r="BG146" i="5"/>
  <c r="BS146" i="5"/>
  <c r="E147" i="5"/>
  <c r="Q147" i="5"/>
  <c r="AC147" i="5"/>
  <c r="AO147" i="5"/>
  <c r="BA147" i="5"/>
  <c r="BY147" i="5"/>
  <c r="K148" i="5"/>
  <c r="W148" i="5"/>
  <c r="AI148" i="5"/>
  <c r="AU148" i="5"/>
  <c r="BG148" i="5"/>
  <c r="BS148" i="5"/>
  <c r="E149" i="5"/>
  <c r="O86" i="5"/>
  <c r="BW88" i="5"/>
  <c r="N92" i="5"/>
  <c r="G95" i="5"/>
  <c r="AC100" i="5"/>
  <c r="AJ102" i="5"/>
  <c r="AQ104" i="5"/>
  <c r="H106" i="5"/>
  <c r="BT107" i="5"/>
  <c r="W109" i="5"/>
  <c r="AS110" i="5"/>
  <c r="AM111" i="5"/>
  <c r="BB112" i="5"/>
  <c r="AQ113" i="5"/>
  <c r="Q116" i="5"/>
  <c r="K117" i="5"/>
  <c r="BS117" i="5"/>
  <c r="BU118" i="5"/>
  <c r="AU119" i="5"/>
  <c r="AV120" i="5"/>
  <c r="U121" i="5"/>
  <c r="AH123" i="5"/>
  <c r="BR123" i="5"/>
  <c r="Z124" i="5"/>
  <c r="BK124" i="5"/>
  <c r="P125" i="5"/>
  <c r="BD125" i="5"/>
  <c r="I126" i="5"/>
  <c r="BX126" i="5"/>
  <c r="AF127" i="5"/>
  <c r="BR127" i="5"/>
  <c r="Z128" i="5"/>
  <c r="BL128" i="5"/>
  <c r="T129" i="5"/>
  <c r="BE129" i="5"/>
  <c r="J130" i="5"/>
  <c r="AX130" i="5"/>
  <c r="BX130" i="5"/>
  <c r="AF131" i="5"/>
  <c r="AZ131" i="5"/>
  <c r="BU131" i="5"/>
  <c r="K132" i="5"/>
  <c r="AE132" i="5"/>
  <c r="AU132" i="5"/>
  <c r="BN132" i="5"/>
  <c r="D133" i="5"/>
  <c r="X133" i="5"/>
  <c r="AN133" i="5"/>
  <c r="BH133" i="5"/>
  <c r="BX133" i="5"/>
  <c r="R134" i="5"/>
  <c r="AH134" i="5"/>
  <c r="BA134" i="5"/>
  <c r="BQ134" i="5"/>
  <c r="K135" i="5"/>
  <c r="AA135" i="5"/>
  <c r="AU135" i="5"/>
  <c r="BK135" i="5"/>
  <c r="E136" i="5"/>
  <c r="U136" i="5"/>
  <c r="AO136" i="5"/>
  <c r="BE136" i="5"/>
  <c r="BY136" i="5"/>
  <c r="O137" i="5"/>
  <c r="AI137" i="5"/>
  <c r="AY137" i="5"/>
  <c r="BN137" i="5"/>
  <c r="H138" i="5"/>
  <c r="X138" i="5"/>
  <c r="AR138" i="5"/>
  <c r="BH138" i="5"/>
  <c r="B139" i="5"/>
  <c r="R139" i="5"/>
  <c r="AL139" i="5"/>
  <c r="BB139" i="5"/>
  <c r="BU139" i="5"/>
  <c r="K140" i="5"/>
  <c r="AE140" i="5"/>
  <c r="AU140" i="5"/>
  <c r="BO140" i="5"/>
  <c r="E141" i="5"/>
  <c r="W141" i="5"/>
  <c r="AK141" i="5"/>
  <c r="AY141" i="5"/>
  <c r="BM141" i="5"/>
  <c r="BZ141" i="5"/>
  <c r="L142" i="5"/>
  <c r="X142" i="5"/>
  <c r="AJ142" i="5"/>
  <c r="AV142" i="5"/>
  <c r="BT142" i="5"/>
  <c r="F143" i="5"/>
  <c r="R143" i="5"/>
  <c r="AD143" i="5"/>
  <c r="AP143" i="5"/>
  <c r="BB143" i="5"/>
  <c r="BN143" i="5"/>
  <c r="BZ143" i="5"/>
  <c r="L144" i="5"/>
  <c r="X144" i="5"/>
  <c r="AJ144" i="5"/>
  <c r="AV144" i="5"/>
  <c r="BH144" i="5"/>
  <c r="BT144" i="5"/>
  <c r="F145" i="5"/>
  <c r="R145" i="5"/>
  <c r="AD145" i="5"/>
  <c r="AP145" i="5"/>
  <c r="BB145" i="5"/>
  <c r="BN145" i="5"/>
  <c r="BZ145" i="5"/>
  <c r="L146" i="5"/>
  <c r="X146" i="5"/>
  <c r="AJ146" i="5"/>
  <c r="AV146" i="5"/>
  <c r="BH146" i="5"/>
  <c r="BT146" i="5"/>
  <c r="F147" i="5"/>
  <c r="R147" i="5"/>
  <c r="AD147" i="5"/>
  <c r="AP147" i="5"/>
  <c r="BB147" i="5"/>
  <c r="BN147" i="5"/>
  <c r="BZ147" i="5"/>
  <c r="L148" i="5"/>
  <c r="Q86" i="5"/>
  <c r="BY88" i="5"/>
  <c r="AL92" i="5"/>
  <c r="Z98" i="5"/>
  <c r="AV100" i="5"/>
  <c r="AP102" i="5"/>
  <c r="AS104" i="5"/>
  <c r="I106" i="5"/>
  <c r="J108" i="5"/>
  <c r="X109" i="5"/>
  <c r="AT110" i="5"/>
  <c r="AT111" i="5"/>
  <c r="BJ112" i="5"/>
  <c r="BB113" i="5"/>
  <c r="BA114" i="5"/>
  <c r="AI115" i="5"/>
  <c r="L117" i="5"/>
  <c r="B118" i="5"/>
  <c r="BV118" i="5"/>
  <c r="BD119" i="5"/>
  <c r="AW120" i="5"/>
  <c r="V121" i="5"/>
  <c r="D122" i="5"/>
  <c r="AO122" i="5"/>
  <c r="D123" i="5"/>
  <c r="AI123" i="5"/>
  <c r="BS123" i="5"/>
  <c r="AA124" i="5"/>
  <c r="BL124" i="5"/>
  <c r="T125" i="5"/>
  <c r="BE125" i="5"/>
  <c r="J126" i="5"/>
  <c r="AT126" i="5"/>
  <c r="BY126" i="5"/>
  <c r="AN127" i="5"/>
  <c r="BS127" i="5"/>
  <c r="AH128" i="5"/>
  <c r="BM128" i="5"/>
  <c r="AB129" i="5"/>
  <c r="BF129" i="5"/>
  <c r="N130" i="5"/>
  <c r="AY130" i="5"/>
  <c r="BY130" i="5"/>
  <c r="AG131" i="5"/>
  <c r="BA131" i="5"/>
  <c r="BV131" i="5"/>
  <c r="L132" i="5"/>
  <c r="AF132" i="5"/>
  <c r="AV132" i="5"/>
  <c r="BO132" i="5"/>
  <c r="E133" i="5"/>
  <c r="Y133" i="5"/>
  <c r="AO133" i="5"/>
  <c r="BI133" i="5"/>
  <c r="BY133" i="5"/>
  <c r="S134" i="5"/>
  <c r="AI134" i="5"/>
  <c r="BB134" i="5"/>
  <c r="BR134" i="5"/>
  <c r="L135" i="5"/>
  <c r="AB135" i="5"/>
  <c r="AV135" i="5"/>
  <c r="BL135" i="5"/>
  <c r="F136" i="5"/>
  <c r="V136" i="5"/>
  <c r="AP136" i="5"/>
  <c r="BF136" i="5"/>
  <c r="BZ136" i="5"/>
  <c r="P137" i="5"/>
  <c r="AJ137" i="5"/>
  <c r="AZ137" i="5"/>
  <c r="BS137" i="5"/>
  <c r="I138" i="5"/>
  <c r="AC138" i="5"/>
  <c r="AS138" i="5"/>
  <c r="BM138" i="5"/>
  <c r="W139" i="5"/>
  <c r="AM139" i="5"/>
  <c r="BV139" i="5"/>
  <c r="L140" i="5"/>
  <c r="AF140" i="5"/>
  <c r="AV140" i="5"/>
  <c r="BP140" i="5"/>
  <c r="F141" i="5"/>
  <c r="X141" i="5"/>
  <c r="AL141" i="5"/>
  <c r="AZ141" i="5"/>
  <c r="BN141" i="5"/>
  <c r="CA141" i="5"/>
  <c r="M142" i="5"/>
  <c r="Y142" i="5"/>
  <c r="AK142" i="5"/>
  <c r="AW142" i="5"/>
  <c r="BI142" i="5"/>
  <c r="BU142" i="5"/>
  <c r="G143" i="5"/>
  <c r="S143" i="5"/>
  <c r="AE143" i="5"/>
  <c r="AQ143" i="5"/>
  <c r="BC143" i="5"/>
  <c r="BO143" i="5"/>
  <c r="CA143" i="5"/>
  <c r="M144" i="5"/>
  <c r="Y144" i="5"/>
  <c r="AK144" i="5"/>
  <c r="AW144" i="5"/>
  <c r="BI144" i="5"/>
  <c r="BU144" i="5"/>
  <c r="G145" i="5"/>
  <c r="S145" i="5"/>
  <c r="AE145" i="5"/>
  <c r="AQ145" i="5"/>
  <c r="BC145" i="5"/>
  <c r="BO145" i="5"/>
  <c r="CA145" i="5"/>
  <c r="M146" i="5"/>
  <c r="BI86" i="5"/>
  <c r="AX92" i="5"/>
  <c r="AE95" i="5"/>
  <c r="AA98" i="5"/>
  <c r="BL100" i="5"/>
  <c r="P103" i="5"/>
  <c r="BF104" i="5"/>
  <c r="Q108" i="5"/>
  <c r="BI110" i="5"/>
  <c r="AZ111" i="5"/>
  <c r="BK112" i="5"/>
  <c r="BC113" i="5"/>
  <c r="BB114" i="5"/>
  <c r="AJ115" i="5"/>
  <c r="AL116" i="5"/>
  <c r="U117" i="5"/>
  <c r="Q118" i="5"/>
  <c r="BW118" i="5"/>
  <c r="BS119" i="5"/>
  <c r="BB120" i="5"/>
  <c r="AD121" i="5"/>
  <c r="J122" i="5"/>
  <c r="AS122" i="5"/>
  <c r="H123" i="5"/>
  <c r="AM123" i="5"/>
  <c r="BW123" i="5"/>
  <c r="AB124" i="5"/>
  <c r="BM124" i="5"/>
  <c r="U125" i="5"/>
  <c r="BF125" i="5"/>
  <c r="N126" i="5"/>
  <c r="AX126" i="5"/>
  <c r="AR127" i="5"/>
  <c r="BW127" i="5"/>
  <c r="AL128" i="5"/>
  <c r="BQ128" i="5"/>
  <c r="AF129" i="5"/>
  <c r="BG129" i="5"/>
  <c r="V130" i="5"/>
  <c r="AZ130" i="5"/>
  <c r="I131" i="5"/>
  <c r="AH131" i="5"/>
  <c r="BF131" i="5"/>
  <c r="BW131" i="5"/>
  <c r="Q132" i="5"/>
  <c r="AG132" i="5"/>
  <c r="BP132" i="5"/>
  <c r="F133" i="5"/>
  <c r="Z133" i="5"/>
  <c r="AP133" i="5"/>
  <c r="BJ133" i="5"/>
  <c r="BZ133" i="5"/>
  <c r="T134" i="5"/>
  <c r="AJ134" i="5"/>
  <c r="BC134" i="5"/>
  <c r="BS134" i="5"/>
  <c r="M135" i="5"/>
  <c r="AC135" i="5"/>
  <c r="AW135" i="5"/>
  <c r="BM135" i="5"/>
  <c r="G136" i="5"/>
  <c r="W136" i="5"/>
  <c r="AQ136" i="5"/>
  <c r="BG136" i="5"/>
  <c r="CA136" i="5"/>
  <c r="Q137" i="5"/>
  <c r="AK137" i="5"/>
  <c r="BA137" i="5"/>
  <c r="BT137" i="5"/>
  <c r="J138" i="5"/>
  <c r="AD138" i="5"/>
  <c r="AT138" i="5"/>
  <c r="BN138" i="5"/>
  <c r="D139" i="5"/>
  <c r="X139" i="5"/>
  <c r="AN139" i="5"/>
  <c r="BG139" i="5"/>
  <c r="BW139" i="5"/>
  <c r="Q140" i="5"/>
  <c r="AG140" i="5"/>
  <c r="BA140" i="5"/>
  <c r="BQ140" i="5"/>
  <c r="I141" i="5"/>
  <c r="Y141" i="5"/>
  <c r="AM141" i="5"/>
  <c r="BA141" i="5"/>
  <c r="BO141" i="5"/>
  <c r="B142" i="5"/>
  <c r="N142" i="5"/>
  <c r="Z142" i="5"/>
  <c r="AL142" i="5"/>
  <c r="AX142" i="5"/>
  <c r="BJ142" i="5"/>
  <c r="BV142" i="5"/>
  <c r="H143" i="5"/>
  <c r="T143" i="5"/>
  <c r="AF143" i="5"/>
  <c r="AR143" i="5"/>
  <c r="BD143" i="5"/>
  <c r="BP143" i="5"/>
  <c r="B144" i="5"/>
  <c r="N144" i="5"/>
  <c r="Z144" i="5"/>
  <c r="AL144" i="5"/>
  <c r="AX144" i="5"/>
  <c r="BV144" i="5"/>
  <c r="H145" i="5"/>
  <c r="T145" i="5"/>
  <c r="AF145" i="5"/>
  <c r="AR145" i="5"/>
  <c r="BD145" i="5"/>
  <c r="BP145" i="5"/>
  <c r="B146" i="5"/>
  <c r="N146" i="5"/>
  <c r="Z146" i="5"/>
  <c r="AL146" i="5"/>
  <c r="AX146" i="5"/>
  <c r="BJ146" i="5"/>
  <c r="BV146" i="5"/>
  <c r="H147" i="5"/>
  <c r="T147" i="5"/>
  <c r="AF147" i="5"/>
  <c r="H93" i="5"/>
  <c r="AP98" i="5"/>
  <c r="CA100" i="5"/>
  <c r="V103" i="5"/>
  <c r="BR104" i="5"/>
  <c r="BD106" i="5"/>
  <c r="T108" i="5"/>
  <c r="BJ109" i="5"/>
  <c r="BO110" i="5"/>
  <c r="D112" i="5"/>
  <c r="BW112" i="5"/>
  <c r="BM114" i="5"/>
  <c r="AU115" i="5"/>
  <c r="AO116" i="5"/>
  <c r="AF117" i="5"/>
  <c r="AA118" i="5"/>
  <c r="H119" i="5"/>
  <c r="BH120" i="5"/>
  <c r="AS121" i="5"/>
  <c r="L122" i="5"/>
  <c r="BE122" i="5"/>
  <c r="J123" i="5"/>
  <c r="AT123" i="5"/>
  <c r="B124" i="5"/>
  <c r="AN124" i="5"/>
  <c r="BR124" i="5"/>
  <c r="AG125" i="5"/>
  <c r="BK125" i="5"/>
  <c r="Z126" i="5"/>
  <c r="AZ126" i="5"/>
  <c r="H127" i="5"/>
  <c r="AT127" i="5"/>
  <c r="B128" i="5"/>
  <c r="AN128" i="5"/>
  <c r="BV128" i="5"/>
  <c r="AH129" i="5"/>
  <c r="BL129" i="5"/>
  <c r="AA130" i="5"/>
  <c r="BB130" i="5"/>
  <c r="K131" i="5"/>
  <c r="AJ131" i="5"/>
  <c r="BH131" i="5"/>
  <c r="BY131" i="5"/>
  <c r="S132" i="5"/>
  <c r="AI132" i="5"/>
  <c r="BB132" i="5"/>
  <c r="BR132" i="5"/>
  <c r="L133" i="5"/>
  <c r="AB133" i="5"/>
  <c r="AV133" i="5"/>
  <c r="BL133" i="5"/>
  <c r="F134" i="5"/>
  <c r="V134" i="5"/>
  <c r="AP134" i="5"/>
  <c r="BE134" i="5"/>
  <c r="BY134" i="5"/>
  <c r="O135" i="5"/>
  <c r="AI135" i="5"/>
  <c r="AY135" i="5"/>
  <c r="BS135" i="5"/>
  <c r="I136" i="5"/>
  <c r="AC136" i="5"/>
  <c r="AS136" i="5"/>
  <c r="BM136" i="5"/>
  <c r="W137" i="5"/>
  <c r="AM137" i="5"/>
  <c r="BV137" i="5"/>
  <c r="L138" i="5"/>
  <c r="AF138" i="5"/>
  <c r="AV138" i="5"/>
  <c r="BP138" i="5"/>
  <c r="F139" i="5"/>
  <c r="Z139" i="5"/>
  <c r="AP139" i="5"/>
  <c r="BI139" i="5"/>
  <c r="BY139" i="5"/>
  <c r="S140" i="5"/>
  <c r="AI140" i="5"/>
  <c r="BC140" i="5"/>
  <c r="BS140" i="5"/>
  <c r="L141" i="5"/>
  <c r="AA141" i="5"/>
  <c r="AO141" i="5"/>
  <c r="BE141" i="5"/>
  <c r="BR141" i="5"/>
  <c r="D142" i="5"/>
  <c r="P142" i="5"/>
  <c r="AB142" i="5"/>
  <c r="AN142" i="5"/>
  <c r="AZ142" i="5"/>
  <c r="BL142" i="5"/>
  <c r="BX142" i="5"/>
  <c r="J143" i="5"/>
  <c r="V143" i="5"/>
  <c r="AH143" i="5"/>
  <c r="AT143" i="5"/>
  <c r="BF143" i="5"/>
  <c r="BR143" i="5"/>
  <c r="D144" i="5"/>
  <c r="P144" i="5"/>
  <c r="AB144" i="5"/>
  <c r="AN144" i="5"/>
  <c r="AZ144" i="5"/>
  <c r="BL144" i="5"/>
  <c r="BX144" i="5"/>
  <c r="J145" i="5"/>
  <c r="V145" i="5"/>
  <c r="AH145" i="5"/>
  <c r="AT145" i="5"/>
  <c r="BF145" i="5"/>
  <c r="BR145" i="5"/>
  <c r="D146" i="5"/>
  <c r="P146" i="5"/>
  <c r="AB146" i="5"/>
  <c r="AN146" i="5"/>
  <c r="AZ146" i="5"/>
  <c r="BX146" i="5"/>
  <c r="J147" i="5"/>
  <c r="V147" i="5"/>
  <c r="Z88" i="5"/>
  <c r="BI90" i="5"/>
  <c r="Y94" i="5"/>
  <c r="BM96" i="5"/>
  <c r="Y99" i="5"/>
  <c r="B102" i="5"/>
  <c r="BQ103" i="5"/>
  <c r="BG105" i="5"/>
  <c r="BY108" i="5"/>
  <c r="O110" i="5"/>
  <c r="Z111" i="5"/>
  <c r="S112" i="5"/>
  <c r="AD113" i="5"/>
  <c r="Q114" i="5"/>
  <c r="BZ114" i="5"/>
  <c r="BU115" i="5"/>
  <c r="BJ116" i="5"/>
  <c r="BE117" i="5"/>
  <c r="AL118" i="5"/>
  <c r="Q120" i="5"/>
  <c r="I121" i="5"/>
  <c r="BD121" i="5"/>
  <c r="AE122" i="5"/>
  <c r="BL122" i="5"/>
  <c r="AA123" i="5"/>
  <c r="BD123" i="5"/>
  <c r="P124" i="5"/>
  <c r="AT124" i="5"/>
  <c r="I125" i="5"/>
  <c r="AN125" i="5"/>
  <c r="B126" i="5"/>
  <c r="AG126" i="5"/>
  <c r="BJ126" i="5"/>
  <c r="V127" i="5"/>
  <c r="BD127" i="5"/>
  <c r="P128" i="5"/>
  <c r="AX128" i="5"/>
  <c r="J129" i="5"/>
  <c r="AR129" i="5"/>
  <c r="AH130" i="5"/>
  <c r="BQ130" i="5"/>
  <c r="T131" i="5"/>
  <c r="AU131" i="5"/>
  <c r="BM131" i="5"/>
  <c r="G132" i="5"/>
  <c r="W132" i="5"/>
  <c r="AQ132" i="5"/>
  <c r="BF132" i="5"/>
  <c r="BZ132" i="5"/>
  <c r="P133" i="5"/>
  <c r="AJ133" i="5"/>
  <c r="AZ133" i="5"/>
  <c r="BT133" i="5"/>
  <c r="J134" i="5"/>
  <c r="AD134" i="5"/>
  <c r="AT134" i="5"/>
  <c r="BM134" i="5"/>
  <c r="W135" i="5"/>
  <c r="AM135" i="5"/>
  <c r="BG135" i="5"/>
  <c r="BW135" i="5"/>
  <c r="Q136" i="5"/>
  <c r="AG136" i="5"/>
  <c r="BA136" i="5"/>
  <c r="BQ136" i="5"/>
  <c r="K137" i="5"/>
  <c r="AA137" i="5"/>
  <c r="AU137" i="5"/>
  <c r="BJ137" i="5"/>
  <c r="BZ137" i="5"/>
  <c r="T138" i="5"/>
  <c r="AJ138" i="5"/>
  <c r="BT138" i="5"/>
  <c r="N139" i="5"/>
  <c r="AD139" i="5"/>
  <c r="AX139" i="5"/>
  <c r="BM139" i="5"/>
  <c r="G140" i="5"/>
  <c r="W140" i="5"/>
  <c r="AQ140" i="5"/>
  <c r="BG140" i="5"/>
  <c r="CA140" i="5"/>
  <c r="P141" i="5"/>
  <c r="AG141" i="5"/>
  <c r="AU141" i="5"/>
  <c r="BI141" i="5"/>
  <c r="BV141" i="5"/>
  <c r="H142" i="5"/>
  <c r="T142" i="5"/>
  <c r="AF142" i="5"/>
  <c r="AR142" i="5"/>
  <c r="BD142" i="5"/>
  <c r="BP142" i="5"/>
  <c r="B143" i="5"/>
  <c r="N143" i="5"/>
  <c r="Z143" i="5"/>
  <c r="AL143" i="5"/>
  <c r="AX143" i="5"/>
  <c r="BJ143" i="5"/>
  <c r="BV143" i="5"/>
  <c r="H144" i="5"/>
  <c r="T144" i="5"/>
  <c r="AF144" i="5"/>
  <c r="AR144" i="5"/>
  <c r="BD144" i="5"/>
  <c r="BP144" i="5"/>
  <c r="B145" i="5"/>
  <c r="N145" i="5"/>
  <c r="Z145" i="5"/>
  <c r="AL145" i="5"/>
  <c r="AX145" i="5"/>
  <c r="BJ145" i="5"/>
  <c r="BV145" i="5"/>
  <c r="H146" i="5"/>
  <c r="T146" i="5"/>
  <c r="AF146" i="5"/>
  <c r="AR146" i="5"/>
  <c r="BD146" i="5"/>
  <c r="BP146" i="5"/>
  <c r="B147" i="5"/>
  <c r="N147" i="5"/>
  <c r="Z147" i="5"/>
  <c r="AL147" i="5"/>
  <c r="AX147" i="5"/>
  <c r="BK86" i="5"/>
  <c r="BB90" i="5"/>
  <c r="BR103" i="5"/>
  <c r="B107" i="5"/>
  <c r="BX109" i="5"/>
  <c r="E112" i="5"/>
  <c r="D114" i="5"/>
  <c r="BY116" i="5"/>
  <c r="AM118" i="5"/>
  <c r="O120" i="5"/>
  <c r="BC121" i="5"/>
  <c r="BJ122" i="5"/>
  <c r="AY123" i="5"/>
  <c r="AI125" i="5"/>
  <c r="AB126" i="5"/>
  <c r="P127" i="5"/>
  <c r="J128" i="5"/>
  <c r="D129" i="5"/>
  <c r="BP129" i="5"/>
  <c r="BA130" i="5"/>
  <c r="AI131" i="5"/>
  <c r="BX131" i="5"/>
  <c r="AH132" i="5"/>
  <c r="BH132" i="5"/>
  <c r="R133" i="5"/>
  <c r="BB133" i="5"/>
  <c r="L134" i="5"/>
  <c r="AV134" i="5"/>
  <c r="D135" i="5"/>
  <c r="AN135" i="5"/>
  <c r="BX135" i="5"/>
  <c r="AH136" i="5"/>
  <c r="BR136" i="5"/>
  <c r="AB137" i="5"/>
  <c r="BI137" i="5"/>
  <c r="S138" i="5"/>
  <c r="BC138" i="5"/>
  <c r="L139" i="5"/>
  <c r="AV139" i="5"/>
  <c r="BZ139" i="5"/>
  <c r="AJ140" i="5"/>
  <c r="BT140" i="5"/>
  <c r="AB141" i="5"/>
  <c r="BF141" i="5"/>
  <c r="E142" i="5"/>
  <c r="AC142" i="5"/>
  <c r="BA142" i="5"/>
  <c r="BW142" i="5"/>
  <c r="U143" i="5"/>
  <c r="AS143" i="5"/>
  <c r="BQ143" i="5"/>
  <c r="O144" i="5"/>
  <c r="AM144" i="5"/>
  <c r="D145" i="5"/>
  <c r="AB145" i="5"/>
  <c r="AZ145" i="5"/>
  <c r="BX145" i="5"/>
  <c r="V146" i="5"/>
  <c r="AQ146" i="5"/>
  <c r="D147" i="5"/>
  <c r="Y147" i="5"/>
  <c r="AR147" i="5"/>
  <c r="BG147" i="5"/>
  <c r="BT147" i="5"/>
  <c r="H148" i="5"/>
  <c r="V148" i="5"/>
  <c r="AJ148" i="5"/>
  <c r="AW148" i="5"/>
  <c r="BJ148" i="5"/>
  <c r="BW148" i="5"/>
  <c r="J149" i="5"/>
  <c r="V149" i="5"/>
  <c r="AH149" i="5"/>
  <c r="AT149" i="5"/>
  <c r="BF149" i="5"/>
  <c r="BR149" i="5"/>
  <c r="D150" i="5"/>
  <c r="P150" i="5"/>
  <c r="AB150" i="5"/>
  <c r="AN150" i="5"/>
  <c r="AZ150" i="5"/>
  <c r="BL150" i="5"/>
  <c r="BX150" i="5"/>
  <c r="J151" i="5"/>
  <c r="V151" i="5"/>
  <c r="AH151" i="5"/>
  <c r="AT151" i="5"/>
  <c r="BF151" i="5"/>
  <c r="BR151" i="5"/>
  <c r="D152" i="5"/>
  <c r="P152" i="5"/>
  <c r="AB152" i="5"/>
  <c r="AN152" i="5"/>
  <c r="AZ152" i="5"/>
  <c r="BL152" i="5"/>
  <c r="BX152" i="5"/>
  <c r="J153" i="5"/>
  <c r="V153" i="5"/>
  <c r="AH153" i="5"/>
  <c r="AT153" i="5"/>
  <c r="BF153" i="5"/>
  <c r="BR153" i="5"/>
  <c r="D154" i="5"/>
  <c r="P154" i="5"/>
  <c r="AB154" i="5"/>
  <c r="AN154" i="5"/>
  <c r="AZ154" i="5"/>
  <c r="BL154" i="5"/>
  <c r="BX154" i="5"/>
  <c r="J155" i="5"/>
  <c r="V155" i="5"/>
  <c r="AH155" i="5"/>
  <c r="AT155" i="5"/>
  <c r="BF155" i="5"/>
  <c r="BR155" i="5"/>
  <c r="D156" i="5"/>
  <c r="P156" i="5"/>
  <c r="AB156" i="5"/>
  <c r="AN156" i="5"/>
  <c r="AZ156" i="5"/>
  <c r="BL156" i="5"/>
  <c r="BX156" i="5"/>
  <c r="J157" i="5"/>
  <c r="V157" i="5"/>
  <c r="AH157" i="5"/>
  <c r="AT157" i="5"/>
  <c r="BF157" i="5"/>
  <c r="BR157" i="5"/>
  <c r="D158" i="5"/>
  <c r="P158" i="5"/>
  <c r="AB158" i="5"/>
  <c r="AN158" i="5"/>
  <c r="AZ158" i="5"/>
  <c r="BL158" i="5"/>
  <c r="J159" i="5"/>
  <c r="V159" i="5"/>
  <c r="AH159" i="5"/>
  <c r="AT159" i="5"/>
  <c r="BF159" i="5"/>
  <c r="BR159" i="5"/>
  <c r="D160" i="5"/>
  <c r="P160" i="5"/>
  <c r="AB160" i="5"/>
  <c r="AN160" i="5"/>
  <c r="AZ160" i="5"/>
  <c r="BL160" i="5"/>
  <c r="BX160" i="5"/>
  <c r="J161" i="5"/>
  <c r="V161" i="5"/>
  <c r="AH161" i="5"/>
  <c r="AT161" i="5"/>
  <c r="BF161" i="5"/>
  <c r="BR161" i="5"/>
  <c r="BN101" i="5"/>
  <c r="BI120" i="5"/>
  <c r="BQ124" i="5"/>
  <c r="BR130" i="5"/>
  <c r="BY132" i="5"/>
  <c r="BG134" i="5"/>
  <c r="AO137" i="5"/>
  <c r="Y139" i="5"/>
  <c r="J142" i="5"/>
  <c r="AA143" i="5"/>
  <c r="AS144" i="5"/>
  <c r="BI145" i="5"/>
  <c r="L147" i="5"/>
  <c r="AV147" i="5"/>
  <c r="AA148" i="5"/>
  <c r="N149" i="5"/>
  <c r="AL149" i="5"/>
  <c r="H150" i="5"/>
  <c r="AR150" i="5"/>
  <c r="Z151" i="5"/>
  <c r="BV151" i="5"/>
  <c r="BP152" i="5"/>
  <c r="AL153" i="5"/>
  <c r="H154" i="5"/>
  <c r="AR154" i="5"/>
  <c r="N155" i="5"/>
  <c r="BJ155" i="5"/>
  <c r="AF156" i="5"/>
  <c r="B157" i="5"/>
  <c r="AX157" i="5"/>
  <c r="T158" i="5"/>
  <c r="BD158" i="5"/>
  <c r="Z159" i="5"/>
  <c r="BV159" i="5"/>
  <c r="BP160" i="5"/>
  <c r="AL161" i="5"/>
  <c r="I93" i="5"/>
  <c r="AG108" i="5"/>
  <c r="BD117" i="5"/>
  <c r="AY126" i="5"/>
  <c r="BV130" i="5"/>
  <c r="BU133" i="5"/>
  <c r="L136" i="5"/>
  <c r="BX137" i="5"/>
  <c r="R140" i="5"/>
  <c r="AN141" i="5"/>
  <c r="D143" i="5"/>
  <c r="V144" i="5"/>
  <c r="O145" i="5"/>
  <c r="AE146" i="5"/>
  <c r="AW147" i="5"/>
  <c r="O148" i="5"/>
  <c r="BO148" i="5"/>
  <c r="AY149" i="5"/>
  <c r="U150" i="5"/>
  <c r="BQ150" i="5"/>
  <c r="AY151" i="5"/>
  <c r="U152" i="5"/>
  <c r="BQ152" i="5"/>
  <c r="AM153" i="5"/>
  <c r="I154" i="5"/>
  <c r="AS154" i="5"/>
  <c r="O155" i="5"/>
  <c r="BK155" i="5"/>
  <c r="AG156" i="5"/>
  <c r="AM157" i="5"/>
  <c r="U158" i="5"/>
  <c r="BQ158" i="5"/>
  <c r="AY159" i="5"/>
  <c r="U160" i="5"/>
  <c r="BQ160" i="5"/>
  <c r="AM161" i="5"/>
  <c r="AN108" i="5"/>
  <c r="B113" i="5"/>
  <c r="BG117" i="5"/>
  <c r="D124" i="5"/>
  <c r="AU127" i="5"/>
  <c r="J131" i="5"/>
  <c r="BG131" i="5"/>
  <c r="X135" i="5"/>
  <c r="R136" i="5"/>
  <c r="AI138" i="5"/>
  <c r="T140" i="5"/>
  <c r="BS141" i="5"/>
  <c r="AG143" i="5"/>
  <c r="BR144" i="5"/>
  <c r="AG146" i="5"/>
  <c r="AY147" i="5"/>
  <c r="BC148" i="5"/>
  <c r="AZ149" i="5"/>
  <c r="AH150" i="5"/>
  <c r="P151" i="5"/>
  <c r="Q96" i="5"/>
  <c r="BZ100" i="5"/>
  <c r="X107" i="5"/>
  <c r="N110" i="5"/>
  <c r="F112" i="5"/>
  <c r="J114" i="5"/>
  <c r="AS115" i="5"/>
  <c r="H117" i="5"/>
  <c r="BJ118" i="5"/>
  <c r="Z120" i="5"/>
  <c r="BE121" i="5"/>
  <c r="BK122" i="5"/>
  <c r="AZ123" i="5"/>
  <c r="AS124" i="5"/>
  <c r="AM125" i="5"/>
  <c r="AC126" i="5"/>
  <c r="T127" i="5"/>
  <c r="N128" i="5"/>
  <c r="H129" i="5"/>
  <c r="BX129" i="5"/>
  <c r="BE130" i="5"/>
  <c r="AK131" i="5"/>
  <c r="BZ131" i="5"/>
  <c r="AJ132" i="5"/>
  <c r="BQ132" i="5"/>
  <c r="AA133" i="5"/>
  <c r="BK133" i="5"/>
  <c r="U134" i="5"/>
  <c r="E135" i="5"/>
  <c r="AO135" i="5"/>
  <c r="BY135" i="5"/>
  <c r="AI136" i="5"/>
  <c r="BS136" i="5"/>
  <c r="AC137" i="5"/>
  <c r="BK137" i="5"/>
  <c r="U138" i="5"/>
  <c r="M139" i="5"/>
  <c r="AW139" i="5"/>
  <c r="E140" i="5"/>
  <c r="AO140" i="5"/>
  <c r="BY140" i="5"/>
  <c r="AC141" i="5"/>
  <c r="F142" i="5"/>
  <c r="AD142" i="5"/>
  <c r="BB142" i="5"/>
  <c r="BY142" i="5"/>
  <c r="W143" i="5"/>
  <c r="AU143" i="5"/>
  <c r="BS143" i="5"/>
  <c r="Q144" i="5"/>
  <c r="AO144" i="5"/>
  <c r="BK144" i="5"/>
  <c r="I145" i="5"/>
  <c r="AG145" i="5"/>
  <c r="BE145" i="5"/>
  <c r="Y146" i="5"/>
  <c r="AS146" i="5"/>
  <c r="BM146" i="5"/>
  <c r="G147" i="5"/>
  <c r="AA147" i="5"/>
  <c r="AS147" i="5"/>
  <c r="BH147" i="5"/>
  <c r="BU147" i="5"/>
  <c r="I148" i="5"/>
  <c r="X148" i="5"/>
  <c r="AK148" i="5"/>
  <c r="AX148" i="5"/>
  <c r="BK148" i="5"/>
  <c r="BX148" i="5"/>
  <c r="K149" i="5"/>
  <c r="W149" i="5"/>
  <c r="AI149" i="5"/>
  <c r="AU149" i="5"/>
  <c r="BG149" i="5"/>
  <c r="BS149" i="5"/>
  <c r="E150" i="5"/>
  <c r="Q150" i="5"/>
  <c r="AC150" i="5"/>
  <c r="AO150" i="5"/>
  <c r="BA150" i="5"/>
  <c r="BM150" i="5"/>
  <c r="BY150" i="5"/>
  <c r="K151" i="5"/>
  <c r="W151" i="5"/>
  <c r="AI151" i="5"/>
  <c r="AU151" i="5"/>
  <c r="BG151" i="5"/>
  <c r="BS151" i="5"/>
  <c r="E152" i="5"/>
  <c r="Q152" i="5"/>
  <c r="AC152" i="5"/>
  <c r="AO152" i="5"/>
  <c r="BA152" i="5"/>
  <c r="BM152" i="5"/>
  <c r="BY152" i="5"/>
  <c r="K153" i="5"/>
  <c r="W153" i="5"/>
  <c r="AI153" i="5"/>
  <c r="AU153" i="5"/>
  <c r="BG153" i="5"/>
  <c r="E154" i="5"/>
  <c r="Q154" i="5"/>
  <c r="AC154" i="5"/>
  <c r="AO154" i="5"/>
  <c r="BA154" i="5"/>
  <c r="BM154" i="5"/>
  <c r="BY154" i="5"/>
  <c r="K155" i="5"/>
  <c r="W155" i="5"/>
  <c r="AI155" i="5"/>
  <c r="AU155" i="5"/>
  <c r="BG155" i="5"/>
  <c r="BS155" i="5"/>
  <c r="E156" i="5"/>
  <c r="Q156" i="5"/>
  <c r="AC156" i="5"/>
  <c r="AO156" i="5"/>
  <c r="BA156" i="5"/>
  <c r="BM156" i="5"/>
  <c r="BY156" i="5"/>
  <c r="K157" i="5"/>
  <c r="W157" i="5"/>
  <c r="AI157" i="5"/>
  <c r="AU157" i="5"/>
  <c r="BG157" i="5"/>
  <c r="BS157" i="5"/>
  <c r="E158" i="5"/>
  <c r="Q158" i="5"/>
  <c r="AC158" i="5"/>
  <c r="AO158" i="5"/>
  <c r="BA158" i="5"/>
  <c r="BM158" i="5"/>
  <c r="BY158" i="5"/>
  <c r="K159" i="5"/>
  <c r="W159" i="5"/>
  <c r="AI159" i="5"/>
  <c r="AU159" i="5"/>
  <c r="BG159" i="5"/>
  <c r="BS159" i="5"/>
  <c r="E160" i="5"/>
  <c r="Q160" i="5"/>
  <c r="AC160" i="5"/>
  <c r="AO160" i="5"/>
  <c r="BA160" i="5"/>
  <c r="BM160" i="5"/>
  <c r="BY160" i="5"/>
  <c r="K161" i="5"/>
  <c r="W161" i="5"/>
  <c r="AI161" i="5"/>
  <c r="AU161" i="5"/>
  <c r="BG161" i="5"/>
  <c r="BS161" i="5"/>
  <c r="AC114" i="5"/>
  <c r="AF119" i="5"/>
  <c r="I123" i="5"/>
  <c r="AA127" i="5"/>
  <c r="O129" i="5"/>
  <c r="H132" i="5"/>
  <c r="AI133" i="5"/>
  <c r="Q135" i="5"/>
  <c r="E137" i="5"/>
  <c r="AG138" i="5"/>
  <c r="AS140" i="5"/>
  <c r="AH142" i="5"/>
  <c r="AY143" i="5"/>
  <c r="BO144" i="5"/>
  <c r="AD146" i="5"/>
  <c r="AG147" i="5"/>
  <c r="BX147" i="5"/>
  <c r="BA148" i="5"/>
  <c r="AX149" i="5"/>
  <c r="T150" i="5"/>
  <c r="BD150" i="5"/>
  <c r="AX151" i="5"/>
  <c r="T152" i="5"/>
  <c r="BD152" i="5"/>
  <c r="Z153" i="5"/>
  <c r="BV153" i="5"/>
  <c r="BP154" i="5"/>
  <c r="AX155" i="5"/>
  <c r="T156" i="5"/>
  <c r="BP156" i="5"/>
  <c r="AL157" i="5"/>
  <c r="H158" i="5"/>
  <c r="AR158" i="5"/>
  <c r="N159" i="5"/>
  <c r="BJ159" i="5"/>
  <c r="AF160" i="5"/>
  <c r="B161" i="5"/>
  <c r="AX161" i="5"/>
  <c r="AA88" i="5"/>
  <c r="BJ110" i="5"/>
  <c r="BN120" i="5"/>
  <c r="BL125" i="5"/>
  <c r="Z130" i="5"/>
  <c r="CA132" i="5"/>
  <c r="R135" i="5"/>
  <c r="AV136" i="5"/>
  <c r="BQ138" i="5"/>
  <c r="BB140" i="5"/>
  <c r="AM142" i="5"/>
  <c r="BX143" i="5"/>
  <c r="AM145" i="5"/>
  <c r="BR146" i="5"/>
  <c r="AB148" i="5"/>
  <c r="B149" i="5"/>
  <c r="AM149" i="5"/>
  <c r="I150" i="5"/>
  <c r="AS150" i="5"/>
  <c r="O151" i="5"/>
  <c r="BK151" i="5"/>
  <c r="AG152" i="5"/>
  <c r="AY153" i="5"/>
  <c r="U154" i="5"/>
  <c r="BE154" i="5"/>
  <c r="AA155" i="5"/>
  <c r="BW155" i="5"/>
  <c r="BE156" i="5"/>
  <c r="AA157" i="5"/>
  <c r="I158" i="5"/>
  <c r="BE158" i="5"/>
  <c r="AA159" i="5"/>
  <c r="BW159" i="5"/>
  <c r="BE160" i="5"/>
  <c r="AA161" i="5"/>
  <c r="BW161" i="5"/>
  <c r="P102" i="5"/>
  <c r="F116" i="5"/>
  <c r="O123" i="5"/>
  <c r="BP125" i="5"/>
  <c r="AO128" i="5"/>
  <c r="AL133" i="5"/>
  <c r="BN134" i="5"/>
  <c r="L137" i="5"/>
  <c r="AB139" i="5"/>
  <c r="BD140" i="5"/>
  <c r="AO142" i="5"/>
  <c r="BE143" i="5"/>
  <c r="AN145" i="5"/>
  <c r="BU146" i="5"/>
  <c r="AP148" i="5"/>
  <c r="AN149" i="5"/>
  <c r="V150" i="5"/>
  <c r="D151" i="5"/>
  <c r="AN151" i="5"/>
  <c r="K87" i="5"/>
  <c r="W91" i="5"/>
  <c r="R96" i="5"/>
  <c r="BQ104" i="5"/>
  <c r="P110" i="5"/>
  <c r="R112" i="5"/>
  <c r="P114" i="5"/>
  <c r="BQ115" i="5"/>
  <c r="W117" i="5"/>
  <c r="BY118" i="5"/>
  <c r="BI121" i="5"/>
  <c r="BM122" i="5"/>
  <c r="BE123" i="5"/>
  <c r="AX124" i="5"/>
  <c r="AH126" i="5"/>
  <c r="U127" i="5"/>
  <c r="O128" i="5"/>
  <c r="I129" i="5"/>
  <c r="B130" i="5"/>
  <c r="BM130" i="5"/>
  <c r="AS131" i="5"/>
  <c r="E132" i="5"/>
  <c r="AO132" i="5"/>
  <c r="BS132" i="5"/>
  <c r="AC133" i="5"/>
  <c r="BM133" i="5"/>
  <c r="W134" i="5"/>
  <c r="BD134" i="5"/>
  <c r="N135" i="5"/>
  <c r="AX135" i="5"/>
  <c r="H136" i="5"/>
  <c r="AR136" i="5"/>
  <c r="B137" i="5"/>
  <c r="AL137" i="5"/>
  <c r="BL137" i="5"/>
  <c r="V138" i="5"/>
  <c r="BE138" i="5"/>
  <c r="O139" i="5"/>
  <c r="AY139" i="5"/>
  <c r="F140" i="5"/>
  <c r="AP140" i="5"/>
  <c r="BZ140" i="5"/>
  <c r="AD141" i="5"/>
  <c r="BH141" i="5"/>
  <c r="G142" i="5"/>
  <c r="AE142" i="5"/>
  <c r="BC142" i="5"/>
  <c r="BZ142" i="5"/>
  <c r="X143" i="5"/>
  <c r="AV143" i="5"/>
  <c r="BT143" i="5"/>
  <c r="R144" i="5"/>
  <c r="AP144" i="5"/>
  <c r="BM144" i="5"/>
  <c r="K145" i="5"/>
  <c r="AI145" i="5"/>
  <c r="BG145" i="5"/>
  <c r="E146" i="5"/>
  <c r="AA146" i="5"/>
  <c r="AT146" i="5"/>
  <c r="BN146" i="5"/>
  <c r="I147" i="5"/>
  <c r="AB147" i="5"/>
  <c r="AT147" i="5"/>
  <c r="BI147" i="5"/>
  <c r="BV147" i="5"/>
  <c r="J148" i="5"/>
  <c r="Y148" i="5"/>
  <c r="AL148" i="5"/>
  <c r="AY148" i="5"/>
  <c r="BL148" i="5"/>
  <c r="BY148" i="5"/>
  <c r="L149" i="5"/>
  <c r="X149" i="5"/>
  <c r="AJ149" i="5"/>
  <c r="AV149" i="5"/>
  <c r="BH149" i="5"/>
  <c r="BT149" i="5"/>
  <c r="F150" i="5"/>
  <c r="R150" i="5"/>
  <c r="AD150" i="5"/>
  <c r="AP150" i="5"/>
  <c r="BB150" i="5"/>
  <c r="BN150" i="5"/>
  <c r="BZ150" i="5"/>
  <c r="L151" i="5"/>
  <c r="X151" i="5"/>
  <c r="AJ151" i="5"/>
  <c r="AV151" i="5"/>
  <c r="BH151" i="5"/>
  <c r="BT151" i="5"/>
  <c r="F152" i="5"/>
  <c r="R152" i="5"/>
  <c r="AD152" i="5"/>
  <c r="AP152" i="5"/>
  <c r="BB152" i="5"/>
  <c r="BN152" i="5"/>
  <c r="BZ152" i="5"/>
  <c r="L153" i="5"/>
  <c r="X153" i="5"/>
  <c r="AJ153" i="5"/>
  <c r="AV153" i="5"/>
  <c r="BH153" i="5"/>
  <c r="BT153" i="5"/>
  <c r="F154" i="5"/>
  <c r="R154" i="5"/>
  <c r="AD154" i="5"/>
  <c r="AP154" i="5"/>
  <c r="BB154" i="5"/>
  <c r="BN154" i="5"/>
  <c r="BZ154" i="5"/>
  <c r="L155" i="5"/>
  <c r="X155" i="5"/>
  <c r="AJ155" i="5"/>
  <c r="AV155" i="5"/>
  <c r="BH155" i="5"/>
  <c r="BT155" i="5"/>
  <c r="F156" i="5"/>
  <c r="R156" i="5"/>
  <c r="AD156" i="5"/>
  <c r="AP156" i="5"/>
  <c r="BB156" i="5"/>
  <c r="BN156" i="5"/>
  <c r="BZ156" i="5"/>
  <c r="L157" i="5"/>
  <c r="X157" i="5"/>
  <c r="AJ157" i="5"/>
  <c r="AV157" i="5"/>
  <c r="BH157" i="5"/>
  <c r="BT157" i="5"/>
  <c r="F158" i="5"/>
  <c r="R158" i="5"/>
  <c r="AD158" i="5"/>
  <c r="AP158" i="5"/>
  <c r="BB158" i="5"/>
  <c r="BN158" i="5"/>
  <c r="BZ158" i="5"/>
  <c r="L159" i="5"/>
  <c r="X159" i="5"/>
  <c r="AJ159" i="5"/>
  <c r="AV159" i="5"/>
  <c r="BH159" i="5"/>
  <c r="BT159" i="5"/>
  <c r="F160" i="5"/>
  <c r="R160" i="5"/>
  <c r="AD160" i="5"/>
  <c r="AP160" i="5"/>
  <c r="BB160" i="5"/>
  <c r="BN160" i="5"/>
  <c r="L161" i="5"/>
  <c r="X161" i="5"/>
  <c r="AJ161" i="5"/>
  <c r="AV161" i="5"/>
  <c r="BH161" i="5"/>
  <c r="BT161" i="5"/>
  <c r="O105" i="5"/>
  <c r="BT115" i="5"/>
  <c r="M122" i="5"/>
  <c r="BG125" i="5"/>
  <c r="E130" i="5"/>
  <c r="AR132" i="5"/>
  <c r="AC134" i="5"/>
  <c r="K136" i="5"/>
  <c r="BW137" i="5"/>
  <c r="I140" i="5"/>
  <c r="BK141" i="5"/>
  <c r="BW143" i="5"/>
  <c r="AK145" i="5"/>
  <c r="AY146" i="5"/>
  <c r="BK147" i="5"/>
  <c r="AN148" i="5"/>
  <c r="Z149" i="5"/>
  <c r="BV149" i="5"/>
  <c r="B151" i="5"/>
  <c r="AL151" i="5"/>
  <c r="H152" i="5"/>
  <c r="AF152" i="5"/>
  <c r="B153" i="5"/>
  <c r="AX153" i="5"/>
  <c r="T154" i="5"/>
  <c r="BD154" i="5"/>
  <c r="Z155" i="5"/>
  <c r="BV155" i="5"/>
  <c r="BD156" i="5"/>
  <c r="Z157" i="5"/>
  <c r="BV157" i="5"/>
  <c r="BP158" i="5"/>
  <c r="AL159" i="5"/>
  <c r="H160" i="5"/>
  <c r="AR160" i="5"/>
  <c r="N161" i="5"/>
  <c r="BJ161" i="5"/>
  <c r="X97" i="5"/>
  <c r="BP112" i="5"/>
  <c r="Q122" i="5"/>
  <c r="BV124" i="5"/>
  <c r="AG129" i="5"/>
  <c r="AS132" i="5"/>
  <c r="AE134" i="5"/>
  <c r="BB135" i="5"/>
  <c r="AP137" i="5"/>
  <c r="AA139" i="5"/>
  <c r="K141" i="5"/>
  <c r="O142" i="5"/>
  <c r="AZ143" i="5"/>
  <c r="BQ144" i="5"/>
  <c r="BA146" i="5"/>
  <c r="BL147" i="5"/>
  <c r="AO148" i="5"/>
  <c r="O149" i="5"/>
  <c r="BK149" i="5"/>
  <c r="AG150" i="5"/>
  <c r="AM151" i="5"/>
  <c r="I152" i="5"/>
  <c r="AS152" i="5"/>
  <c r="O153" i="5"/>
  <c r="BK153" i="5"/>
  <c r="AG154" i="5"/>
  <c r="AY155" i="5"/>
  <c r="U156" i="5"/>
  <c r="BQ156" i="5"/>
  <c r="AY157" i="5"/>
  <c r="AG158" i="5"/>
  <c r="AM159" i="5"/>
  <c r="I160" i="5"/>
  <c r="AG160" i="5"/>
  <c r="AY161" i="5"/>
  <c r="AC88" i="5"/>
  <c r="BW110" i="5"/>
  <c r="AA122" i="5"/>
  <c r="BW124" i="5"/>
  <c r="AI129" i="5"/>
  <c r="R132" i="5"/>
  <c r="BV133" i="5"/>
  <c r="AV137" i="5"/>
  <c r="BJ139" i="5"/>
  <c r="AP141" i="5"/>
  <c r="BK142" i="5"/>
  <c r="AA144" i="5"/>
  <c r="BL145" i="5"/>
  <c r="AI147" i="5"/>
  <c r="AC148" i="5"/>
  <c r="P149" i="5"/>
  <c r="BL149" i="5"/>
  <c r="AT150" i="5"/>
  <c r="AB151" i="5"/>
  <c r="W87" i="5"/>
  <c r="BI96" i="5"/>
  <c r="BM101" i="5"/>
  <c r="N105" i="5"/>
  <c r="R108" i="5"/>
  <c r="R110" i="5"/>
  <c r="Z112" i="5"/>
  <c r="AB114" i="5"/>
  <c r="BS115" i="5"/>
  <c r="I119" i="5"/>
  <c r="BC120" i="5"/>
  <c r="K122" i="5"/>
  <c r="BQ122" i="5"/>
  <c r="BF123" i="5"/>
  <c r="AY124" i="5"/>
  <c r="AR125" i="5"/>
  <c r="AL126" i="5"/>
  <c r="W127" i="5"/>
  <c r="Q128" i="5"/>
  <c r="K129" i="5"/>
  <c r="D130" i="5"/>
  <c r="BN130" i="5"/>
  <c r="AT131" i="5"/>
  <c r="F132" i="5"/>
  <c r="AP132" i="5"/>
  <c r="BT132" i="5"/>
  <c r="AD133" i="5"/>
  <c r="BN133" i="5"/>
  <c r="X134" i="5"/>
  <c r="BF134" i="5"/>
  <c r="P135" i="5"/>
  <c r="AZ135" i="5"/>
  <c r="J136" i="5"/>
  <c r="AT136" i="5"/>
  <c r="D137" i="5"/>
  <c r="AN137" i="5"/>
  <c r="BU137" i="5"/>
  <c r="AE138" i="5"/>
  <c r="BF138" i="5"/>
  <c r="P139" i="5"/>
  <c r="AZ139" i="5"/>
  <c r="H140" i="5"/>
  <c r="AR140" i="5"/>
  <c r="B141" i="5"/>
  <c r="AH141" i="5"/>
  <c r="BJ141" i="5"/>
  <c r="I142" i="5"/>
  <c r="AG142" i="5"/>
  <c r="BE142" i="5"/>
  <c r="CA142" i="5"/>
  <c r="Y143" i="5"/>
  <c r="AW143" i="5"/>
  <c r="BU143" i="5"/>
  <c r="S144" i="5"/>
  <c r="AQ144" i="5"/>
  <c r="BN144" i="5"/>
  <c r="L145" i="5"/>
  <c r="AJ145" i="5"/>
  <c r="BH145" i="5"/>
  <c r="F146" i="5"/>
  <c r="AC146" i="5"/>
  <c r="AW146" i="5"/>
  <c r="BO146" i="5"/>
  <c r="K147" i="5"/>
  <c r="AE147" i="5"/>
  <c r="AU147" i="5"/>
  <c r="BJ147" i="5"/>
  <c r="BW147" i="5"/>
  <c r="M148" i="5"/>
  <c r="Z148" i="5"/>
  <c r="AM148" i="5"/>
  <c r="AZ148" i="5"/>
  <c r="BM148" i="5"/>
  <c r="BZ148" i="5"/>
  <c r="M149" i="5"/>
  <c r="Y149" i="5"/>
  <c r="AK149" i="5"/>
  <c r="AW149" i="5"/>
  <c r="BI149" i="5"/>
  <c r="BU149" i="5"/>
  <c r="G150" i="5"/>
  <c r="S150" i="5"/>
  <c r="AE150" i="5"/>
  <c r="AQ150" i="5"/>
  <c r="BC150" i="5"/>
  <c r="BO150" i="5"/>
  <c r="CA150" i="5"/>
  <c r="M151" i="5"/>
  <c r="Y151" i="5"/>
  <c r="AK151" i="5"/>
  <c r="AW151" i="5"/>
  <c r="BI151" i="5"/>
  <c r="BU151" i="5"/>
  <c r="G152" i="5"/>
  <c r="S152" i="5"/>
  <c r="AE152" i="5"/>
  <c r="AQ152" i="5"/>
  <c r="BC152" i="5"/>
  <c r="BO152" i="5"/>
  <c r="CA152" i="5"/>
  <c r="M153" i="5"/>
  <c r="Y153" i="5"/>
  <c r="AK153" i="5"/>
  <c r="AW153" i="5"/>
  <c r="BI153" i="5"/>
  <c r="BU153" i="5"/>
  <c r="G154" i="5"/>
  <c r="S154" i="5"/>
  <c r="AE154" i="5"/>
  <c r="AQ154" i="5"/>
  <c r="BC154" i="5"/>
  <c r="BO154" i="5"/>
  <c r="CA154" i="5"/>
  <c r="M155" i="5"/>
  <c r="Y155" i="5"/>
  <c r="AK155" i="5"/>
  <c r="AW155" i="5"/>
  <c r="BI155" i="5"/>
  <c r="G156" i="5"/>
  <c r="S156" i="5"/>
  <c r="AE156" i="5"/>
  <c r="AQ156" i="5"/>
  <c r="BC156" i="5"/>
  <c r="BO156" i="5"/>
  <c r="CA156" i="5"/>
  <c r="M157" i="5"/>
  <c r="Y157" i="5"/>
  <c r="AK157" i="5"/>
  <c r="AW157" i="5"/>
  <c r="BI157" i="5"/>
  <c r="BU157" i="5"/>
  <c r="G158" i="5"/>
  <c r="S158" i="5"/>
  <c r="AE158" i="5"/>
  <c r="AQ158" i="5"/>
  <c r="BC158" i="5"/>
  <c r="BO158" i="5"/>
  <c r="CA158" i="5"/>
  <c r="M159" i="5"/>
  <c r="Y159" i="5"/>
  <c r="AK159" i="5"/>
  <c r="AW159" i="5"/>
  <c r="BI159" i="5"/>
  <c r="BU159" i="5"/>
  <c r="G160" i="5"/>
  <c r="S160" i="5"/>
  <c r="AE160" i="5"/>
  <c r="AQ160" i="5"/>
  <c r="BC160" i="5"/>
  <c r="BO160" i="5"/>
  <c r="CA160" i="5"/>
  <c r="M161" i="5"/>
  <c r="Y161" i="5"/>
  <c r="AK161" i="5"/>
  <c r="AW161" i="5"/>
  <c r="BI161" i="5"/>
  <c r="BU161" i="5"/>
  <c r="BJ92" i="5"/>
  <c r="AU117" i="5"/>
  <c r="BX123" i="5"/>
  <c r="U128" i="5"/>
  <c r="AV131" i="5"/>
  <c r="BS133" i="5"/>
  <c r="AU136" i="5"/>
  <c r="BO138" i="5"/>
  <c r="AI141" i="5"/>
  <c r="BF142" i="5"/>
  <c r="U144" i="5"/>
  <c r="M145" i="5"/>
  <c r="G146" i="5"/>
  <c r="BQ146" i="5"/>
  <c r="N148" i="5"/>
  <c r="CA148" i="5"/>
  <c r="BJ149" i="5"/>
  <c r="AF150" i="5"/>
  <c r="N151" i="5"/>
  <c r="BJ151" i="5"/>
  <c r="AR152" i="5"/>
  <c r="N153" i="5"/>
  <c r="BJ153" i="5"/>
  <c r="AF154" i="5"/>
  <c r="B155" i="5"/>
  <c r="AL155" i="5"/>
  <c r="H156" i="5"/>
  <c r="AR156" i="5"/>
  <c r="N157" i="5"/>
  <c r="BJ157" i="5"/>
  <c r="AF158" i="5"/>
  <c r="B159" i="5"/>
  <c r="AX159" i="5"/>
  <c r="T160" i="5"/>
  <c r="BD160" i="5"/>
  <c r="Z161" i="5"/>
  <c r="BV161" i="5"/>
  <c r="E116" i="5"/>
  <c r="AG119" i="5"/>
  <c r="K123" i="5"/>
  <c r="AM128" i="5"/>
  <c r="I132" i="5"/>
  <c r="AK133" i="5"/>
  <c r="BH134" i="5"/>
  <c r="F137" i="5"/>
  <c r="AH138" i="5"/>
  <c r="BH139" i="5"/>
  <c r="BQ141" i="5"/>
  <c r="AB143" i="5"/>
  <c r="AT144" i="5"/>
  <c r="I146" i="5"/>
  <c r="AH147" i="5"/>
  <c r="CA147" i="5"/>
  <c r="BB148" i="5"/>
  <c r="AA149" i="5"/>
  <c r="BW149" i="5"/>
  <c r="BE150" i="5"/>
  <c r="AA151" i="5"/>
  <c r="BW151" i="5"/>
  <c r="BE152" i="5"/>
  <c r="AA153" i="5"/>
  <c r="BW153" i="5"/>
  <c r="BQ154" i="5"/>
  <c r="AM155" i="5"/>
  <c r="I156" i="5"/>
  <c r="AS156" i="5"/>
  <c r="O157" i="5"/>
  <c r="BK157" i="5"/>
  <c r="AS158" i="5"/>
  <c r="O159" i="5"/>
  <c r="BK159" i="5"/>
  <c r="AS160" i="5"/>
  <c r="O161" i="5"/>
  <c r="BK161" i="5"/>
  <c r="BJ105" i="5"/>
  <c r="BC114" i="5"/>
  <c r="CA120" i="5"/>
  <c r="BA126" i="5"/>
  <c r="AB130" i="5"/>
  <c r="B133" i="5"/>
  <c r="AF134" i="5"/>
  <c r="BH135" i="5"/>
  <c r="BR138" i="5"/>
  <c r="M141" i="5"/>
  <c r="Q142" i="5"/>
  <c r="I143" i="5"/>
  <c r="P145" i="5"/>
  <c r="BB146" i="5"/>
  <c r="B148" i="5"/>
  <c r="BP148" i="5"/>
  <c r="BX149" i="5"/>
  <c r="BR150" i="5"/>
  <c r="BL151" i="5"/>
  <c r="BY137" i="5"/>
  <c r="AY144" i="5"/>
  <c r="J146" i="5"/>
  <c r="O147" i="5"/>
  <c r="P148" i="5"/>
  <c r="AB149" i="5"/>
  <c r="J150" i="5"/>
  <c r="BF150" i="5"/>
  <c r="AZ151" i="5"/>
  <c r="AW94" i="5"/>
  <c r="BU98" i="5"/>
  <c r="AJ103" i="5"/>
  <c r="AB106" i="5"/>
  <c r="AA111" i="5"/>
  <c r="BY114" i="5"/>
  <c r="AP116" i="5"/>
  <c r="AC118" i="5"/>
  <c r="B120" i="5"/>
  <c r="AF123" i="5"/>
  <c r="U124" i="5"/>
  <c r="K125" i="5"/>
  <c r="D126" i="5"/>
  <c r="BR126" i="5"/>
  <c r="BL127" i="5"/>
  <c r="BF128" i="5"/>
  <c r="AL130" i="5"/>
  <c r="P131" i="5"/>
  <c r="P109" i="5"/>
  <c r="BA116" i="5"/>
  <c r="K121" i="5"/>
  <c r="BQ125" i="5"/>
  <c r="BP127" i="5"/>
  <c r="AG130" i="5"/>
  <c r="BS131" i="5"/>
  <c r="K133" i="5"/>
  <c r="H134" i="5"/>
  <c r="CA134" i="5"/>
  <c r="BV135" i="5"/>
  <c r="M137" i="5"/>
  <c r="K138" i="5"/>
  <c r="E139" i="5"/>
  <c r="BX139" i="5"/>
  <c r="O141" i="5"/>
  <c r="BW141" i="5"/>
  <c r="AY142" i="5"/>
  <c r="AI143" i="5"/>
  <c r="G144" i="5"/>
  <c r="BF144" i="5"/>
  <c r="AS145" i="5"/>
  <c r="Q146" i="5"/>
  <c r="BI146" i="5"/>
  <c r="W147" i="5"/>
  <c r="R148" i="5"/>
  <c r="AT148" i="5"/>
  <c r="BV148" i="5"/>
  <c r="AD149" i="5"/>
  <c r="BD149" i="5"/>
  <c r="K150" i="5"/>
  <c r="AK150" i="5"/>
  <c r="BK150" i="5"/>
  <c r="Q151" i="5"/>
  <c r="AQ151" i="5"/>
  <c r="O152" i="5"/>
  <c r="AM152" i="5"/>
  <c r="BK152" i="5"/>
  <c r="I153" i="5"/>
  <c r="AG153" i="5"/>
  <c r="BE153" i="5"/>
  <c r="B154" i="5"/>
  <c r="Z154" i="5"/>
  <c r="AX154" i="5"/>
  <c r="BV154" i="5"/>
  <c r="T155" i="5"/>
  <c r="AR155" i="5"/>
  <c r="BP155" i="5"/>
  <c r="M156" i="5"/>
  <c r="AK156" i="5"/>
  <c r="BI156" i="5"/>
  <c r="G157" i="5"/>
  <c r="AE157" i="5"/>
  <c r="BC157" i="5"/>
  <c r="BZ157" i="5"/>
  <c r="X158" i="5"/>
  <c r="AV158" i="5"/>
  <c r="BT158" i="5"/>
  <c r="Q159" i="5"/>
  <c r="AO159" i="5"/>
  <c r="BM159" i="5"/>
  <c r="K160" i="5"/>
  <c r="AI160" i="5"/>
  <c r="BG160" i="5"/>
  <c r="D161" i="5"/>
  <c r="AB161" i="5"/>
  <c r="AZ161" i="5"/>
  <c r="BX161" i="5"/>
  <c r="BC161" i="5"/>
  <c r="AC98" i="5"/>
  <c r="AH122" i="5"/>
  <c r="AO124" i="5"/>
  <c r="BR128" i="5"/>
  <c r="AC132" i="5"/>
  <c r="AK135" i="5"/>
  <c r="AF136" i="5"/>
  <c r="AO139" i="5"/>
  <c r="BG143" i="5"/>
  <c r="AN147" i="5"/>
  <c r="I149" i="5"/>
  <c r="W150" i="5"/>
  <c r="BC151" i="5"/>
  <c r="AR153" i="5"/>
  <c r="BI154" i="5"/>
  <c r="AV156" i="5"/>
  <c r="K158" i="5"/>
  <c r="AB159" i="5"/>
  <c r="BR160" i="5"/>
  <c r="BA90" i="5"/>
  <c r="AL122" i="5"/>
  <c r="BF126" i="5"/>
  <c r="AM129" i="5"/>
  <c r="AB131" i="5"/>
  <c r="AS134" i="5"/>
  <c r="AU139" i="5"/>
  <c r="V142" i="5"/>
  <c r="BQ145" i="5"/>
  <c r="BI148" i="5"/>
  <c r="BW150" i="5"/>
  <c r="BW152" i="5"/>
  <c r="BJ154" i="5"/>
  <c r="AW156" i="5"/>
  <c r="L158" i="5"/>
  <c r="AC159" i="5"/>
  <c r="BS160" i="5"/>
  <c r="X115" i="5"/>
  <c r="BV126" i="5"/>
  <c r="AX133" i="5"/>
  <c r="BB138" i="5"/>
  <c r="AH144" i="5"/>
  <c r="AO146" i="5"/>
  <c r="AR149" i="5"/>
  <c r="AR103" i="5"/>
  <c r="AJ113" i="5"/>
  <c r="S121" i="5"/>
  <c r="AU123" i="5"/>
  <c r="BX127" i="5"/>
  <c r="AT130" i="5"/>
  <c r="T132" i="5"/>
  <c r="M133" i="5"/>
  <c r="I134" i="5"/>
  <c r="B135" i="5"/>
  <c r="S136" i="5"/>
  <c r="R137" i="5"/>
  <c r="Q138" i="5"/>
  <c r="K139" i="5"/>
  <c r="U140" i="5"/>
  <c r="Q141" i="5"/>
  <c r="BX141" i="5"/>
  <c r="AJ143" i="5"/>
  <c r="I144" i="5"/>
  <c r="AU145" i="5"/>
  <c r="R146" i="5"/>
  <c r="BK146" i="5"/>
  <c r="X147" i="5"/>
  <c r="BO147" i="5"/>
  <c r="S148" i="5"/>
  <c r="AV148" i="5"/>
  <c r="D149" i="5"/>
  <c r="AE149" i="5"/>
  <c r="BE149" i="5"/>
  <c r="L150" i="5"/>
  <c r="AL150" i="5"/>
  <c r="R151" i="5"/>
  <c r="AR151" i="5"/>
  <c r="BX151" i="5"/>
  <c r="V152" i="5"/>
  <c r="AT152" i="5"/>
  <c r="P153" i="5"/>
  <c r="AN153" i="5"/>
  <c r="BL153" i="5"/>
  <c r="AA154" i="5"/>
  <c r="AY154" i="5"/>
  <c r="BW154" i="5"/>
  <c r="U155" i="5"/>
  <c r="AS155" i="5"/>
  <c r="BQ155" i="5"/>
  <c r="N156" i="5"/>
  <c r="AL156" i="5"/>
  <c r="BJ156" i="5"/>
  <c r="H157" i="5"/>
  <c r="AF157" i="5"/>
  <c r="BD157" i="5"/>
  <c r="CA157" i="5"/>
  <c r="Y158" i="5"/>
  <c r="AW158" i="5"/>
  <c r="BU158" i="5"/>
  <c r="R159" i="5"/>
  <c r="AP159" i="5"/>
  <c r="BN159" i="5"/>
  <c r="L160" i="5"/>
  <c r="AJ160" i="5"/>
  <c r="BH160" i="5"/>
  <c r="E161" i="5"/>
  <c r="AC161" i="5"/>
  <c r="BA161" i="5"/>
  <c r="BY161" i="5"/>
  <c r="BW114" i="5"/>
  <c r="AT141" i="5"/>
  <c r="AK146" i="5"/>
  <c r="AE148" i="5"/>
  <c r="AW150" i="5"/>
  <c r="Z152" i="5"/>
  <c r="BP153" i="5"/>
  <c r="AE155" i="5"/>
  <c r="BT156" i="5"/>
  <c r="BG158" i="5"/>
  <c r="AT160" i="5"/>
  <c r="BE161" i="5"/>
  <c r="W115" i="5"/>
  <c r="BE140" i="5"/>
  <c r="CA146" i="5"/>
  <c r="BQ149" i="5"/>
  <c r="BD151" i="5"/>
  <c r="AS153" i="5"/>
  <c r="H155" i="5"/>
  <c r="Y156" i="5"/>
  <c r="AQ157" i="5"/>
  <c r="E159" i="5"/>
  <c r="AU160" i="5"/>
  <c r="BX106" i="5"/>
  <c r="AN129" i="5"/>
  <c r="AU134" i="5"/>
  <c r="AA142" i="5"/>
  <c r="BS145" i="5"/>
  <c r="R149" i="5"/>
  <c r="AY103" i="5"/>
  <c r="AL109" i="5"/>
  <c r="BD113" i="5"/>
  <c r="BH117" i="5"/>
  <c r="E124" i="5"/>
  <c r="O126" i="5"/>
  <c r="AS128" i="5"/>
  <c r="U132" i="5"/>
  <c r="N133" i="5"/>
  <c r="K134" i="5"/>
  <c r="Y135" i="5"/>
  <c r="X136" i="5"/>
  <c r="X137" i="5"/>
  <c r="R138" i="5"/>
  <c r="AC139" i="5"/>
  <c r="V140" i="5"/>
  <c r="R141" i="5"/>
  <c r="BM142" i="5"/>
  <c r="AK143" i="5"/>
  <c r="J144" i="5"/>
  <c r="BW144" i="5"/>
  <c r="AV145" i="5"/>
  <c r="S146" i="5"/>
  <c r="AJ147" i="5"/>
  <c r="BP147" i="5"/>
  <c r="T148" i="5"/>
  <c r="BD148" i="5"/>
  <c r="F149" i="5"/>
  <c r="AF149" i="5"/>
  <c r="BM149" i="5"/>
  <c r="M150" i="5"/>
  <c r="AM150" i="5"/>
  <c r="BS150" i="5"/>
  <c r="S151" i="5"/>
  <c r="AS151" i="5"/>
  <c r="BY151" i="5"/>
  <c r="W152" i="5"/>
  <c r="AU152" i="5"/>
  <c r="BS152" i="5"/>
  <c r="Q153" i="5"/>
  <c r="AO153" i="5"/>
  <c r="BM153" i="5"/>
  <c r="J154" i="5"/>
  <c r="AH154" i="5"/>
  <c r="BF154" i="5"/>
  <c r="D155" i="5"/>
  <c r="AB155" i="5"/>
  <c r="AZ155" i="5"/>
  <c r="O156" i="5"/>
  <c r="AM156" i="5"/>
  <c r="BK156" i="5"/>
  <c r="I157" i="5"/>
  <c r="AG157" i="5"/>
  <c r="BE157" i="5"/>
  <c r="B158" i="5"/>
  <c r="Z158" i="5"/>
  <c r="AX158" i="5"/>
  <c r="BV158" i="5"/>
  <c r="S159" i="5"/>
  <c r="AQ159" i="5"/>
  <c r="BO159" i="5"/>
  <c r="M160" i="5"/>
  <c r="AK160" i="5"/>
  <c r="BI160" i="5"/>
  <c r="F161" i="5"/>
  <c r="AD161" i="5"/>
  <c r="BB161" i="5"/>
  <c r="BZ161" i="5"/>
  <c r="BX110" i="5"/>
  <c r="AH140" i="5"/>
  <c r="CA144" i="5"/>
  <c r="BH148" i="5"/>
  <c r="BV150" i="5"/>
  <c r="T153" i="5"/>
  <c r="AK154" i="5"/>
  <c r="BZ155" i="5"/>
  <c r="BN157" i="5"/>
  <c r="AZ159" i="5"/>
  <c r="I161" i="5"/>
  <c r="AW133" i="5"/>
  <c r="BA138" i="5"/>
  <c r="BR142" i="5"/>
  <c r="AM146" i="5"/>
  <c r="AQ149" i="5"/>
  <c r="AD151" i="5"/>
  <c r="AY152" i="5"/>
  <c r="AL154" i="5"/>
  <c r="CA155" i="5"/>
  <c r="BO157" i="5"/>
  <c r="BA159" i="5"/>
  <c r="AN161" i="5"/>
  <c r="K143" i="5"/>
  <c r="AZ147" i="5"/>
  <c r="BY149" i="5"/>
  <c r="G90" i="5"/>
  <c r="BW109" i="5"/>
  <c r="Z118" i="5"/>
  <c r="AT121" i="5"/>
  <c r="Q124" i="5"/>
  <c r="AA126" i="5"/>
  <c r="L131" i="5"/>
  <c r="V132" i="5"/>
  <c r="O133" i="5"/>
  <c r="AO134" i="5"/>
  <c r="AD135" i="5"/>
  <c r="AD136" i="5"/>
  <c r="Y137" i="5"/>
  <c r="AO138" i="5"/>
  <c r="AI139" i="5"/>
  <c r="X140" i="5"/>
  <c r="Z141" i="5"/>
  <c r="R142" i="5"/>
  <c r="BN142" i="5"/>
  <c r="AM143" i="5"/>
  <c r="AC144" i="5"/>
  <c r="BY144" i="5"/>
  <c r="AW145" i="5"/>
  <c r="U146" i="5"/>
  <c r="BW146" i="5"/>
  <c r="AK147" i="5"/>
  <c r="BQ147" i="5"/>
  <c r="U148" i="5"/>
  <c r="BE148" i="5"/>
  <c r="G149" i="5"/>
  <c r="AG149" i="5"/>
  <c r="BN149" i="5"/>
  <c r="N150" i="5"/>
  <c r="AU150" i="5"/>
  <c r="BT150" i="5"/>
  <c r="T151" i="5"/>
  <c r="BA151" i="5"/>
  <c r="BZ151" i="5"/>
  <c r="X152" i="5"/>
  <c r="AV152" i="5"/>
  <c r="BT152" i="5"/>
  <c r="R153" i="5"/>
  <c r="AP153" i="5"/>
  <c r="BN153" i="5"/>
  <c r="K154" i="5"/>
  <c r="AI154" i="5"/>
  <c r="BG154" i="5"/>
  <c r="E155" i="5"/>
  <c r="AC155" i="5"/>
  <c r="BA155" i="5"/>
  <c r="BX155" i="5"/>
  <c r="V156" i="5"/>
  <c r="AT156" i="5"/>
  <c r="BR156" i="5"/>
  <c r="P157" i="5"/>
  <c r="AN157" i="5"/>
  <c r="BL157" i="5"/>
  <c r="AA158" i="5"/>
  <c r="AY158" i="5"/>
  <c r="BW158" i="5"/>
  <c r="T159" i="5"/>
  <c r="AR159" i="5"/>
  <c r="BP159" i="5"/>
  <c r="N160" i="5"/>
  <c r="AL160" i="5"/>
  <c r="BJ160" i="5"/>
  <c r="G161" i="5"/>
  <c r="AE161" i="5"/>
  <c r="BK105" i="5"/>
  <c r="AU133" i="5"/>
  <c r="AU138" i="5"/>
  <c r="BQ142" i="5"/>
  <c r="BZ146" i="5"/>
  <c r="AP149" i="5"/>
  <c r="AC151" i="5"/>
  <c r="BV152" i="5"/>
  <c r="G155" i="5"/>
  <c r="X156" i="5"/>
  <c r="AP157" i="5"/>
  <c r="D159" i="5"/>
  <c r="V160" i="5"/>
  <c r="AG161" i="5"/>
  <c r="BY110" i="5"/>
  <c r="BB137" i="5"/>
  <c r="BH143" i="5"/>
  <c r="Q149" i="5"/>
  <c r="AX150" i="5"/>
  <c r="AA152" i="5"/>
  <c r="BQ153" i="5"/>
  <c r="BD155" i="5"/>
  <c r="S157" i="5"/>
  <c r="AJ158" i="5"/>
  <c r="W160" i="5"/>
  <c r="BL161" i="5"/>
  <c r="AQ119" i="5"/>
  <c r="AG148" i="5"/>
  <c r="BN114" i="5"/>
  <c r="AD118" i="5"/>
  <c r="BB121" i="5"/>
  <c r="AC124" i="5"/>
  <c r="BJ128" i="5"/>
  <c r="O131" i="5"/>
  <c r="X132" i="5"/>
  <c r="Q133" i="5"/>
  <c r="AQ134" i="5"/>
  <c r="AJ135" i="5"/>
  <c r="AE136" i="5"/>
  <c r="Z137" i="5"/>
  <c r="AP138" i="5"/>
  <c r="AJ139" i="5"/>
  <c r="AC140" i="5"/>
  <c r="AS141" i="5"/>
  <c r="S142" i="5"/>
  <c r="BO142" i="5"/>
  <c r="AN143" i="5"/>
  <c r="AD144" i="5"/>
  <c r="BZ144" i="5"/>
  <c r="AY145" i="5"/>
  <c r="AH146" i="5"/>
  <c r="BY146" i="5"/>
  <c r="AM147" i="5"/>
  <c r="BR147" i="5"/>
  <c r="AD148" i="5"/>
  <c r="BF148" i="5"/>
  <c r="H149" i="5"/>
  <c r="AO149" i="5"/>
  <c r="O150" i="5"/>
  <c r="AV150" i="5"/>
  <c r="BU150" i="5"/>
  <c r="U151" i="5"/>
  <c r="BB151" i="5"/>
  <c r="CA151" i="5"/>
  <c r="Y152" i="5"/>
  <c r="AW152" i="5"/>
  <c r="BU152" i="5"/>
  <c r="S153" i="5"/>
  <c r="AQ153" i="5"/>
  <c r="BO153" i="5"/>
  <c r="L154" i="5"/>
  <c r="AJ154" i="5"/>
  <c r="BH154" i="5"/>
  <c r="F155" i="5"/>
  <c r="AD155" i="5"/>
  <c r="BB155" i="5"/>
  <c r="BY155" i="5"/>
  <c r="W156" i="5"/>
  <c r="AU156" i="5"/>
  <c r="BS156" i="5"/>
  <c r="Q157" i="5"/>
  <c r="AO157" i="5"/>
  <c r="BM157" i="5"/>
  <c r="J158" i="5"/>
  <c r="AH158" i="5"/>
  <c r="BF158" i="5"/>
  <c r="U159" i="5"/>
  <c r="AS159" i="5"/>
  <c r="BQ159" i="5"/>
  <c r="O160" i="5"/>
  <c r="AM160" i="5"/>
  <c r="BK160" i="5"/>
  <c r="H161" i="5"/>
  <c r="AF161" i="5"/>
  <c r="BD161" i="5"/>
  <c r="AC90" i="5"/>
  <c r="BE126" i="5"/>
  <c r="U131" i="5"/>
  <c r="AR134" i="5"/>
  <c r="AW137" i="5"/>
  <c r="U142" i="5"/>
  <c r="AE144" i="5"/>
  <c r="BS147" i="5"/>
  <c r="BP149" i="5"/>
  <c r="B152" i="5"/>
  <c r="AX152" i="5"/>
  <c r="M154" i="5"/>
  <c r="BC155" i="5"/>
  <c r="R157" i="5"/>
  <c r="AI158" i="5"/>
  <c r="BX159" i="5"/>
  <c r="BT98" i="5"/>
  <c r="AL135" i="5"/>
  <c r="AV141" i="5"/>
  <c r="AG144" i="5"/>
  <c r="AQ147" i="5"/>
  <c r="AF148" i="5"/>
  <c r="X150" i="5"/>
  <c r="U153" i="5"/>
  <c r="N154" i="5"/>
  <c r="AF155" i="5"/>
  <c r="BU156" i="5"/>
  <c r="BH158" i="5"/>
  <c r="P161" i="5"/>
  <c r="BX124" i="5"/>
  <c r="BA132" i="5"/>
  <c r="BC136" i="5"/>
  <c r="AW141" i="5"/>
  <c r="U145" i="5"/>
  <c r="D148" i="5"/>
  <c r="AM116" i="5"/>
  <c r="N120" i="5"/>
  <c r="W123" i="5"/>
  <c r="AH125" i="5"/>
  <c r="AY127" i="5"/>
  <c r="BK129" i="5"/>
  <c r="BL131" i="5"/>
  <c r="BE132" i="5"/>
  <c r="E134" i="5"/>
  <c r="BT134" i="5"/>
  <c r="BT135" i="5"/>
  <c r="BO136" i="5"/>
  <c r="E138" i="5"/>
  <c r="BY138" i="5"/>
  <c r="BN139" i="5"/>
  <c r="BR140" i="5"/>
  <c r="BT141" i="5"/>
  <c r="AS142" i="5"/>
  <c r="O143" i="5"/>
  <c r="E144" i="5"/>
  <c r="BC144" i="5"/>
  <c r="Y145" i="5"/>
  <c r="BW145" i="5"/>
  <c r="BE146" i="5"/>
  <c r="S147" i="5"/>
  <c r="BE147" i="5"/>
  <c r="G148" i="5"/>
  <c r="AR148" i="5"/>
  <c r="BT148" i="5"/>
  <c r="U149" i="5"/>
  <c r="BB149" i="5"/>
  <c r="B150" i="5"/>
  <c r="AI150" i="5"/>
  <c r="BI150" i="5"/>
  <c r="H151" i="5"/>
  <c r="AO151" i="5"/>
  <c r="BO151" i="5"/>
  <c r="M152" i="5"/>
  <c r="AK152" i="5"/>
  <c r="BI152" i="5"/>
  <c r="G153" i="5"/>
  <c r="AE153" i="5"/>
  <c r="BC153" i="5"/>
  <c r="BZ153" i="5"/>
  <c r="X154" i="5"/>
  <c r="AV154" i="5"/>
  <c r="R155" i="5"/>
  <c r="AP155" i="5"/>
  <c r="BN155" i="5"/>
  <c r="K156" i="5"/>
  <c r="AI156" i="5"/>
  <c r="BG156" i="5"/>
  <c r="E157" i="5"/>
  <c r="AC157" i="5"/>
  <c r="BA157" i="5"/>
  <c r="BX157" i="5"/>
  <c r="V158" i="5"/>
  <c r="AT158" i="5"/>
  <c r="BR158" i="5"/>
  <c r="I159" i="5"/>
  <c r="AG159" i="5"/>
  <c r="BE159" i="5"/>
  <c r="AA160" i="5"/>
  <c r="AY160" i="5"/>
  <c r="BW160" i="5"/>
  <c r="T161" i="5"/>
  <c r="AR161" i="5"/>
  <c r="BP161" i="5"/>
  <c r="AK94" i="5"/>
  <c r="B109" i="5"/>
  <c r="J113" i="5"/>
  <c r="AY116" i="5"/>
  <c r="AB123" i="5"/>
  <c r="AZ127" i="5"/>
  <c r="AC130" i="5"/>
  <c r="BN131" i="5"/>
  <c r="BG132" i="5"/>
  <c r="G134" i="5"/>
  <c r="BZ134" i="5"/>
  <c r="BU135" i="5"/>
  <c r="BP136" i="5"/>
  <c r="F138" i="5"/>
  <c r="BZ138" i="5"/>
  <c r="BS139" i="5"/>
  <c r="N141" i="5"/>
  <c r="BU141" i="5"/>
  <c r="AT142" i="5"/>
  <c r="P143" i="5"/>
  <c r="F144" i="5"/>
  <c r="BE144" i="5"/>
  <c r="AA145" i="5"/>
  <c r="O146" i="5"/>
  <c r="BF146" i="5"/>
  <c r="U147" i="5"/>
  <c r="BF147" i="5"/>
  <c r="Q148" i="5"/>
  <c r="AS148" i="5"/>
  <c r="BU148" i="5"/>
  <c r="AC149" i="5"/>
  <c r="BC149" i="5"/>
  <c r="AJ150" i="5"/>
  <c r="BJ150" i="5"/>
  <c r="I151" i="5"/>
  <c r="AP151" i="5"/>
  <c r="BP151" i="5"/>
  <c r="N152" i="5"/>
  <c r="AL152" i="5"/>
  <c r="BJ152" i="5"/>
  <c r="H153" i="5"/>
  <c r="AF153" i="5"/>
  <c r="BD153" i="5"/>
  <c r="CA153" i="5"/>
  <c r="Y154" i="5"/>
  <c r="AW154" i="5"/>
  <c r="BU154" i="5"/>
  <c r="S155" i="5"/>
  <c r="AQ155" i="5"/>
  <c r="BO155" i="5"/>
  <c r="L156" i="5"/>
  <c r="AJ156" i="5"/>
  <c r="BH156" i="5"/>
  <c r="F157" i="5"/>
  <c r="AD157" i="5"/>
  <c r="BB157" i="5"/>
  <c r="BC132" i="5"/>
  <c r="W145" i="5"/>
  <c r="G151" i="5"/>
  <c r="AI152" i="5"/>
  <c r="AZ153" i="5"/>
  <c r="BK154" i="5"/>
  <c r="BM155" i="5"/>
  <c r="BW156" i="5"/>
  <c r="M158" i="5"/>
  <c r="BL159" i="5"/>
  <c r="AX160" i="5"/>
  <c r="AQ161" i="5"/>
  <c r="N158" i="5"/>
  <c r="O158" i="5"/>
  <c r="BM161" i="5"/>
  <c r="CA159" i="5"/>
  <c r="BX153" i="5"/>
  <c r="B160" i="5"/>
  <c r="BO134" i="5"/>
  <c r="AP146" i="5"/>
  <c r="BY153" i="5"/>
  <c r="AR157" i="5"/>
  <c r="BQ161" i="5"/>
  <c r="BC146" i="5"/>
  <c r="D153" i="5"/>
  <c r="Q155" i="5"/>
  <c r="AM158" i="5"/>
  <c r="BF122" i="5"/>
  <c r="BK143" i="5"/>
  <c r="AH156" i="5"/>
  <c r="AF159" i="5"/>
  <c r="R161" i="5"/>
  <c r="S149" i="5"/>
  <c r="W154" i="5"/>
  <c r="Z160" i="5"/>
  <c r="BI131" i="5"/>
  <c r="AB153" i="5"/>
  <c r="BQ157" i="5"/>
  <c r="U161" i="5"/>
  <c r="AR119" i="5"/>
  <c r="BD132" i="5"/>
  <c r="BG137" i="5"/>
  <c r="AP142" i="5"/>
  <c r="X145" i="5"/>
  <c r="E148" i="5"/>
  <c r="BZ149" i="5"/>
  <c r="AE151" i="5"/>
  <c r="AJ152" i="5"/>
  <c r="BA153" i="5"/>
  <c r="BR154" i="5"/>
  <c r="D157" i="5"/>
  <c r="F159" i="5"/>
  <c r="BF160" i="5"/>
  <c r="AS161" i="5"/>
  <c r="BT160" i="5"/>
  <c r="BN161" i="5"/>
  <c r="J156" i="5"/>
  <c r="BV160" i="5"/>
  <c r="M143" i="5"/>
  <c r="AA150" i="5"/>
  <c r="P155" i="5"/>
  <c r="AD159" i="5"/>
  <c r="BA122" i="5"/>
  <c r="BK139" i="5"/>
  <c r="BN151" i="5"/>
  <c r="AS157" i="5"/>
  <c r="Q161" i="5"/>
  <c r="BL139" i="5"/>
  <c r="E153" i="5"/>
  <c r="AZ157" i="5"/>
  <c r="Y160" i="5"/>
  <c r="BL143" i="5"/>
  <c r="J152" i="5"/>
  <c r="AX156" i="5"/>
  <c r="S161" i="5"/>
  <c r="P147" i="5"/>
  <c r="T149" i="5"/>
  <c r="AO155" i="5"/>
  <c r="BB159" i="5"/>
  <c r="L100" i="5"/>
  <c r="M120" i="5"/>
  <c r="D127" i="5"/>
  <c r="BH137" i="5"/>
  <c r="AQ142" i="5"/>
  <c r="F148" i="5"/>
  <c r="CA149" i="5"/>
  <c r="AF151" i="5"/>
  <c r="BF152" i="5"/>
  <c r="BB153" i="5"/>
  <c r="BS154" i="5"/>
  <c r="B156" i="5"/>
  <c r="T157" i="5"/>
  <c r="G159" i="5"/>
  <c r="BZ159" i="5"/>
  <c r="AL158" i="5"/>
  <c r="AE159" i="5"/>
  <c r="BR148" i="5"/>
  <c r="AN155" i="5"/>
  <c r="BA133" i="5"/>
  <c r="BT145" i="5"/>
  <c r="AH148" i="5"/>
  <c r="Y150" i="5"/>
  <c r="AG151" i="5"/>
  <c r="BG152" i="5"/>
  <c r="U157" i="5"/>
  <c r="W158" i="5"/>
  <c r="H159" i="5"/>
  <c r="BU160" i="5"/>
  <c r="AK158" i="5"/>
  <c r="Z156" i="5"/>
  <c r="J160" i="5"/>
  <c r="AZ129" i="5"/>
  <c r="BQ148" i="5"/>
  <c r="O154" i="5"/>
  <c r="AA156" i="5"/>
  <c r="X160" i="5"/>
  <c r="BI135" i="5"/>
  <c r="BG150" i="5"/>
  <c r="AG155" i="5"/>
  <c r="AU158" i="5"/>
  <c r="BN135" i="5"/>
  <c r="BH150" i="5"/>
  <c r="BP157" i="5"/>
  <c r="BH140" i="5"/>
  <c r="AM154" i="5"/>
  <c r="BJ158" i="5"/>
  <c r="BC111" i="5"/>
  <c r="BS138" i="5"/>
  <c r="L143" i="5"/>
  <c r="BU145" i="5"/>
  <c r="AQ148" i="5"/>
  <c r="Z150" i="5"/>
  <c r="BE151" i="5"/>
  <c r="BH152" i="5"/>
  <c r="I155" i="5"/>
  <c r="AB157" i="5"/>
  <c r="P159" i="5"/>
  <c r="BO161" i="5"/>
  <c r="BM151" i="5"/>
  <c r="AY150" i="5"/>
  <c r="V154" i="5"/>
  <c r="AN159" i="5"/>
  <c r="BZ106" i="5"/>
  <c r="J125" i="5"/>
  <c r="BK131" i="5"/>
  <c r="BH136" i="5"/>
  <c r="BM140" i="5"/>
  <c r="BB144" i="5"/>
  <c r="BC147" i="5"/>
  <c r="AS149" i="5"/>
  <c r="E151" i="5"/>
  <c r="L152" i="5"/>
  <c r="AC153" i="5"/>
  <c r="AT154" i="5"/>
  <c r="BE155" i="5"/>
  <c r="BF156" i="5"/>
  <c r="BK158" i="5"/>
  <c r="BC159" i="5"/>
  <c r="AV160" i="5"/>
  <c r="AO161" i="5"/>
  <c r="V125" i="5"/>
  <c r="BN136" i="5"/>
  <c r="BB141" i="5"/>
  <c r="BD147" i="5"/>
  <c r="BA149" i="5"/>
  <c r="F151" i="5"/>
  <c r="AH152" i="5"/>
  <c r="AD153" i="5"/>
  <c r="AU154" i="5"/>
  <c r="BL155" i="5"/>
  <c r="BY157" i="5"/>
  <c r="BS158" i="5"/>
  <c r="BD159" i="5"/>
  <c r="AW160" i="5"/>
  <c r="AP161" i="5"/>
  <c r="F153" i="5"/>
  <c r="BI158" i="5"/>
  <c r="BA144" i="5"/>
  <c r="K152" i="5"/>
  <c r="AY156" i="5"/>
  <c r="AH160" i="5"/>
  <c r="BY84" i="5"/>
  <c r="BX84" i="5"/>
  <c r="BL84" i="5"/>
  <c r="AZ84" i="5"/>
  <c r="AN84" i="5"/>
  <c r="AB84" i="5"/>
  <c r="P84" i="5"/>
  <c r="D84" i="5"/>
  <c r="AK84" i="5"/>
  <c r="BH84" i="5"/>
  <c r="BS84" i="5"/>
  <c r="K84" i="5"/>
  <c r="AT84" i="5"/>
  <c r="V84" i="5"/>
  <c r="AG84" i="5"/>
  <c r="I84" i="5"/>
  <c r="AF84" i="5"/>
  <c r="T84" i="5"/>
  <c r="BW84" i="5"/>
  <c r="BK84" i="5"/>
  <c r="AY84" i="5"/>
  <c r="AM84" i="5"/>
  <c r="AA84" i="5"/>
  <c r="O84" i="5"/>
  <c r="Y84" i="5"/>
  <c r="BT84" i="5"/>
  <c r="L84" i="5"/>
  <c r="BG84" i="5"/>
  <c r="W84" i="5"/>
  <c r="BF84" i="5"/>
  <c r="J84" i="5"/>
  <c r="BE84" i="5"/>
  <c r="BD84" i="5"/>
  <c r="BV84" i="5"/>
  <c r="BJ84" i="5"/>
  <c r="AX84" i="5"/>
  <c r="AL84" i="5"/>
  <c r="Z84" i="5"/>
  <c r="N84" i="5"/>
  <c r="AW84" i="5"/>
  <c r="AV84" i="5"/>
  <c r="AU84" i="5"/>
  <c r="BR84" i="5"/>
  <c r="AS84" i="5"/>
  <c r="BP84" i="5"/>
  <c r="BU84" i="5"/>
  <c r="BI84" i="5"/>
  <c r="M84" i="5"/>
  <c r="AJ84" i="5"/>
  <c r="AI84" i="5"/>
  <c r="AH84" i="5"/>
  <c r="BQ84" i="5"/>
  <c r="AR84" i="5"/>
  <c r="H84" i="5"/>
  <c r="X84" i="5"/>
  <c r="U84" i="5"/>
  <c r="BO84" i="5"/>
  <c r="BC84" i="5"/>
  <c r="AQ84" i="5"/>
  <c r="AE84" i="5"/>
  <c r="S84" i="5"/>
  <c r="G84" i="5"/>
  <c r="BN84" i="5"/>
  <c r="BB84" i="5"/>
  <c r="AP84" i="5"/>
  <c r="AD84" i="5"/>
  <c r="R84" i="5"/>
  <c r="F84" i="5"/>
  <c r="BM84" i="5"/>
  <c r="BA84" i="5"/>
  <c r="AO84" i="5"/>
  <c r="AC84" i="5"/>
  <c r="Q84" i="5"/>
  <c r="E84" i="5"/>
  <c r="BZ84" i="5"/>
  <c r="CA84" i="5"/>
  <c r="CA168" i="5" l="1"/>
  <c r="BN245" i="5"/>
  <c r="BA245" i="5"/>
  <c r="AF245" i="5"/>
  <c r="CA209" i="5"/>
  <c r="M241" i="5"/>
  <c r="AP190" i="5"/>
  <c r="H241" i="5"/>
  <c r="O235" i="5"/>
  <c r="P200" i="5"/>
  <c r="BH222" i="5"/>
  <c r="CA178" i="5"/>
  <c r="Z242" i="5"/>
  <c r="G245" i="5"/>
  <c r="AM229" i="5"/>
  <c r="F245" i="5"/>
  <c r="C245" i="5"/>
  <c r="BI237" i="5"/>
  <c r="AJ228" i="5"/>
  <c r="AG228" i="5"/>
  <c r="AY245" i="5"/>
  <c r="Q241" i="5"/>
  <c r="BH236" i="5"/>
  <c r="BI222" i="5"/>
  <c r="E239" i="5"/>
  <c r="K233" i="5"/>
  <c r="L228" i="5"/>
  <c r="L220" i="5"/>
  <c r="S243" i="5"/>
  <c r="BH238" i="5"/>
  <c r="I232" i="5"/>
  <c r="D243" i="5"/>
  <c r="G238" i="5"/>
  <c r="H232" i="5"/>
  <c r="B226" i="5"/>
  <c r="AX231" i="5"/>
  <c r="P231" i="5"/>
  <c r="B244" i="5"/>
  <c r="W240" i="5"/>
  <c r="AY235" i="5"/>
  <c r="AR217" i="5"/>
  <c r="BZ239" i="5"/>
  <c r="AU235" i="5"/>
  <c r="Z224" i="5"/>
  <c r="BC216" i="5"/>
  <c r="AB243" i="5"/>
  <c r="P235" i="5"/>
  <c r="AK243" i="5"/>
  <c r="P241" i="5"/>
  <c r="BS238" i="5"/>
  <c r="AZ235" i="5"/>
  <c r="J232" i="5"/>
  <c r="AO228" i="5"/>
  <c r="BB237" i="5"/>
  <c r="CA234" i="5"/>
  <c r="BT226" i="5"/>
  <c r="Z216" i="5"/>
  <c r="Y244" i="5"/>
  <c r="Y242" i="5"/>
  <c r="BY239" i="5"/>
  <c r="AQ237" i="5"/>
  <c r="G216" i="5"/>
  <c r="K244" i="5"/>
  <c r="V242" i="5"/>
  <c r="BX239" i="5"/>
  <c r="AP237" i="5"/>
  <c r="BV233" i="5"/>
  <c r="G230" i="5"/>
  <c r="Y226" i="5"/>
  <c r="CA215" i="5"/>
  <c r="L206" i="5"/>
  <c r="BR245" i="5"/>
  <c r="I244" i="5"/>
  <c r="K242" i="5"/>
  <c r="BS236" i="5"/>
  <c r="E230" i="5"/>
  <c r="X226" i="5"/>
  <c r="BA220" i="5"/>
  <c r="BU205" i="5"/>
  <c r="BQ245" i="5"/>
  <c r="G244" i="5"/>
  <c r="B242" i="5"/>
  <c r="BP239" i="5"/>
  <c r="M233" i="5"/>
  <c r="Q226" i="5"/>
  <c r="AZ220" i="5"/>
  <c r="BF205" i="5"/>
  <c r="AQ236" i="5"/>
  <c r="K228" i="5"/>
  <c r="BF223" i="5"/>
  <c r="AQ219" i="5"/>
  <c r="AR205" i="5"/>
  <c r="F196" i="5"/>
  <c r="BT244" i="5"/>
  <c r="E241" i="5"/>
  <c r="BG238" i="5"/>
  <c r="AJ236" i="5"/>
  <c r="AZ233" i="5"/>
  <c r="T230" i="5"/>
  <c r="BW227" i="5"/>
  <c r="BN211" i="5"/>
  <c r="BY245" i="5"/>
  <c r="BQ244" i="5"/>
  <c r="BV242" i="5"/>
  <c r="BF238" i="5"/>
  <c r="Y236" i="5"/>
  <c r="N233" i="5"/>
  <c r="L230" i="5"/>
  <c r="BJ222" i="5"/>
  <c r="AW245" i="5"/>
  <c r="AX244" i="5"/>
  <c r="BO243" i="5"/>
  <c r="BU242" i="5"/>
  <c r="BM241" i="5"/>
  <c r="BS240" i="5"/>
  <c r="BA239" i="5"/>
  <c r="BC238" i="5"/>
  <c r="AO237" i="5"/>
  <c r="X236" i="5"/>
  <c r="F233" i="5"/>
  <c r="F231" i="5"/>
  <c r="AC229" i="5"/>
  <c r="AO218" i="5"/>
  <c r="AG209" i="5"/>
  <c r="BH203" i="5"/>
  <c r="D196" i="5"/>
  <c r="AP245" i="5"/>
  <c r="AV244" i="5"/>
  <c r="BL243" i="5"/>
  <c r="BR242" i="5"/>
  <c r="BL241" i="5"/>
  <c r="AV240" i="5"/>
  <c r="AD239" i="5"/>
  <c r="AJ238" i="5"/>
  <c r="AD237" i="5"/>
  <c r="W236" i="5"/>
  <c r="BF234" i="5"/>
  <c r="BR232" i="5"/>
  <c r="E231" i="5"/>
  <c r="O229" i="5"/>
  <c r="AV227" i="5"/>
  <c r="BB225" i="5"/>
  <c r="X222" i="5"/>
  <c r="AK218" i="5"/>
  <c r="BP195" i="5"/>
  <c r="AU244" i="5"/>
  <c r="AW243" i="5"/>
  <c r="BG242" i="5"/>
  <c r="BI241" i="5"/>
  <c r="AU240" i="5"/>
  <c r="AC239" i="5"/>
  <c r="W238" i="5"/>
  <c r="M237" i="5"/>
  <c r="L236" i="5"/>
  <c r="BC234" i="5"/>
  <c r="D231" i="5"/>
  <c r="K229" i="5"/>
  <c r="AN227" i="5"/>
  <c r="BM224" i="5"/>
  <c r="BI221" i="5"/>
  <c r="Z218" i="5"/>
  <c r="O214" i="5"/>
  <c r="Y208" i="5"/>
  <c r="BE195" i="5"/>
  <c r="L186" i="5"/>
  <c r="AE245" i="5"/>
  <c r="AT244" i="5"/>
  <c r="AQ243" i="5"/>
  <c r="AX242" i="5"/>
  <c r="BD241" i="5"/>
  <c r="AT240" i="5"/>
  <c r="AB239" i="5"/>
  <c r="L238" i="5"/>
  <c r="F237" i="5"/>
  <c r="BS235" i="5"/>
  <c r="L234" i="5"/>
  <c r="BC232" i="5"/>
  <c r="B229" i="5"/>
  <c r="AH227" i="5"/>
  <c r="BJ224" i="5"/>
  <c r="Y218" i="5"/>
  <c r="BC213" i="5"/>
  <c r="N208" i="5"/>
  <c r="BT201" i="5"/>
  <c r="AB245" i="5"/>
  <c r="AL244" i="5"/>
  <c r="AP243" i="5"/>
  <c r="AI242" i="5"/>
  <c r="BA241" i="5"/>
  <c r="AQ240" i="5"/>
  <c r="Y239" i="5"/>
  <c r="K238" i="5"/>
  <c r="BU236" i="5"/>
  <c r="K234" i="5"/>
  <c r="U232" i="5"/>
  <c r="BG230" i="5"/>
  <c r="BP228" i="5"/>
  <c r="X227" i="5"/>
  <c r="BC220" i="5"/>
  <c r="X218" i="5"/>
  <c r="BZ245" i="5"/>
  <c r="M245" i="5"/>
  <c r="AG244" i="5"/>
  <c r="AO243" i="5"/>
  <c r="AE242" i="5"/>
  <c r="AN241" i="5"/>
  <c r="AL240" i="5"/>
  <c r="T239" i="5"/>
  <c r="J238" i="5"/>
  <c r="BT236" i="5"/>
  <c r="BM235" i="5"/>
  <c r="J234" i="5"/>
  <c r="K232" i="5"/>
  <c r="AH230" i="5"/>
  <c r="F227" i="5"/>
  <c r="BA224" i="5"/>
  <c r="BI212" i="5"/>
  <c r="BP245" i="5"/>
  <c r="AD245" i="5"/>
  <c r="BS244" i="5"/>
  <c r="AE244" i="5"/>
  <c r="BN243" i="5"/>
  <c r="Y243" i="5"/>
  <c r="BF242" i="5"/>
  <c r="J242" i="5"/>
  <c r="AP241" i="5"/>
  <c r="AI240" i="5"/>
  <c r="BM239" i="5"/>
  <c r="Q239" i="5"/>
  <c r="AX238" i="5"/>
  <c r="B238" i="5"/>
  <c r="AN237" i="5"/>
  <c r="V236" i="5"/>
  <c r="AX235" i="5"/>
  <c r="BE234" i="5"/>
  <c r="BB233" i="5"/>
  <c r="BS231" i="5"/>
  <c r="BT230" i="5"/>
  <c r="BZ229" i="5"/>
  <c r="CA228" i="5"/>
  <c r="H228" i="5"/>
  <c r="D227" i="5"/>
  <c r="BD225" i="5"/>
  <c r="BR223" i="5"/>
  <c r="BP221" i="5"/>
  <c r="BO217" i="5"/>
  <c r="BO215" i="5"/>
  <c r="AM212" i="5"/>
  <c r="W208" i="5"/>
  <c r="M205" i="5"/>
  <c r="AU199" i="5"/>
  <c r="BT194" i="5"/>
  <c r="AQ186" i="5"/>
  <c r="BO245" i="5"/>
  <c r="AC245" i="5"/>
  <c r="BR244" i="5"/>
  <c r="Z244" i="5"/>
  <c r="BM243" i="5"/>
  <c r="T243" i="5"/>
  <c r="BC242" i="5"/>
  <c r="G242" i="5"/>
  <c r="AO241" i="5"/>
  <c r="BT240" i="5"/>
  <c r="X240" i="5"/>
  <c r="BB239" i="5"/>
  <c r="F239" i="5"/>
  <c r="AU238" i="5"/>
  <c r="BY237" i="5"/>
  <c r="AK237" i="5"/>
  <c r="BO236" i="5"/>
  <c r="S236" i="5"/>
  <c r="AW235" i="5"/>
  <c r="BD234" i="5"/>
  <c r="BA233" i="5"/>
  <c r="BH232" i="5"/>
  <c r="BG231" i="5"/>
  <c r="BU229" i="5"/>
  <c r="BY228" i="5"/>
  <c r="BX227" i="5"/>
  <c r="BW226" i="5"/>
  <c r="BC225" i="5"/>
  <c r="BG223" i="5"/>
  <c r="BO221" i="5"/>
  <c r="AR219" i="5"/>
  <c r="BM215" i="5"/>
  <c r="AI212" i="5"/>
  <c r="Q208" i="5"/>
  <c r="AL199" i="5"/>
  <c r="BK245" i="5"/>
  <c r="T245" i="5"/>
  <c r="BO244" i="5"/>
  <c r="X244" i="5"/>
  <c r="BK243" i="5"/>
  <c r="R243" i="5"/>
  <c r="AW242" i="5"/>
  <c r="CA241" i="5"/>
  <c r="AK241" i="5"/>
  <c r="BR240" i="5"/>
  <c r="V240" i="5"/>
  <c r="AZ239" i="5"/>
  <c r="D239" i="5"/>
  <c r="AI238" i="5"/>
  <c r="BO237" i="5"/>
  <c r="S237" i="5"/>
  <c r="AW236" i="5"/>
  <c r="BZ235" i="5"/>
  <c r="AK235" i="5"/>
  <c r="BA234" i="5"/>
  <c r="AY233" i="5"/>
  <c r="BA232" i="5"/>
  <c r="AW231" i="5"/>
  <c r="BD230" i="5"/>
  <c r="BB229" i="5"/>
  <c r="BS227" i="5"/>
  <c r="AW225" i="5"/>
  <c r="AP219" i="5"/>
  <c r="Y217" i="5"/>
  <c r="BS214" i="5"/>
  <c r="M208" i="5"/>
  <c r="AL203" i="5"/>
  <c r="BK192" i="5"/>
  <c r="AJ185" i="5"/>
  <c r="BB245" i="5"/>
  <c r="O245" i="5"/>
  <c r="BH244" i="5"/>
  <c r="U244" i="5"/>
  <c r="BC243" i="5"/>
  <c r="M243" i="5"/>
  <c r="AT242" i="5"/>
  <c r="BX241" i="5"/>
  <c r="AF241" i="5"/>
  <c r="BO240" i="5"/>
  <c r="S240" i="5"/>
  <c r="AW239" i="5"/>
  <c r="CA238" i="5"/>
  <c r="AH238" i="5"/>
  <c r="BN237" i="5"/>
  <c r="R237" i="5"/>
  <c r="AV236" i="5"/>
  <c r="BY235" i="5"/>
  <c r="S235" i="5"/>
  <c r="AI234" i="5"/>
  <c r="AX233" i="5"/>
  <c r="AV232" i="5"/>
  <c r="AU231" i="5"/>
  <c r="AT230" i="5"/>
  <c r="AY229" i="5"/>
  <c r="BD228" i="5"/>
  <c r="BB226" i="5"/>
  <c r="AV225" i="5"/>
  <c r="BD223" i="5"/>
  <c r="BB221" i="5"/>
  <c r="AK219" i="5"/>
  <c r="T217" i="5"/>
  <c r="BA214" i="5"/>
  <c r="AU210" i="5"/>
  <c r="Z198" i="5"/>
  <c r="BH192" i="5"/>
  <c r="AC241" i="5"/>
  <c r="BJ240" i="5"/>
  <c r="N240" i="5"/>
  <c r="AR239" i="5"/>
  <c r="BV238" i="5"/>
  <c r="AE238" i="5"/>
  <c r="BM237" i="5"/>
  <c r="Q237" i="5"/>
  <c r="AU236" i="5"/>
  <c r="BX235" i="5"/>
  <c r="R235" i="5"/>
  <c r="S234" i="5"/>
  <c r="AI233" i="5"/>
  <c r="AU232" i="5"/>
  <c r="AP231" i="5"/>
  <c r="AS230" i="5"/>
  <c r="AO229" i="5"/>
  <c r="BC228" i="5"/>
  <c r="AX227" i="5"/>
  <c r="AA226" i="5"/>
  <c r="S225" i="5"/>
  <c r="AD223" i="5"/>
  <c r="W221" i="5"/>
  <c r="BV218" i="5"/>
  <c r="J217" i="5"/>
  <c r="AE207" i="5"/>
  <c r="AY202" i="5"/>
  <c r="AZ245" i="5"/>
  <c r="H245" i="5"/>
  <c r="AW244" i="5"/>
  <c r="J244" i="5"/>
  <c r="AR243" i="5"/>
  <c r="CA242" i="5"/>
  <c r="AH242" i="5"/>
  <c r="BN241" i="5"/>
  <c r="R241" i="5"/>
  <c r="BG240" i="5"/>
  <c r="K240" i="5"/>
  <c r="AO239" i="5"/>
  <c r="Z238" i="5"/>
  <c r="BL237" i="5"/>
  <c r="P237" i="5"/>
  <c r="AT236" i="5"/>
  <c r="BW235" i="5"/>
  <c r="Q235" i="5"/>
  <c r="Q234" i="5"/>
  <c r="O233" i="5"/>
  <c r="AG232" i="5"/>
  <c r="AB231" i="5"/>
  <c r="AR230" i="5"/>
  <c r="AN229" i="5"/>
  <c r="AU228" i="5"/>
  <c r="AW227" i="5"/>
  <c r="Z226" i="5"/>
  <c r="BO224" i="5"/>
  <c r="BL222" i="5"/>
  <c r="BH220" i="5"/>
  <c r="H217" i="5"/>
  <c r="Q214" i="5"/>
  <c r="AA210" i="5"/>
  <c r="AR202" i="5"/>
  <c r="BM245" i="5"/>
  <c r="AR245" i="5"/>
  <c r="AA245" i="5"/>
  <c r="E245" i="5"/>
  <c r="BJ244" i="5"/>
  <c r="AS244" i="5"/>
  <c r="W244" i="5"/>
  <c r="CA243" i="5"/>
  <c r="BI243" i="5"/>
  <c r="AN243" i="5"/>
  <c r="Q243" i="5"/>
  <c r="BT242" i="5"/>
  <c r="AV242" i="5"/>
  <c r="X242" i="5"/>
  <c r="BZ241" i="5"/>
  <c r="BC241" i="5"/>
  <c r="AE241" i="5"/>
  <c r="G241" i="5"/>
  <c r="BI240" i="5"/>
  <c r="AK240" i="5"/>
  <c r="M240" i="5"/>
  <c r="BO239" i="5"/>
  <c r="AQ239" i="5"/>
  <c r="S239" i="5"/>
  <c r="BU238" i="5"/>
  <c r="AW238" i="5"/>
  <c r="Y238" i="5"/>
  <c r="CA237" i="5"/>
  <c r="BD237" i="5"/>
  <c r="AF237" i="5"/>
  <c r="H237" i="5"/>
  <c r="BJ236" i="5"/>
  <c r="AL236" i="5"/>
  <c r="N236" i="5"/>
  <c r="AQ235" i="5"/>
  <c r="K235" i="5"/>
  <c r="AT234" i="5"/>
  <c r="G234" i="5"/>
  <c r="AP233" i="5"/>
  <c r="C233" i="5"/>
  <c r="AT232" i="5"/>
  <c r="G232" i="5"/>
  <c r="AO231" i="5"/>
  <c r="C231" i="5"/>
  <c r="AQ230" i="5"/>
  <c r="BY229" i="5"/>
  <c r="AL229" i="5"/>
  <c r="BT228" i="5"/>
  <c r="AI228" i="5"/>
  <c r="BV227" i="5"/>
  <c r="AF227" i="5"/>
  <c r="BF226" i="5"/>
  <c r="E226" i="5"/>
  <c r="AI225" i="5"/>
  <c r="AW224" i="5"/>
  <c r="AU223" i="5"/>
  <c r="AQ222" i="5"/>
  <c r="AT221" i="5"/>
  <c r="AJ220" i="5"/>
  <c r="T219" i="5"/>
  <c r="M218" i="5"/>
  <c r="G217" i="5"/>
  <c r="BL215" i="5"/>
  <c r="CA213" i="5"/>
  <c r="BM211" i="5"/>
  <c r="AP209" i="5"/>
  <c r="BA207" i="5"/>
  <c r="AP205" i="5"/>
  <c r="BD195" i="5"/>
  <c r="AU175" i="5"/>
  <c r="BL245" i="5"/>
  <c r="AQ245" i="5"/>
  <c r="Y245" i="5"/>
  <c r="D245" i="5"/>
  <c r="BI244" i="5"/>
  <c r="AQ244" i="5"/>
  <c r="V244" i="5"/>
  <c r="BZ243" i="5"/>
  <c r="BD243" i="5"/>
  <c r="AM243" i="5"/>
  <c r="P243" i="5"/>
  <c r="BS242" i="5"/>
  <c r="AU242" i="5"/>
  <c r="W242" i="5"/>
  <c r="BY241" i="5"/>
  <c r="BB241" i="5"/>
  <c r="AD241" i="5"/>
  <c r="F241" i="5"/>
  <c r="BH240" i="5"/>
  <c r="AJ240" i="5"/>
  <c r="L240" i="5"/>
  <c r="BN239" i="5"/>
  <c r="AP239" i="5"/>
  <c r="R239" i="5"/>
  <c r="AV238" i="5"/>
  <c r="X238" i="5"/>
  <c r="BZ237" i="5"/>
  <c r="BC237" i="5"/>
  <c r="AE237" i="5"/>
  <c r="G237" i="5"/>
  <c r="BI236" i="5"/>
  <c r="AK236" i="5"/>
  <c r="M236" i="5"/>
  <c r="BN235" i="5"/>
  <c r="AL235" i="5"/>
  <c r="B235" i="5"/>
  <c r="AJ234" i="5"/>
  <c r="BW233" i="5"/>
  <c r="AK233" i="5"/>
  <c r="BS232" i="5"/>
  <c r="AQ232" i="5"/>
  <c r="BY231" i="5"/>
  <c r="AL231" i="5"/>
  <c r="B231" i="5"/>
  <c r="AO230" i="5"/>
  <c r="BX229" i="5"/>
  <c r="AK229" i="5"/>
  <c r="BS228" i="5"/>
  <c r="AH228" i="5"/>
  <c r="BU227" i="5"/>
  <c r="Y227" i="5"/>
  <c r="BC226" i="5"/>
  <c r="D226" i="5"/>
  <c r="Y225" i="5"/>
  <c r="AB224" i="5"/>
  <c r="AE223" i="5"/>
  <c r="AE222" i="5"/>
  <c r="Y221" i="5"/>
  <c r="M220" i="5"/>
  <c r="G219" i="5"/>
  <c r="BS217" i="5"/>
  <c r="BV216" i="5"/>
  <c r="AY215" i="5"/>
  <c r="BD213" i="5"/>
  <c r="BG211" i="5"/>
  <c r="AI209" i="5"/>
  <c r="AD202" i="5"/>
  <c r="AA198" i="5"/>
  <c r="N190" i="5"/>
  <c r="AG175" i="5"/>
  <c r="BX245" i="5"/>
  <c r="BJ245" i="5"/>
  <c r="AO245" i="5"/>
  <c r="S245" i="5"/>
  <c r="CA244" i="5"/>
  <c r="BG244" i="5"/>
  <c r="AK244" i="5"/>
  <c r="S244" i="5"/>
  <c r="BX243" i="5"/>
  <c r="BB243" i="5"/>
  <c r="AF243" i="5"/>
  <c r="H243" i="5"/>
  <c r="BO242" i="5"/>
  <c r="AQ242" i="5"/>
  <c r="S242" i="5"/>
  <c r="AZ241" i="5"/>
  <c r="AB241" i="5"/>
  <c r="D241" i="5"/>
  <c r="BF240" i="5"/>
  <c r="AH240" i="5"/>
  <c r="J240" i="5"/>
  <c r="BL239" i="5"/>
  <c r="AN239" i="5"/>
  <c r="P239" i="5"/>
  <c r="BR238" i="5"/>
  <c r="AT238" i="5"/>
  <c r="V238" i="5"/>
  <c r="BX237" i="5"/>
  <c r="BA237" i="5"/>
  <c r="AC237" i="5"/>
  <c r="E237" i="5"/>
  <c r="BG236" i="5"/>
  <c r="AI236" i="5"/>
  <c r="K236" i="5"/>
  <c r="BL235" i="5"/>
  <c r="AI235" i="5"/>
  <c r="BY234" i="5"/>
  <c r="AH234" i="5"/>
  <c r="BU233" i="5"/>
  <c r="AD233" i="5"/>
  <c r="BQ232" i="5"/>
  <c r="AF232" i="5"/>
  <c r="BN231" i="5"/>
  <c r="AA231" i="5"/>
  <c r="BO230" i="5"/>
  <c r="X230" i="5"/>
  <c r="W229" i="5"/>
  <c r="AC228" i="5"/>
  <c r="BL227" i="5"/>
  <c r="W227" i="5"/>
  <c r="BA226" i="5"/>
  <c r="BT225" i="5"/>
  <c r="R225" i="5"/>
  <c r="Y224" i="5"/>
  <c r="W223" i="5"/>
  <c r="S222" i="5"/>
  <c r="V221" i="5"/>
  <c r="G220" i="5"/>
  <c r="BU218" i="5"/>
  <c r="BD217" i="5"/>
  <c r="AD215" i="5"/>
  <c r="AR211" i="5"/>
  <c r="AE209" i="5"/>
  <c r="R207" i="5"/>
  <c r="AQ204" i="5"/>
  <c r="AJ201" i="5"/>
  <c r="T198" i="5"/>
  <c r="H189" i="5"/>
  <c r="AE181" i="5"/>
  <c r="AK174" i="5"/>
  <c r="BW245" i="5"/>
  <c r="BI245" i="5"/>
  <c r="AN245" i="5"/>
  <c r="R245" i="5"/>
  <c r="BF244" i="5"/>
  <c r="AJ244" i="5"/>
  <c r="N244" i="5"/>
  <c r="BW243" i="5"/>
  <c r="BA243" i="5"/>
  <c r="AE243" i="5"/>
  <c r="G243" i="5"/>
  <c r="BJ242" i="5"/>
  <c r="AL242" i="5"/>
  <c r="N242" i="5"/>
  <c r="BU241" i="5"/>
  <c r="AW241" i="5"/>
  <c r="Y241" i="5"/>
  <c r="CA240" i="5"/>
  <c r="BC240" i="5"/>
  <c r="AE240" i="5"/>
  <c r="G240" i="5"/>
  <c r="BI239" i="5"/>
  <c r="AK239" i="5"/>
  <c r="M239" i="5"/>
  <c r="BO238" i="5"/>
  <c r="AQ238" i="5"/>
  <c r="S238" i="5"/>
  <c r="BU237" i="5"/>
  <c r="AZ237" i="5"/>
  <c r="AB237" i="5"/>
  <c r="D237" i="5"/>
  <c r="BF236" i="5"/>
  <c r="AH236" i="5"/>
  <c r="J236" i="5"/>
  <c r="BK235" i="5"/>
  <c r="AG235" i="5"/>
  <c r="BT234" i="5"/>
  <c r="AG234" i="5"/>
  <c r="BS233" i="5"/>
  <c r="AC233" i="5"/>
  <c r="BP232" i="5"/>
  <c r="AE232" i="5"/>
  <c r="BM231" i="5"/>
  <c r="Z231" i="5"/>
  <c r="BM230" i="5"/>
  <c r="W230" i="5"/>
  <c r="BJ229" i="5"/>
  <c r="R229" i="5"/>
  <c r="BG228" i="5"/>
  <c r="T228" i="5"/>
  <c r="T227" i="5"/>
  <c r="AZ226" i="5"/>
  <c r="BS225" i="5"/>
  <c r="M225" i="5"/>
  <c r="X224" i="5"/>
  <c r="M223" i="5"/>
  <c r="Q222" i="5"/>
  <c r="T221" i="5"/>
  <c r="E220" i="5"/>
  <c r="BT218" i="5"/>
  <c r="BC217" i="5"/>
  <c r="AN216" i="5"/>
  <c r="T215" i="5"/>
  <c r="AS213" i="5"/>
  <c r="R211" i="5"/>
  <c r="AD209" i="5"/>
  <c r="E207" i="5"/>
  <c r="BD193" i="5"/>
  <c r="Y188" i="5"/>
  <c r="BV245" i="5"/>
  <c r="BD245" i="5"/>
  <c r="AM245" i="5"/>
  <c r="Q245" i="5"/>
  <c r="BV244" i="5"/>
  <c r="BE244" i="5"/>
  <c r="AI244" i="5"/>
  <c r="M244" i="5"/>
  <c r="BU243" i="5"/>
  <c r="AZ243" i="5"/>
  <c r="AD243" i="5"/>
  <c r="F243" i="5"/>
  <c r="BI242" i="5"/>
  <c r="AK242" i="5"/>
  <c r="M242" i="5"/>
  <c r="BP241" i="5"/>
  <c r="AR241" i="5"/>
  <c r="T241" i="5"/>
  <c r="AX240" i="5"/>
  <c r="Z240" i="5"/>
  <c r="B240" i="5"/>
  <c r="BD239" i="5"/>
  <c r="AF239" i="5"/>
  <c r="H239" i="5"/>
  <c r="BJ238" i="5"/>
  <c r="AL238" i="5"/>
  <c r="N238" i="5"/>
  <c r="AW237" i="5"/>
  <c r="Y237" i="5"/>
  <c r="CA236" i="5"/>
  <c r="BC236" i="5"/>
  <c r="AE236" i="5"/>
  <c r="G236" i="5"/>
  <c r="BJ235" i="5"/>
  <c r="AE235" i="5"/>
  <c r="BS234" i="5"/>
  <c r="AF234" i="5"/>
  <c r="AB233" i="5"/>
  <c r="BO232" i="5"/>
  <c r="AC232" i="5"/>
  <c r="BL231" i="5"/>
  <c r="Y231" i="5"/>
  <c r="V230" i="5"/>
  <c r="BI229" i="5"/>
  <c r="Q229" i="5"/>
  <c r="BF228" i="5"/>
  <c r="S228" i="5"/>
  <c r="BA227" i="5"/>
  <c r="H227" i="5"/>
  <c r="AO226" i="5"/>
  <c r="BP225" i="5"/>
  <c r="K225" i="5"/>
  <c r="S224" i="5"/>
  <c r="K223" i="5"/>
  <c r="P222" i="5"/>
  <c r="S221" i="5"/>
  <c r="D220" i="5"/>
  <c r="BO218" i="5"/>
  <c r="BB217" i="5"/>
  <c r="AL216" i="5"/>
  <c r="K215" i="5"/>
  <c r="BY212" i="5"/>
  <c r="AX210" i="5"/>
  <c r="BM208" i="5"/>
  <c r="CA206" i="5"/>
  <c r="D204" i="5"/>
  <c r="BB200" i="5"/>
  <c r="BH197" i="5"/>
  <c r="BU245" i="5"/>
  <c r="BC245" i="5"/>
  <c r="AK245" i="5"/>
  <c r="P245" i="5"/>
  <c r="BU244" i="5"/>
  <c r="BC244" i="5"/>
  <c r="AH244" i="5"/>
  <c r="L244" i="5"/>
  <c r="BP243" i="5"/>
  <c r="AY243" i="5"/>
  <c r="AC243" i="5"/>
  <c r="E243" i="5"/>
  <c r="BH242" i="5"/>
  <c r="AJ242" i="5"/>
  <c r="L242" i="5"/>
  <c r="BO241" i="5"/>
  <c r="AQ241" i="5"/>
  <c r="S241" i="5"/>
  <c r="BU240" i="5"/>
  <c r="AW240" i="5"/>
  <c r="Y240" i="5"/>
  <c r="CA239" i="5"/>
  <c r="BC239" i="5"/>
  <c r="AE239" i="5"/>
  <c r="G239" i="5"/>
  <c r="BI238" i="5"/>
  <c r="AK238" i="5"/>
  <c r="M238" i="5"/>
  <c r="BP237" i="5"/>
  <c r="AR237" i="5"/>
  <c r="T237" i="5"/>
  <c r="BV236" i="5"/>
  <c r="AX236" i="5"/>
  <c r="Z236" i="5"/>
  <c r="CA235" i="5"/>
  <c r="BF235" i="5"/>
  <c r="AB235" i="5"/>
  <c r="X234" i="5"/>
  <c r="BL233" i="5"/>
  <c r="Y233" i="5"/>
  <c r="X232" i="5"/>
  <c r="BK231" i="5"/>
  <c r="W231" i="5"/>
  <c r="BH230" i="5"/>
  <c r="U230" i="5"/>
  <c r="BG229" i="5"/>
  <c r="P229" i="5"/>
  <c r="BE228" i="5"/>
  <c r="Q228" i="5"/>
  <c r="AZ227" i="5"/>
  <c r="G227" i="5"/>
  <c r="AH226" i="5"/>
  <c r="G225" i="5"/>
  <c r="D224" i="5"/>
  <c r="G223" i="5"/>
  <c r="G222" i="5"/>
  <c r="CA220" i="5"/>
  <c r="BN219" i="5"/>
  <c r="AK216" i="5"/>
  <c r="BU214" i="5"/>
  <c r="BW212" i="5"/>
  <c r="AV210" i="5"/>
  <c r="BU206" i="5"/>
  <c r="C204" i="5"/>
  <c r="AP200" i="5"/>
  <c r="I197" i="5"/>
  <c r="U193" i="5"/>
  <c r="V179" i="5"/>
  <c r="AA243" i="5"/>
  <c r="O243" i="5"/>
  <c r="C243" i="5"/>
  <c r="BQ242" i="5"/>
  <c r="BE242" i="5"/>
  <c r="AS242" i="5"/>
  <c r="AG242" i="5"/>
  <c r="U242" i="5"/>
  <c r="I242" i="5"/>
  <c r="BK241" i="5"/>
  <c r="AY241" i="5"/>
  <c r="AM241" i="5"/>
  <c r="AA241" i="5"/>
  <c r="O241" i="5"/>
  <c r="C241" i="5"/>
  <c r="BQ240" i="5"/>
  <c r="BE240" i="5"/>
  <c r="AS240" i="5"/>
  <c r="AG240" i="5"/>
  <c r="U240" i="5"/>
  <c r="I240" i="5"/>
  <c r="BW239" i="5"/>
  <c r="BK239" i="5"/>
  <c r="AY239" i="5"/>
  <c r="AM239" i="5"/>
  <c r="AA239" i="5"/>
  <c r="O239" i="5"/>
  <c r="C239" i="5"/>
  <c r="BQ238" i="5"/>
  <c r="BE238" i="5"/>
  <c r="AS238" i="5"/>
  <c r="AG238" i="5"/>
  <c r="U238" i="5"/>
  <c r="I238" i="5"/>
  <c r="BW237" i="5"/>
  <c r="BK237" i="5"/>
  <c r="AY237" i="5"/>
  <c r="AM237" i="5"/>
  <c r="AA237" i="5"/>
  <c r="O237" i="5"/>
  <c r="C237" i="5"/>
  <c r="BQ236" i="5"/>
  <c r="BE236" i="5"/>
  <c r="AS236" i="5"/>
  <c r="AG236" i="5"/>
  <c r="U236" i="5"/>
  <c r="I236" i="5"/>
  <c r="BV235" i="5"/>
  <c r="BI235" i="5"/>
  <c r="AT235" i="5"/>
  <c r="AD235" i="5"/>
  <c r="N235" i="5"/>
  <c r="BR234" i="5"/>
  <c r="AV234" i="5"/>
  <c r="AE234" i="5"/>
  <c r="I234" i="5"/>
  <c r="BN233" i="5"/>
  <c r="AW233" i="5"/>
  <c r="AA233" i="5"/>
  <c r="E233" i="5"/>
  <c r="AS232" i="5"/>
  <c r="W232" i="5"/>
  <c r="E232" i="5"/>
  <c r="BJ231" i="5"/>
  <c r="AN231" i="5"/>
  <c r="R231" i="5"/>
  <c r="CA230" i="5"/>
  <c r="BF230" i="5"/>
  <c r="AJ230" i="5"/>
  <c r="S230" i="5"/>
  <c r="BW229" i="5"/>
  <c r="BA229" i="5"/>
  <c r="AI229" i="5"/>
  <c r="N229" i="5"/>
  <c r="BR228" i="5"/>
  <c r="BA228" i="5"/>
  <c r="AF228" i="5"/>
  <c r="J228" i="5"/>
  <c r="BN227" i="5"/>
  <c r="AU227" i="5"/>
  <c r="V227" i="5"/>
  <c r="BV226" i="5"/>
  <c r="AX226" i="5"/>
  <c r="V226" i="5"/>
  <c r="BR225" i="5"/>
  <c r="AT225" i="5"/>
  <c r="J225" i="5"/>
  <c r="AZ224" i="5"/>
  <c r="P224" i="5"/>
  <c r="BC223" i="5"/>
  <c r="J223" i="5"/>
  <c r="BC222" i="5"/>
  <c r="N222" i="5"/>
  <c r="AW221" i="5"/>
  <c r="M221" i="5"/>
  <c r="AV220" i="5"/>
  <c r="BZ219" i="5"/>
  <c r="AI219" i="5"/>
  <c r="BM218" i="5"/>
  <c r="S218" i="5"/>
  <c r="F217" i="5"/>
  <c r="AJ216" i="5"/>
  <c r="BK215" i="5"/>
  <c r="BM214" i="5"/>
  <c r="BA213" i="5"/>
  <c r="AL212" i="5"/>
  <c r="U211" i="5"/>
  <c r="E210" i="5"/>
  <c r="K209" i="5"/>
  <c r="BY207" i="5"/>
  <c r="BP206" i="5"/>
  <c r="BF203" i="5"/>
  <c r="BH201" i="5"/>
  <c r="AT199" i="5"/>
  <c r="T197" i="5"/>
  <c r="BG192" i="5"/>
  <c r="BZ188" i="5"/>
  <c r="M185" i="5"/>
  <c r="AX245" i="5"/>
  <c r="AL245" i="5"/>
  <c r="Z245" i="5"/>
  <c r="N245" i="5"/>
  <c r="B245" i="5"/>
  <c r="BP244" i="5"/>
  <c r="BD244" i="5"/>
  <c r="AR244" i="5"/>
  <c r="AF244" i="5"/>
  <c r="T244" i="5"/>
  <c r="H244" i="5"/>
  <c r="BV243" i="5"/>
  <c r="BJ243" i="5"/>
  <c r="AX243" i="5"/>
  <c r="AL243" i="5"/>
  <c r="Z243" i="5"/>
  <c r="N243" i="5"/>
  <c r="B243" i="5"/>
  <c r="BP242" i="5"/>
  <c r="BD242" i="5"/>
  <c r="AR242" i="5"/>
  <c r="AF242" i="5"/>
  <c r="T242" i="5"/>
  <c r="H242" i="5"/>
  <c r="BV241" i="5"/>
  <c r="BJ241" i="5"/>
  <c r="AX241" i="5"/>
  <c r="AL241" i="5"/>
  <c r="Z241" i="5"/>
  <c r="N241" i="5"/>
  <c r="B241" i="5"/>
  <c r="BP240" i="5"/>
  <c r="BD240" i="5"/>
  <c r="AR240" i="5"/>
  <c r="AF240" i="5"/>
  <c r="T240" i="5"/>
  <c r="H240" i="5"/>
  <c r="BV239" i="5"/>
  <c r="BJ239" i="5"/>
  <c r="AX239" i="5"/>
  <c r="AL239" i="5"/>
  <c r="Z239" i="5"/>
  <c r="N239" i="5"/>
  <c r="B239" i="5"/>
  <c r="BP238" i="5"/>
  <c r="BD238" i="5"/>
  <c r="AR238" i="5"/>
  <c r="AF238" i="5"/>
  <c r="T238" i="5"/>
  <c r="H238" i="5"/>
  <c r="BV237" i="5"/>
  <c r="BJ237" i="5"/>
  <c r="AX237" i="5"/>
  <c r="AL237" i="5"/>
  <c r="Z237" i="5"/>
  <c r="N237" i="5"/>
  <c r="B237" i="5"/>
  <c r="BP236" i="5"/>
  <c r="BD236" i="5"/>
  <c r="AR236" i="5"/>
  <c r="AF236" i="5"/>
  <c r="T236" i="5"/>
  <c r="H236" i="5"/>
  <c r="BU235" i="5"/>
  <c r="BG235" i="5"/>
  <c r="AS235" i="5"/>
  <c r="AC235" i="5"/>
  <c r="M235" i="5"/>
  <c r="BQ234" i="5"/>
  <c r="AU234" i="5"/>
  <c r="AC234" i="5"/>
  <c r="H234" i="5"/>
  <c r="BM233" i="5"/>
  <c r="AU233" i="5"/>
  <c r="Z233" i="5"/>
  <c r="D233" i="5"/>
  <c r="BM232" i="5"/>
  <c r="AR232" i="5"/>
  <c r="V232" i="5"/>
  <c r="BZ231" i="5"/>
  <c r="BI231" i="5"/>
  <c r="AM231" i="5"/>
  <c r="Q231" i="5"/>
  <c r="BY230" i="5"/>
  <c r="BE230" i="5"/>
  <c r="AI230" i="5"/>
  <c r="Q230" i="5"/>
  <c r="BV229" i="5"/>
  <c r="AZ229" i="5"/>
  <c r="AD229" i="5"/>
  <c r="M229" i="5"/>
  <c r="BQ228" i="5"/>
  <c r="AV228" i="5"/>
  <c r="AE228" i="5"/>
  <c r="I228" i="5"/>
  <c r="BM227" i="5"/>
  <c r="AS227" i="5"/>
  <c r="U227" i="5"/>
  <c r="BU226" i="5"/>
  <c r="AP226" i="5"/>
  <c r="S226" i="5"/>
  <c r="BQ225" i="5"/>
  <c r="AK225" i="5"/>
  <c r="I225" i="5"/>
  <c r="AX224" i="5"/>
  <c r="E224" i="5"/>
  <c r="BB223" i="5"/>
  <c r="H223" i="5"/>
  <c r="AV222" i="5"/>
  <c r="M222" i="5"/>
  <c r="AU221" i="5"/>
  <c r="F221" i="5"/>
  <c r="AK220" i="5"/>
  <c r="BO219" i="5"/>
  <c r="AE219" i="5"/>
  <c r="BI218" i="5"/>
  <c r="Q218" i="5"/>
  <c r="AW217" i="5"/>
  <c r="CA216" i="5"/>
  <c r="AE216" i="5"/>
  <c r="BD215" i="5"/>
  <c r="BK214" i="5"/>
  <c r="AJ212" i="5"/>
  <c r="T211" i="5"/>
  <c r="C210" i="5"/>
  <c r="BT208" i="5"/>
  <c r="BC207" i="5"/>
  <c r="BA206" i="5"/>
  <c r="AF205" i="5"/>
  <c r="BE203" i="5"/>
  <c r="BF201" i="5"/>
  <c r="AR199" i="5"/>
  <c r="K197" i="5"/>
  <c r="AB195" i="5"/>
  <c r="AI192" i="5"/>
  <c r="BX188" i="5"/>
  <c r="I179" i="5"/>
  <c r="M173" i="5"/>
  <c r="BT245" i="5"/>
  <c r="BH245" i="5"/>
  <c r="AV245" i="5"/>
  <c r="AJ245" i="5"/>
  <c r="X245" i="5"/>
  <c r="L245" i="5"/>
  <c r="BN244" i="5"/>
  <c r="BB244" i="5"/>
  <c r="AP244" i="5"/>
  <c r="AD244" i="5"/>
  <c r="R244" i="5"/>
  <c r="F244" i="5"/>
  <c r="BT243" i="5"/>
  <c r="BH243" i="5"/>
  <c r="AV243" i="5"/>
  <c r="AJ243" i="5"/>
  <c r="X243" i="5"/>
  <c r="L243" i="5"/>
  <c r="BZ242" i="5"/>
  <c r="BN242" i="5"/>
  <c r="BB242" i="5"/>
  <c r="AP242" i="5"/>
  <c r="AD242" i="5"/>
  <c r="R242" i="5"/>
  <c r="F242" i="5"/>
  <c r="BT241" i="5"/>
  <c r="BH241" i="5"/>
  <c r="AV241" i="5"/>
  <c r="AJ241" i="5"/>
  <c r="X241" i="5"/>
  <c r="L241" i="5"/>
  <c r="BZ240" i="5"/>
  <c r="BN240" i="5"/>
  <c r="BB240" i="5"/>
  <c r="AP240" i="5"/>
  <c r="AD240" i="5"/>
  <c r="R240" i="5"/>
  <c r="F240" i="5"/>
  <c r="BT239" i="5"/>
  <c r="BH239" i="5"/>
  <c r="AV239" i="5"/>
  <c r="AJ239" i="5"/>
  <c r="X239" i="5"/>
  <c r="L239" i="5"/>
  <c r="BZ238" i="5"/>
  <c r="BN238" i="5"/>
  <c r="BB238" i="5"/>
  <c r="AP238" i="5"/>
  <c r="AD238" i="5"/>
  <c r="R238" i="5"/>
  <c r="F238" i="5"/>
  <c r="BT237" i="5"/>
  <c r="BH237" i="5"/>
  <c r="AV237" i="5"/>
  <c r="AJ237" i="5"/>
  <c r="X237" i="5"/>
  <c r="L237" i="5"/>
  <c r="BZ236" i="5"/>
  <c r="BN236" i="5"/>
  <c r="BB236" i="5"/>
  <c r="AP236" i="5"/>
  <c r="AD236" i="5"/>
  <c r="R236" i="5"/>
  <c r="E236" i="5"/>
  <c r="BR235" i="5"/>
  <c r="BE235" i="5"/>
  <c r="AP235" i="5"/>
  <c r="AA235" i="5"/>
  <c r="F235" i="5"/>
  <c r="BO234" i="5"/>
  <c r="AS234" i="5"/>
  <c r="W234" i="5"/>
  <c r="E234" i="5"/>
  <c r="BK233" i="5"/>
  <c r="AO233" i="5"/>
  <c r="W233" i="5"/>
  <c r="B233" i="5"/>
  <c r="BG232" i="5"/>
  <c r="AO232" i="5"/>
  <c r="T232" i="5"/>
  <c r="BX231" i="5"/>
  <c r="BB231" i="5"/>
  <c r="AK231" i="5"/>
  <c r="O231" i="5"/>
  <c r="BS230" i="5"/>
  <c r="BC230" i="5"/>
  <c r="AG230" i="5"/>
  <c r="K230" i="5"/>
  <c r="BS229" i="5"/>
  <c r="AX229" i="5"/>
  <c r="AB229" i="5"/>
  <c r="F229" i="5"/>
  <c r="BO228" i="5"/>
  <c r="AT228" i="5"/>
  <c r="X228" i="5"/>
  <c r="G228" i="5"/>
  <c r="BJ227" i="5"/>
  <c r="AL227" i="5"/>
  <c r="R227" i="5"/>
  <c r="BR226" i="5"/>
  <c r="AN226" i="5"/>
  <c r="L226" i="5"/>
  <c r="BO225" i="5"/>
  <c r="AH225" i="5"/>
  <c r="BW224" i="5"/>
  <c r="AV224" i="5"/>
  <c r="B224" i="5"/>
  <c r="AK223" i="5"/>
  <c r="F223" i="5"/>
  <c r="AO222" i="5"/>
  <c r="BZ221" i="5"/>
  <c r="AR221" i="5"/>
  <c r="BY220" i="5"/>
  <c r="AE220" i="5"/>
  <c r="BI219" i="5"/>
  <c r="S219" i="5"/>
  <c r="AX218" i="5"/>
  <c r="B218" i="5"/>
  <c r="AH217" i="5"/>
  <c r="BL216" i="5"/>
  <c r="P216" i="5"/>
  <c r="AE213" i="5"/>
  <c r="AC212" i="5"/>
  <c r="Q211" i="5"/>
  <c r="BZ209" i="5"/>
  <c r="BK208" i="5"/>
  <c r="AU207" i="5"/>
  <c r="AL206" i="5"/>
  <c r="BW204" i="5"/>
  <c r="H197" i="5"/>
  <c r="AN194" i="5"/>
  <c r="BQ191" i="5"/>
  <c r="M183" i="5"/>
  <c r="AQ172" i="5"/>
  <c r="BS245" i="5"/>
  <c r="BG245" i="5"/>
  <c r="AU245" i="5"/>
  <c r="AI245" i="5"/>
  <c r="W245" i="5"/>
  <c r="K245" i="5"/>
  <c r="BY244" i="5"/>
  <c r="BM244" i="5"/>
  <c r="BA244" i="5"/>
  <c r="AO244" i="5"/>
  <c r="AC244" i="5"/>
  <c r="Q244" i="5"/>
  <c r="E244" i="5"/>
  <c r="BS243" i="5"/>
  <c r="BG243" i="5"/>
  <c r="AU243" i="5"/>
  <c r="AI243" i="5"/>
  <c r="W243" i="5"/>
  <c r="K243" i="5"/>
  <c r="BY242" i="5"/>
  <c r="BM242" i="5"/>
  <c r="BA242" i="5"/>
  <c r="AO242" i="5"/>
  <c r="AC242" i="5"/>
  <c r="Q242" i="5"/>
  <c r="E242" i="5"/>
  <c r="BS241" i="5"/>
  <c r="BG241" i="5"/>
  <c r="AU241" i="5"/>
  <c r="AI241" i="5"/>
  <c r="W241" i="5"/>
  <c r="K241" i="5"/>
  <c r="BY240" i="5"/>
  <c r="BM240" i="5"/>
  <c r="BA240" i="5"/>
  <c r="AO240" i="5"/>
  <c r="AC240" i="5"/>
  <c r="Q240" i="5"/>
  <c r="E240" i="5"/>
  <c r="BS239" i="5"/>
  <c r="BG239" i="5"/>
  <c r="AU239" i="5"/>
  <c r="AI239" i="5"/>
  <c r="W239" i="5"/>
  <c r="K239" i="5"/>
  <c r="BY238" i="5"/>
  <c r="BM238" i="5"/>
  <c r="BA238" i="5"/>
  <c r="AO238" i="5"/>
  <c r="AC238" i="5"/>
  <c r="Q238" i="5"/>
  <c r="E238" i="5"/>
  <c r="BG237" i="5"/>
  <c r="AU237" i="5"/>
  <c r="AI237" i="5"/>
  <c r="W237" i="5"/>
  <c r="K237" i="5"/>
  <c r="BY236" i="5"/>
  <c r="BM236" i="5"/>
  <c r="BA236" i="5"/>
  <c r="AO236" i="5"/>
  <c r="AC236" i="5"/>
  <c r="Q236" i="5"/>
  <c r="D236" i="5"/>
  <c r="BC235" i="5"/>
  <c r="AO235" i="5"/>
  <c r="Z235" i="5"/>
  <c r="E235" i="5"/>
  <c r="BM234" i="5"/>
  <c r="AR234" i="5"/>
  <c r="V234" i="5"/>
  <c r="BZ233" i="5"/>
  <c r="BJ233" i="5"/>
  <c r="AN233" i="5"/>
  <c r="R233" i="5"/>
  <c r="CA232" i="5"/>
  <c r="BF232" i="5"/>
  <c r="AJ232" i="5"/>
  <c r="S232" i="5"/>
  <c r="BW231" i="5"/>
  <c r="BA231" i="5"/>
  <c r="AI231" i="5"/>
  <c r="N231" i="5"/>
  <c r="BR230" i="5"/>
  <c r="BA230" i="5"/>
  <c r="AF230" i="5"/>
  <c r="J230" i="5"/>
  <c r="BN229" i="5"/>
  <c r="AW229" i="5"/>
  <c r="AA229" i="5"/>
  <c r="E229" i="5"/>
  <c r="BM228" i="5"/>
  <c r="AS228" i="5"/>
  <c r="W228" i="5"/>
  <c r="E228" i="5"/>
  <c r="AK227" i="5"/>
  <c r="K227" i="5"/>
  <c r="BO226" i="5"/>
  <c r="AM226" i="5"/>
  <c r="J226" i="5"/>
  <c r="BL225" i="5"/>
  <c r="AG225" i="5"/>
  <c r="BV224" i="5"/>
  <c r="AQ224" i="5"/>
  <c r="CA223" i="5"/>
  <c r="AI223" i="5"/>
  <c r="BY222" i="5"/>
  <c r="AN222" i="5"/>
  <c r="BU221" i="5"/>
  <c r="AQ221" i="5"/>
  <c r="BX220" i="5"/>
  <c r="AC220" i="5"/>
  <c r="BG219" i="5"/>
  <c r="R219" i="5"/>
  <c r="AW218" i="5"/>
  <c r="CA217" i="5"/>
  <c r="AF217" i="5"/>
  <c r="BJ216" i="5"/>
  <c r="N216" i="5"/>
  <c r="AI215" i="5"/>
  <c r="Z214" i="5"/>
  <c r="H213" i="5"/>
  <c r="N212" i="5"/>
  <c r="K211" i="5"/>
  <c r="BY209" i="5"/>
  <c r="BI208" i="5"/>
  <c r="AR207" i="5"/>
  <c r="Y206" i="5"/>
  <c r="BI204" i="5"/>
  <c r="BY202" i="5"/>
  <c r="Z201" i="5"/>
  <c r="BY198" i="5"/>
  <c r="G197" i="5"/>
  <c r="AL194" i="5"/>
  <c r="AS187" i="5"/>
  <c r="K183" i="5"/>
  <c r="AD172" i="5"/>
  <c r="BF245" i="5"/>
  <c r="AT245" i="5"/>
  <c r="AH245" i="5"/>
  <c r="V245" i="5"/>
  <c r="J245" i="5"/>
  <c r="BX244" i="5"/>
  <c r="BL244" i="5"/>
  <c r="AZ244" i="5"/>
  <c r="AN244" i="5"/>
  <c r="AB244" i="5"/>
  <c r="P244" i="5"/>
  <c r="D244" i="5"/>
  <c r="BR243" i="5"/>
  <c r="BF243" i="5"/>
  <c r="AT243" i="5"/>
  <c r="AH243" i="5"/>
  <c r="V243" i="5"/>
  <c r="J243" i="5"/>
  <c r="BL242" i="5"/>
  <c r="AZ242" i="5"/>
  <c r="AN242" i="5"/>
  <c r="AB242" i="5"/>
  <c r="P242" i="5"/>
  <c r="D242" i="5"/>
  <c r="BR241" i="5"/>
  <c r="BF241" i="5"/>
  <c r="AT241" i="5"/>
  <c r="AH241" i="5"/>
  <c r="V241" i="5"/>
  <c r="J241" i="5"/>
  <c r="BX240" i="5"/>
  <c r="BL240" i="5"/>
  <c r="AZ240" i="5"/>
  <c r="AN240" i="5"/>
  <c r="AB240" i="5"/>
  <c r="P240" i="5"/>
  <c r="D240" i="5"/>
  <c r="BR239" i="5"/>
  <c r="BF239" i="5"/>
  <c r="AT239" i="5"/>
  <c r="AH239" i="5"/>
  <c r="V239" i="5"/>
  <c r="J239" i="5"/>
  <c r="BX238" i="5"/>
  <c r="BL238" i="5"/>
  <c r="AZ238" i="5"/>
  <c r="AN238" i="5"/>
  <c r="AB238" i="5"/>
  <c r="P238" i="5"/>
  <c r="D238" i="5"/>
  <c r="BR237" i="5"/>
  <c r="BF237" i="5"/>
  <c r="AT237" i="5"/>
  <c r="AH237" i="5"/>
  <c r="V237" i="5"/>
  <c r="J237" i="5"/>
  <c r="BX236" i="5"/>
  <c r="BL236" i="5"/>
  <c r="AZ236" i="5"/>
  <c r="AN236" i="5"/>
  <c r="AB236" i="5"/>
  <c r="P236" i="5"/>
  <c r="C236" i="5"/>
  <c r="BP235" i="5"/>
  <c r="BB235" i="5"/>
  <c r="AN235" i="5"/>
  <c r="Y235" i="5"/>
  <c r="D235" i="5"/>
  <c r="BH234" i="5"/>
  <c r="AQ234" i="5"/>
  <c r="U234" i="5"/>
  <c r="BY233" i="5"/>
  <c r="BI233" i="5"/>
  <c r="AM233" i="5"/>
  <c r="Q233" i="5"/>
  <c r="BY232" i="5"/>
  <c r="BE232" i="5"/>
  <c r="AI232" i="5"/>
  <c r="Q232" i="5"/>
  <c r="BV231" i="5"/>
  <c r="AZ231" i="5"/>
  <c r="AD231" i="5"/>
  <c r="BQ230" i="5"/>
  <c r="AV230" i="5"/>
  <c r="AE230" i="5"/>
  <c r="I230" i="5"/>
  <c r="BM229" i="5"/>
  <c r="AU229" i="5"/>
  <c r="Z229" i="5"/>
  <c r="D229" i="5"/>
  <c r="AR228" i="5"/>
  <c r="V228" i="5"/>
  <c r="BZ227" i="5"/>
  <c r="BH227" i="5"/>
  <c r="AJ227" i="5"/>
  <c r="J227" i="5"/>
  <c r="BM226" i="5"/>
  <c r="AL226" i="5"/>
  <c r="G226" i="5"/>
  <c r="AF225" i="5"/>
  <c r="BU224" i="5"/>
  <c r="AN224" i="5"/>
  <c r="BZ223" i="5"/>
  <c r="AH223" i="5"/>
  <c r="BO222" i="5"/>
  <c r="AL222" i="5"/>
  <c r="BS221" i="5"/>
  <c r="AK221" i="5"/>
  <c r="BV220" i="5"/>
  <c r="AB220" i="5"/>
  <c r="BF219" i="5"/>
  <c r="M219" i="5"/>
  <c r="AV218" i="5"/>
  <c r="BZ217" i="5"/>
  <c r="AE217" i="5"/>
  <c r="BI216" i="5"/>
  <c r="M216" i="5"/>
  <c r="AF215" i="5"/>
  <c r="Y214" i="5"/>
  <c r="G213" i="5"/>
  <c r="BQ211" i="5"/>
  <c r="BV210" i="5"/>
  <c r="BE209" i="5"/>
  <c r="BH208" i="5"/>
  <c r="AQ207" i="5"/>
  <c r="W206" i="5"/>
  <c r="BD204" i="5"/>
  <c r="BW202" i="5"/>
  <c r="BK200" i="5"/>
  <c r="AK196" i="5"/>
  <c r="BJ190" i="5"/>
  <c r="AW182" i="5"/>
  <c r="AW176" i="5"/>
  <c r="BE245" i="5"/>
  <c r="AS245" i="5"/>
  <c r="AG245" i="5"/>
  <c r="U245" i="5"/>
  <c r="I245" i="5"/>
  <c r="BW244" i="5"/>
  <c r="BK244" i="5"/>
  <c r="AY244" i="5"/>
  <c r="AM244" i="5"/>
  <c r="AA244" i="5"/>
  <c r="O244" i="5"/>
  <c r="C244" i="5"/>
  <c r="BQ243" i="5"/>
  <c r="BE243" i="5"/>
  <c r="AS243" i="5"/>
  <c r="AG243" i="5"/>
  <c r="U243" i="5"/>
  <c r="I243" i="5"/>
  <c r="BW242" i="5"/>
  <c r="BK242" i="5"/>
  <c r="AY242" i="5"/>
  <c r="AM242" i="5"/>
  <c r="AA242" i="5"/>
  <c r="O242" i="5"/>
  <c r="C242" i="5"/>
  <c r="BQ241" i="5"/>
  <c r="BE241" i="5"/>
  <c r="AS241" i="5"/>
  <c r="AG241" i="5"/>
  <c r="U241" i="5"/>
  <c r="I241" i="5"/>
  <c r="BW240" i="5"/>
  <c r="BK240" i="5"/>
  <c r="AY240" i="5"/>
  <c r="AM240" i="5"/>
  <c r="AA240" i="5"/>
  <c r="O240" i="5"/>
  <c r="C240" i="5"/>
  <c r="BQ239" i="5"/>
  <c r="BE239" i="5"/>
  <c r="AS239" i="5"/>
  <c r="AG239" i="5"/>
  <c r="U239" i="5"/>
  <c r="I239" i="5"/>
  <c r="BW238" i="5"/>
  <c r="BK238" i="5"/>
  <c r="AY238" i="5"/>
  <c r="AM238" i="5"/>
  <c r="AA238" i="5"/>
  <c r="O238" i="5"/>
  <c r="C238" i="5"/>
  <c r="BQ237" i="5"/>
  <c r="BE237" i="5"/>
  <c r="AS237" i="5"/>
  <c r="AG237" i="5"/>
  <c r="U237" i="5"/>
  <c r="I237" i="5"/>
  <c r="BW236" i="5"/>
  <c r="BK236" i="5"/>
  <c r="AY236" i="5"/>
  <c r="AM236" i="5"/>
  <c r="AA236" i="5"/>
  <c r="O236" i="5"/>
  <c r="B236" i="5"/>
  <c r="BO235" i="5"/>
  <c r="BA235" i="5"/>
  <c r="AM235" i="5"/>
  <c r="W235" i="5"/>
  <c r="C235" i="5"/>
  <c r="BG234" i="5"/>
  <c r="AO234" i="5"/>
  <c r="T234" i="5"/>
  <c r="BX233" i="5"/>
  <c r="BG233" i="5"/>
  <c r="AL233" i="5"/>
  <c r="P233" i="5"/>
  <c r="BT232" i="5"/>
  <c r="BD232" i="5"/>
  <c r="AH232" i="5"/>
  <c r="L232" i="5"/>
  <c r="BU231" i="5"/>
  <c r="AY231" i="5"/>
  <c r="AC231" i="5"/>
  <c r="K231" i="5"/>
  <c r="BP230" i="5"/>
  <c r="AU230" i="5"/>
  <c r="AC230" i="5"/>
  <c r="H230" i="5"/>
  <c r="BL229" i="5"/>
  <c r="AP229" i="5"/>
  <c r="Y229" i="5"/>
  <c r="C229" i="5"/>
  <c r="BH228" i="5"/>
  <c r="AQ228" i="5"/>
  <c r="U228" i="5"/>
  <c r="BY227" i="5"/>
  <c r="BF227" i="5"/>
  <c r="AI227" i="5"/>
  <c r="I227" i="5"/>
  <c r="AK226" i="5"/>
  <c r="F226" i="5"/>
  <c r="BE225" i="5"/>
  <c r="AE225" i="5"/>
  <c r="BT224" i="5"/>
  <c r="AC224" i="5"/>
  <c r="BU223" i="5"/>
  <c r="AF223" i="5"/>
  <c r="BM222" i="5"/>
  <c r="AK222" i="5"/>
  <c r="BR221" i="5"/>
  <c r="AD221" i="5"/>
  <c r="BO220" i="5"/>
  <c r="X220" i="5"/>
  <c r="BB219" i="5"/>
  <c r="K219" i="5"/>
  <c r="AQ218" i="5"/>
  <c r="BU217" i="5"/>
  <c r="AD217" i="5"/>
  <c r="BH216" i="5"/>
  <c r="L216" i="5"/>
  <c r="AE215" i="5"/>
  <c r="W214" i="5"/>
  <c r="E213" i="5"/>
  <c r="BP211" i="5"/>
  <c r="AY210" i="5"/>
  <c r="O206" i="5"/>
  <c r="BC204" i="5"/>
  <c r="BV202" i="5"/>
  <c r="BD200" i="5"/>
  <c r="AC198" i="5"/>
  <c r="M194" i="5"/>
  <c r="AW190" i="5"/>
  <c r="BJ186" i="5"/>
  <c r="AQ182" i="5"/>
  <c r="AQ176" i="5"/>
  <c r="J171" i="5"/>
  <c r="BU220" i="5"/>
  <c r="AX220" i="5"/>
  <c r="Z220" i="5"/>
  <c r="B220" i="5"/>
  <c r="BD219" i="5"/>
  <c r="AH219" i="5"/>
  <c r="J219" i="5"/>
  <c r="BL218" i="5"/>
  <c r="AN218" i="5"/>
  <c r="P218" i="5"/>
  <c r="BR217" i="5"/>
  <c r="AU217" i="5"/>
  <c r="W217" i="5"/>
  <c r="BY216" i="5"/>
  <c r="BA216" i="5"/>
  <c r="AC216" i="5"/>
  <c r="D216" i="5"/>
  <c r="BB215" i="5"/>
  <c r="R215" i="5"/>
  <c r="AX214" i="5"/>
  <c r="E214" i="5"/>
  <c r="AI213" i="5"/>
  <c r="BM212" i="5"/>
  <c r="W212" i="5"/>
  <c r="BA211" i="5"/>
  <c r="E211" i="5"/>
  <c r="AJ210" i="5"/>
  <c r="BN209" i="5"/>
  <c r="AC209" i="5"/>
  <c r="BG208" i="5"/>
  <c r="L208" i="5"/>
  <c r="AP207" i="5"/>
  <c r="BO206" i="5"/>
  <c r="K206" i="5"/>
  <c r="AE205" i="5"/>
  <c r="AP204" i="5"/>
  <c r="AS203" i="5"/>
  <c r="AP202" i="5"/>
  <c r="AH201" i="5"/>
  <c r="AF200" i="5"/>
  <c r="T199" i="5"/>
  <c r="B198" i="5"/>
  <c r="BH196" i="5"/>
  <c r="BC195" i="5"/>
  <c r="K194" i="5"/>
  <c r="P190" i="5"/>
  <c r="S188" i="5"/>
  <c r="BY178" i="5"/>
  <c r="AE171" i="5"/>
  <c r="F236" i="5"/>
  <c r="BT235" i="5"/>
  <c r="BH235" i="5"/>
  <c r="AV235" i="5"/>
  <c r="AJ235" i="5"/>
  <c r="X235" i="5"/>
  <c r="L235" i="5"/>
  <c r="BZ234" i="5"/>
  <c r="BN234" i="5"/>
  <c r="BB234" i="5"/>
  <c r="AP234" i="5"/>
  <c r="AD234" i="5"/>
  <c r="R234" i="5"/>
  <c r="F234" i="5"/>
  <c r="BT233" i="5"/>
  <c r="BH233" i="5"/>
  <c r="AV233" i="5"/>
  <c r="AJ233" i="5"/>
  <c r="X233" i="5"/>
  <c r="L233" i="5"/>
  <c r="BZ232" i="5"/>
  <c r="BB232" i="5"/>
  <c r="AP232" i="5"/>
  <c r="AD232" i="5"/>
  <c r="R232" i="5"/>
  <c r="F232" i="5"/>
  <c r="BT231" i="5"/>
  <c r="BH231" i="5"/>
  <c r="AV231" i="5"/>
  <c r="AJ231" i="5"/>
  <c r="X231" i="5"/>
  <c r="L231" i="5"/>
  <c r="BZ230" i="5"/>
  <c r="BN230" i="5"/>
  <c r="BB230" i="5"/>
  <c r="AP230" i="5"/>
  <c r="AD230" i="5"/>
  <c r="R230" i="5"/>
  <c r="F230" i="5"/>
  <c r="BT229" i="5"/>
  <c r="BH229" i="5"/>
  <c r="AV229" i="5"/>
  <c r="AJ229" i="5"/>
  <c r="X229" i="5"/>
  <c r="L229" i="5"/>
  <c r="BZ228" i="5"/>
  <c r="BN228" i="5"/>
  <c r="BB228" i="5"/>
  <c r="AP228" i="5"/>
  <c r="AD228" i="5"/>
  <c r="R228" i="5"/>
  <c r="F228" i="5"/>
  <c r="BT227" i="5"/>
  <c r="BG227" i="5"/>
  <c r="AT227" i="5"/>
  <c r="AG227" i="5"/>
  <c r="S227" i="5"/>
  <c r="E227" i="5"/>
  <c r="BN226" i="5"/>
  <c r="AY226" i="5"/>
  <c r="AJ226" i="5"/>
  <c r="R226" i="5"/>
  <c r="C226" i="5"/>
  <c r="BN225" i="5"/>
  <c r="AU225" i="5"/>
  <c r="AD225" i="5"/>
  <c r="H225" i="5"/>
  <c r="BL224" i="5"/>
  <c r="AO224" i="5"/>
  <c r="Q224" i="5"/>
  <c r="BS223" i="5"/>
  <c r="AW223" i="5"/>
  <c r="Y223" i="5"/>
  <c r="CA222" i="5"/>
  <c r="AJ222" i="5"/>
  <c r="L222" i="5"/>
  <c r="BN221" i="5"/>
  <c r="AP221" i="5"/>
  <c r="R221" i="5"/>
  <c r="BT220" i="5"/>
  <c r="AW220" i="5"/>
  <c r="Y220" i="5"/>
  <c r="CA219" i="5"/>
  <c r="BC219" i="5"/>
  <c r="AF219" i="5"/>
  <c r="H219" i="5"/>
  <c r="BJ218" i="5"/>
  <c r="AL218" i="5"/>
  <c r="N218" i="5"/>
  <c r="BP217" i="5"/>
  <c r="AT217" i="5"/>
  <c r="V217" i="5"/>
  <c r="BX216" i="5"/>
  <c r="AZ216" i="5"/>
  <c r="AB216" i="5"/>
  <c r="C216" i="5"/>
  <c r="BA215" i="5"/>
  <c r="Q215" i="5"/>
  <c r="AW214" i="5"/>
  <c r="B214" i="5"/>
  <c r="AF213" i="5"/>
  <c r="BJ212" i="5"/>
  <c r="O212" i="5"/>
  <c r="BW210" i="5"/>
  <c r="AC210" i="5"/>
  <c r="BG209" i="5"/>
  <c r="R209" i="5"/>
  <c r="AV208" i="5"/>
  <c r="CA207" i="5"/>
  <c r="BN206" i="5"/>
  <c r="H206" i="5"/>
  <c r="AD205" i="5"/>
  <c r="AO204" i="5"/>
  <c r="AQ203" i="5"/>
  <c r="AG201" i="5"/>
  <c r="Q200" i="5"/>
  <c r="B199" i="5"/>
  <c r="AT196" i="5"/>
  <c r="J194" i="5"/>
  <c r="X192" i="5"/>
  <c r="O190" i="5"/>
  <c r="BC187" i="5"/>
  <c r="R185" i="5"/>
  <c r="AI181" i="5"/>
  <c r="BA178" i="5"/>
  <c r="BI174" i="5"/>
  <c r="L171" i="5"/>
  <c r="AH235" i="5"/>
  <c r="V235" i="5"/>
  <c r="J235" i="5"/>
  <c r="BX234" i="5"/>
  <c r="BL234" i="5"/>
  <c r="AZ234" i="5"/>
  <c r="AN234" i="5"/>
  <c r="AB234" i="5"/>
  <c r="P234" i="5"/>
  <c r="D234" i="5"/>
  <c r="BR233" i="5"/>
  <c r="BF233" i="5"/>
  <c r="AT233" i="5"/>
  <c r="AH233" i="5"/>
  <c r="V233" i="5"/>
  <c r="J233" i="5"/>
  <c r="BX232" i="5"/>
  <c r="BL232" i="5"/>
  <c r="AZ232" i="5"/>
  <c r="AN232" i="5"/>
  <c r="AB232" i="5"/>
  <c r="P232" i="5"/>
  <c r="D232" i="5"/>
  <c r="BR231" i="5"/>
  <c r="BF231" i="5"/>
  <c r="AT231" i="5"/>
  <c r="AH231" i="5"/>
  <c r="V231" i="5"/>
  <c r="J231" i="5"/>
  <c r="BX230" i="5"/>
  <c r="AZ230" i="5"/>
  <c r="AN230" i="5"/>
  <c r="AB230" i="5"/>
  <c r="P230" i="5"/>
  <c r="D230" i="5"/>
  <c r="BR229" i="5"/>
  <c r="BF229" i="5"/>
  <c r="AT229" i="5"/>
  <c r="AH229" i="5"/>
  <c r="V229" i="5"/>
  <c r="J229" i="5"/>
  <c r="BX228" i="5"/>
  <c r="BL228" i="5"/>
  <c r="AZ228" i="5"/>
  <c r="AN228" i="5"/>
  <c r="AB228" i="5"/>
  <c r="P228" i="5"/>
  <c r="D228" i="5"/>
  <c r="BR227" i="5"/>
  <c r="BE227" i="5"/>
  <c r="AR227" i="5"/>
  <c r="AE227" i="5"/>
  <c r="Q227" i="5"/>
  <c r="CA226" i="5"/>
  <c r="BL226" i="5"/>
  <c r="AW226" i="5"/>
  <c r="AE226" i="5"/>
  <c r="P226" i="5"/>
  <c r="CA225" i="5"/>
  <c r="BI225" i="5"/>
  <c r="AS225" i="5"/>
  <c r="W225" i="5"/>
  <c r="F225" i="5"/>
  <c r="BI224" i="5"/>
  <c r="AL224" i="5"/>
  <c r="N224" i="5"/>
  <c r="BP223" i="5"/>
  <c r="AT223" i="5"/>
  <c r="V223" i="5"/>
  <c r="BX222" i="5"/>
  <c r="BA222" i="5"/>
  <c r="AC222" i="5"/>
  <c r="E222" i="5"/>
  <c r="BG221" i="5"/>
  <c r="AI221" i="5"/>
  <c r="K221" i="5"/>
  <c r="BM220" i="5"/>
  <c r="AQ220" i="5"/>
  <c r="S220" i="5"/>
  <c r="BU219" i="5"/>
  <c r="AD219" i="5"/>
  <c r="F219" i="5"/>
  <c r="BH218" i="5"/>
  <c r="AJ218" i="5"/>
  <c r="L218" i="5"/>
  <c r="BN217" i="5"/>
  <c r="AQ217" i="5"/>
  <c r="S217" i="5"/>
  <c r="BU216" i="5"/>
  <c r="AW216" i="5"/>
  <c r="Y216" i="5"/>
  <c r="BZ215" i="5"/>
  <c r="I215" i="5"/>
  <c r="AU214" i="5"/>
  <c r="BY213" i="5"/>
  <c r="AC213" i="5"/>
  <c r="BG212" i="5"/>
  <c r="L212" i="5"/>
  <c r="AP211" i="5"/>
  <c r="BT210" i="5"/>
  <c r="Y210" i="5"/>
  <c r="BC209" i="5"/>
  <c r="I209" i="5"/>
  <c r="AO208" i="5"/>
  <c r="BS207" i="5"/>
  <c r="AC207" i="5"/>
  <c r="AY206" i="5"/>
  <c r="BS205" i="5"/>
  <c r="K205" i="5"/>
  <c r="Z204" i="5"/>
  <c r="AB202" i="5"/>
  <c r="X201" i="5"/>
  <c r="N200" i="5"/>
  <c r="BW198" i="5"/>
  <c r="BF197" i="5"/>
  <c r="AI196" i="5"/>
  <c r="W195" i="5"/>
  <c r="BB193" i="5"/>
  <c r="BD191" i="5"/>
  <c r="AS189" i="5"/>
  <c r="AQ187" i="5"/>
  <c r="F185" i="5"/>
  <c r="BH177" i="5"/>
  <c r="AD174" i="5"/>
  <c r="U235" i="5"/>
  <c r="I235" i="5"/>
  <c r="BW234" i="5"/>
  <c r="BK234" i="5"/>
  <c r="AY234" i="5"/>
  <c r="AM234" i="5"/>
  <c r="AA234" i="5"/>
  <c r="O234" i="5"/>
  <c r="C234" i="5"/>
  <c r="BQ233" i="5"/>
  <c r="BE233" i="5"/>
  <c r="AS233" i="5"/>
  <c r="AG233" i="5"/>
  <c r="U233" i="5"/>
  <c r="I233" i="5"/>
  <c r="BW232" i="5"/>
  <c r="BK232" i="5"/>
  <c r="AY232" i="5"/>
  <c r="AM232" i="5"/>
  <c r="AA232" i="5"/>
  <c r="O232" i="5"/>
  <c r="C232" i="5"/>
  <c r="BQ231" i="5"/>
  <c r="BE231" i="5"/>
  <c r="AS231" i="5"/>
  <c r="AG231" i="5"/>
  <c r="U231" i="5"/>
  <c r="I231" i="5"/>
  <c r="BW230" i="5"/>
  <c r="BK230" i="5"/>
  <c r="AY230" i="5"/>
  <c r="AM230" i="5"/>
  <c r="AA230" i="5"/>
  <c r="O230" i="5"/>
  <c r="C230" i="5"/>
  <c r="BQ229" i="5"/>
  <c r="BE229" i="5"/>
  <c r="AS229" i="5"/>
  <c r="AG229" i="5"/>
  <c r="U229" i="5"/>
  <c r="I229" i="5"/>
  <c r="BW228" i="5"/>
  <c r="BK228" i="5"/>
  <c r="AY228" i="5"/>
  <c r="AM228" i="5"/>
  <c r="AA228" i="5"/>
  <c r="O228" i="5"/>
  <c r="C228" i="5"/>
  <c r="BQ227" i="5"/>
  <c r="BD227" i="5"/>
  <c r="AQ227" i="5"/>
  <c r="AD227" i="5"/>
  <c r="P227" i="5"/>
  <c r="BZ226" i="5"/>
  <c r="BK226" i="5"/>
  <c r="AV226" i="5"/>
  <c r="AD226" i="5"/>
  <c r="O226" i="5"/>
  <c r="BZ225" i="5"/>
  <c r="BH225" i="5"/>
  <c r="AR225" i="5"/>
  <c r="V225" i="5"/>
  <c r="CA224" i="5"/>
  <c r="BH224" i="5"/>
  <c r="AK224" i="5"/>
  <c r="M224" i="5"/>
  <c r="BO223" i="5"/>
  <c r="AR223" i="5"/>
  <c r="T223" i="5"/>
  <c r="BV222" i="5"/>
  <c r="AZ222" i="5"/>
  <c r="AB222" i="5"/>
  <c r="D222" i="5"/>
  <c r="BF221" i="5"/>
  <c r="AH221" i="5"/>
  <c r="J221" i="5"/>
  <c r="BL220" i="5"/>
  <c r="AO220" i="5"/>
  <c r="Q220" i="5"/>
  <c r="BS219" i="5"/>
  <c r="AW219" i="5"/>
  <c r="Y219" i="5"/>
  <c r="CA218" i="5"/>
  <c r="BC218" i="5"/>
  <c r="AE218" i="5"/>
  <c r="G218" i="5"/>
  <c r="BI217" i="5"/>
  <c r="AP217" i="5"/>
  <c r="R217" i="5"/>
  <c r="BT216" i="5"/>
  <c r="AV216" i="5"/>
  <c r="X216" i="5"/>
  <c r="BY215" i="5"/>
  <c r="AU215" i="5"/>
  <c r="H215" i="5"/>
  <c r="AO214" i="5"/>
  <c r="BS213" i="5"/>
  <c r="W213" i="5"/>
  <c r="BA212" i="5"/>
  <c r="K212" i="5"/>
  <c r="AO211" i="5"/>
  <c r="BS210" i="5"/>
  <c r="X210" i="5"/>
  <c r="BB209" i="5"/>
  <c r="G209" i="5"/>
  <c r="AL208" i="5"/>
  <c r="BP207" i="5"/>
  <c r="W207" i="5"/>
  <c r="AQ206" i="5"/>
  <c r="BM205" i="5"/>
  <c r="J205" i="5"/>
  <c r="T204" i="5"/>
  <c r="U203" i="5"/>
  <c r="F202" i="5"/>
  <c r="L201" i="5"/>
  <c r="H200" i="5"/>
  <c r="BV198" i="5"/>
  <c r="BE197" i="5"/>
  <c r="AH196" i="5"/>
  <c r="H195" i="5"/>
  <c r="BA193" i="5"/>
  <c r="BC191" i="5"/>
  <c r="AQ189" i="5"/>
  <c r="AO184" i="5"/>
  <c r="BU180" i="5"/>
  <c r="BM170" i="5"/>
  <c r="BD235" i="5"/>
  <c r="AR235" i="5"/>
  <c r="AF235" i="5"/>
  <c r="T235" i="5"/>
  <c r="H235" i="5"/>
  <c r="BV234" i="5"/>
  <c r="BJ234" i="5"/>
  <c r="AX234" i="5"/>
  <c r="AL234" i="5"/>
  <c r="Z234" i="5"/>
  <c r="N234" i="5"/>
  <c r="B234" i="5"/>
  <c r="BP233" i="5"/>
  <c r="BD233" i="5"/>
  <c r="AR233" i="5"/>
  <c r="AF233" i="5"/>
  <c r="T233" i="5"/>
  <c r="H233" i="5"/>
  <c r="BV232" i="5"/>
  <c r="BJ232" i="5"/>
  <c r="AX232" i="5"/>
  <c r="AL232" i="5"/>
  <c r="Z232" i="5"/>
  <c r="N232" i="5"/>
  <c r="B232" i="5"/>
  <c r="BP231" i="5"/>
  <c r="BD231" i="5"/>
  <c r="AR231" i="5"/>
  <c r="AF231" i="5"/>
  <c r="T231" i="5"/>
  <c r="H231" i="5"/>
  <c r="BV230" i="5"/>
  <c r="BJ230" i="5"/>
  <c r="AX230" i="5"/>
  <c r="AL230" i="5"/>
  <c r="Z230" i="5"/>
  <c r="N230" i="5"/>
  <c r="B230" i="5"/>
  <c r="BP229" i="5"/>
  <c r="BD229" i="5"/>
  <c r="AR229" i="5"/>
  <c r="AF229" i="5"/>
  <c r="T229" i="5"/>
  <c r="H229" i="5"/>
  <c r="BV228" i="5"/>
  <c r="AX228" i="5"/>
  <c r="AL228" i="5"/>
  <c r="Z228" i="5"/>
  <c r="N228" i="5"/>
  <c r="B228" i="5"/>
  <c r="BP227" i="5"/>
  <c r="BC227" i="5"/>
  <c r="AP227" i="5"/>
  <c r="AC227" i="5"/>
  <c r="M227" i="5"/>
  <c r="BY226" i="5"/>
  <c r="BJ226" i="5"/>
  <c r="AT226" i="5"/>
  <c r="AC226" i="5"/>
  <c r="N226" i="5"/>
  <c r="BX225" i="5"/>
  <c r="AQ225" i="5"/>
  <c r="U225" i="5"/>
  <c r="BY224" i="5"/>
  <c r="AJ224" i="5"/>
  <c r="L224" i="5"/>
  <c r="BN223" i="5"/>
  <c r="AQ223" i="5"/>
  <c r="S223" i="5"/>
  <c r="BU222" i="5"/>
  <c r="AX222" i="5"/>
  <c r="Z222" i="5"/>
  <c r="B222" i="5"/>
  <c r="BD221" i="5"/>
  <c r="AF221" i="5"/>
  <c r="H221" i="5"/>
  <c r="BJ220" i="5"/>
  <c r="AN220" i="5"/>
  <c r="P220" i="5"/>
  <c r="BR219" i="5"/>
  <c r="AU219" i="5"/>
  <c r="W219" i="5"/>
  <c r="BY218" i="5"/>
  <c r="BA218" i="5"/>
  <c r="AC218" i="5"/>
  <c r="E218" i="5"/>
  <c r="BG217" i="5"/>
  <c r="AK217" i="5"/>
  <c r="M217" i="5"/>
  <c r="BO216" i="5"/>
  <c r="AQ216" i="5"/>
  <c r="S216" i="5"/>
  <c r="BR215" i="5"/>
  <c r="AP215" i="5"/>
  <c r="BY214" i="5"/>
  <c r="AM214" i="5"/>
  <c r="BQ213" i="5"/>
  <c r="U213" i="5"/>
  <c r="AY212" i="5"/>
  <c r="E212" i="5"/>
  <c r="AI211" i="5"/>
  <c r="BM210" i="5"/>
  <c r="W210" i="5"/>
  <c r="BA209" i="5"/>
  <c r="F209" i="5"/>
  <c r="AK208" i="5"/>
  <c r="BO207" i="5"/>
  <c r="T207" i="5"/>
  <c r="BH205" i="5"/>
  <c r="BY204" i="5"/>
  <c r="R204" i="5"/>
  <c r="N203" i="5"/>
  <c r="C202" i="5"/>
  <c r="BZ200" i="5"/>
  <c r="BV199" i="5"/>
  <c r="BP198" i="5"/>
  <c r="BD197" i="5"/>
  <c r="AG196" i="5"/>
  <c r="BV194" i="5"/>
  <c r="AE191" i="5"/>
  <c r="AE189" i="5"/>
  <c r="BX186" i="5"/>
  <c r="Y180" i="5"/>
  <c r="BN176" i="5"/>
  <c r="AT173" i="5"/>
  <c r="Q170" i="5"/>
  <c r="G235" i="5"/>
  <c r="BU234" i="5"/>
  <c r="BI234" i="5"/>
  <c r="AW234" i="5"/>
  <c r="AK234" i="5"/>
  <c r="Y234" i="5"/>
  <c r="M234" i="5"/>
  <c r="CA233" i="5"/>
  <c r="BC233" i="5"/>
  <c r="AQ233" i="5"/>
  <c r="AE233" i="5"/>
  <c r="S233" i="5"/>
  <c r="G233" i="5"/>
  <c r="BU232" i="5"/>
  <c r="BI232" i="5"/>
  <c r="AW232" i="5"/>
  <c r="AK232" i="5"/>
  <c r="Y232" i="5"/>
  <c r="M232" i="5"/>
  <c r="CA231" i="5"/>
  <c r="BO231" i="5"/>
  <c r="BC231" i="5"/>
  <c r="AQ231" i="5"/>
  <c r="AE231" i="5"/>
  <c r="S231" i="5"/>
  <c r="G231" i="5"/>
  <c r="BU230" i="5"/>
  <c r="BI230" i="5"/>
  <c r="AW230" i="5"/>
  <c r="AK230" i="5"/>
  <c r="Y230" i="5"/>
  <c r="M230" i="5"/>
  <c r="CA229" i="5"/>
  <c r="BO229" i="5"/>
  <c r="BC229" i="5"/>
  <c r="AQ229" i="5"/>
  <c r="AE229" i="5"/>
  <c r="S229" i="5"/>
  <c r="G229" i="5"/>
  <c r="BU228" i="5"/>
  <c r="BI228" i="5"/>
  <c r="AW228" i="5"/>
  <c r="AK228" i="5"/>
  <c r="Y228" i="5"/>
  <c r="M228" i="5"/>
  <c r="CA227" i="5"/>
  <c r="BO227" i="5"/>
  <c r="BB227" i="5"/>
  <c r="AO227" i="5"/>
  <c r="AB227" i="5"/>
  <c r="L227" i="5"/>
  <c r="BX226" i="5"/>
  <c r="BI226" i="5"/>
  <c r="AQ226" i="5"/>
  <c r="AB226" i="5"/>
  <c r="M226" i="5"/>
  <c r="BU225" i="5"/>
  <c r="BF225" i="5"/>
  <c r="AP225" i="5"/>
  <c r="T225" i="5"/>
  <c r="BX224" i="5"/>
  <c r="BC224" i="5"/>
  <c r="AE224" i="5"/>
  <c r="G224" i="5"/>
  <c r="BI223" i="5"/>
  <c r="AP223" i="5"/>
  <c r="R223" i="5"/>
  <c r="BT222" i="5"/>
  <c r="AW222" i="5"/>
  <c r="Y222" i="5"/>
  <c r="CA221" i="5"/>
  <c r="AE221" i="5"/>
  <c r="G221" i="5"/>
  <c r="BI220" i="5"/>
  <c r="AL220" i="5"/>
  <c r="N220" i="5"/>
  <c r="BP219" i="5"/>
  <c r="AT219" i="5"/>
  <c r="V219" i="5"/>
  <c r="BX218" i="5"/>
  <c r="AB218" i="5"/>
  <c r="D218" i="5"/>
  <c r="BF217" i="5"/>
  <c r="AI217" i="5"/>
  <c r="K217" i="5"/>
  <c r="BM216" i="5"/>
  <c r="AO216" i="5"/>
  <c r="Q216" i="5"/>
  <c r="BP215" i="5"/>
  <c r="AN215" i="5"/>
  <c r="BV214" i="5"/>
  <c r="AC214" i="5"/>
  <c r="BG213" i="5"/>
  <c r="K213" i="5"/>
  <c r="BY211" i="5"/>
  <c r="AC211" i="5"/>
  <c r="BG210" i="5"/>
  <c r="L210" i="5"/>
  <c r="E209" i="5"/>
  <c r="AJ208" i="5"/>
  <c r="BN207" i="5"/>
  <c r="S207" i="5"/>
  <c r="AM206" i="5"/>
  <c r="BG205" i="5"/>
  <c r="BX204" i="5"/>
  <c r="F204" i="5"/>
  <c r="L203" i="5"/>
  <c r="B202" i="5"/>
  <c r="BL200" i="5"/>
  <c r="BJ199" i="5"/>
  <c r="AX198" i="5"/>
  <c r="AG197" i="5"/>
  <c r="BU194" i="5"/>
  <c r="W193" i="5"/>
  <c r="AD191" i="5"/>
  <c r="BL186" i="5"/>
  <c r="AU183" i="5"/>
  <c r="Q180" i="5"/>
  <c r="AZ176" i="5"/>
  <c r="U173" i="5"/>
  <c r="M170" i="5"/>
  <c r="AJ225" i="5"/>
  <c r="X225" i="5"/>
  <c r="L225" i="5"/>
  <c r="BZ224" i="5"/>
  <c r="BN224" i="5"/>
  <c r="BB224" i="5"/>
  <c r="AP224" i="5"/>
  <c r="AD224" i="5"/>
  <c r="R224" i="5"/>
  <c r="F224" i="5"/>
  <c r="BT223" i="5"/>
  <c r="BH223" i="5"/>
  <c r="AV223" i="5"/>
  <c r="AJ223" i="5"/>
  <c r="X223" i="5"/>
  <c r="L223" i="5"/>
  <c r="BZ222" i="5"/>
  <c r="BN222" i="5"/>
  <c r="BB222" i="5"/>
  <c r="AP222" i="5"/>
  <c r="AD222" i="5"/>
  <c r="R222" i="5"/>
  <c r="F222" i="5"/>
  <c r="BT221" i="5"/>
  <c r="BH221" i="5"/>
  <c r="AV221" i="5"/>
  <c r="AJ221" i="5"/>
  <c r="X221" i="5"/>
  <c r="L221" i="5"/>
  <c r="BZ220" i="5"/>
  <c r="BN220" i="5"/>
  <c r="AP220" i="5"/>
  <c r="AD220" i="5"/>
  <c r="R220" i="5"/>
  <c r="F220" i="5"/>
  <c r="BT219" i="5"/>
  <c r="BH219" i="5"/>
  <c r="AV219" i="5"/>
  <c r="AJ219" i="5"/>
  <c r="X219" i="5"/>
  <c r="L219" i="5"/>
  <c r="BZ218" i="5"/>
  <c r="BN218" i="5"/>
  <c r="BB218" i="5"/>
  <c r="AP218" i="5"/>
  <c r="AD218" i="5"/>
  <c r="R218" i="5"/>
  <c r="F218" i="5"/>
  <c r="BT217" i="5"/>
  <c r="BH217" i="5"/>
  <c r="AV217" i="5"/>
  <c r="AJ217" i="5"/>
  <c r="X217" i="5"/>
  <c r="L217" i="5"/>
  <c r="BZ216" i="5"/>
  <c r="BN216" i="5"/>
  <c r="BB216" i="5"/>
  <c r="AP216" i="5"/>
  <c r="AD216" i="5"/>
  <c r="R216" i="5"/>
  <c r="E216" i="5"/>
  <c r="BQ215" i="5"/>
  <c r="BC215" i="5"/>
  <c r="AO215" i="5"/>
  <c r="S215" i="5"/>
  <c r="BW214" i="5"/>
  <c r="AY214" i="5"/>
  <c r="AA214" i="5"/>
  <c r="C214" i="5"/>
  <c r="BE213" i="5"/>
  <c r="AG213" i="5"/>
  <c r="I213" i="5"/>
  <c r="BK212" i="5"/>
  <c r="AO212" i="5"/>
  <c r="Q212" i="5"/>
  <c r="BS211" i="5"/>
  <c r="AU211" i="5"/>
  <c r="W211" i="5"/>
  <c r="BY210" i="5"/>
  <c r="BA210" i="5"/>
  <c r="AI210" i="5"/>
  <c r="K210" i="5"/>
  <c r="BM209" i="5"/>
  <c r="AO209" i="5"/>
  <c r="Q209" i="5"/>
  <c r="BS208" i="5"/>
  <c r="AU208" i="5"/>
  <c r="X208" i="5"/>
  <c r="BZ207" i="5"/>
  <c r="BB207" i="5"/>
  <c r="AD207" i="5"/>
  <c r="B207" i="5"/>
  <c r="AZ206" i="5"/>
  <c r="X206" i="5"/>
  <c r="BT205" i="5"/>
  <c r="AQ205" i="5"/>
  <c r="L205" i="5"/>
  <c r="BH204" i="5"/>
  <c r="Y204" i="5"/>
  <c r="BG203" i="5"/>
  <c r="T203" i="5"/>
  <c r="AX202" i="5"/>
  <c r="D202" i="5"/>
  <c r="BN200" i="5"/>
  <c r="T200" i="5"/>
  <c r="AX199" i="5"/>
  <c r="N199" i="5"/>
  <c r="AR198" i="5"/>
  <c r="BV197" i="5"/>
  <c r="AF197" i="5"/>
  <c r="BG196" i="5"/>
  <c r="E196" i="5"/>
  <c r="X195" i="5"/>
  <c r="AM194" i="5"/>
  <c r="BC193" i="5"/>
  <c r="BI192" i="5"/>
  <c r="BF191" i="5"/>
  <c r="BI190" i="5"/>
  <c r="AR189" i="5"/>
  <c r="W188" i="5"/>
  <c r="BU186" i="5"/>
  <c r="R183" i="5"/>
  <c r="AG181" i="5"/>
  <c r="L177" i="5"/>
  <c r="AI175" i="5"/>
  <c r="AS173" i="5"/>
  <c r="X171" i="5"/>
  <c r="BK224" i="5"/>
  <c r="AY224" i="5"/>
  <c r="AM224" i="5"/>
  <c r="AA224" i="5"/>
  <c r="O224" i="5"/>
  <c r="C224" i="5"/>
  <c r="BQ223" i="5"/>
  <c r="AS223" i="5"/>
  <c r="AG223" i="5"/>
  <c r="U223" i="5"/>
  <c r="I223" i="5"/>
  <c r="BW222" i="5"/>
  <c r="BK222" i="5"/>
  <c r="AY222" i="5"/>
  <c r="AM222" i="5"/>
  <c r="AA222" i="5"/>
  <c r="O222" i="5"/>
  <c r="C222" i="5"/>
  <c r="BQ221" i="5"/>
  <c r="BE221" i="5"/>
  <c r="AS221" i="5"/>
  <c r="AG221" i="5"/>
  <c r="U221" i="5"/>
  <c r="I221" i="5"/>
  <c r="BW220" i="5"/>
  <c r="BK220" i="5"/>
  <c r="AY220" i="5"/>
  <c r="AM220" i="5"/>
  <c r="AA220" i="5"/>
  <c r="O220" i="5"/>
  <c r="C220" i="5"/>
  <c r="BQ219" i="5"/>
  <c r="BE219" i="5"/>
  <c r="AS219" i="5"/>
  <c r="AG219" i="5"/>
  <c r="U219" i="5"/>
  <c r="I219" i="5"/>
  <c r="BW218" i="5"/>
  <c r="BK218" i="5"/>
  <c r="AY218" i="5"/>
  <c r="AM218" i="5"/>
  <c r="AA218" i="5"/>
  <c r="O218" i="5"/>
  <c r="C218" i="5"/>
  <c r="BQ217" i="5"/>
  <c r="BE217" i="5"/>
  <c r="AS217" i="5"/>
  <c r="AG217" i="5"/>
  <c r="U217" i="5"/>
  <c r="I217" i="5"/>
  <c r="BW216" i="5"/>
  <c r="BK216" i="5"/>
  <c r="AY216" i="5"/>
  <c r="AM216" i="5"/>
  <c r="AA216" i="5"/>
  <c r="O216" i="5"/>
  <c r="B216" i="5"/>
  <c r="BN215" i="5"/>
  <c r="AZ215" i="5"/>
  <c r="AG215" i="5"/>
  <c r="P215" i="5"/>
  <c r="BT214" i="5"/>
  <c r="X214" i="5"/>
  <c r="BZ213" i="5"/>
  <c r="BB213" i="5"/>
  <c r="AD213" i="5"/>
  <c r="F213" i="5"/>
  <c r="BH212" i="5"/>
  <c r="AK212" i="5"/>
  <c r="M212" i="5"/>
  <c r="BO211" i="5"/>
  <c r="AQ211" i="5"/>
  <c r="S211" i="5"/>
  <c r="BU210" i="5"/>
  <c r="AW210" i="5"/>
  <c r="Z210" i="5"/>
  <c r="B210" i="5"/>
  <c r="BD209" i="5"/>
  <c r="AF209" i="5"/>
  <c r="H209" i="5"/>
  <c r="BJ208" i="5"/>
  <c r="AM208" i="5"/>
  <c r="O208" i="5"/>
  <c r="BQ207" i="5"/>
  <c r="AS207" i="5"/>
  <c r="U207" i="5"/>
  <c r="BS206" i="5"/>
  <c r="AO206" i="5"/>
  <c r="M206" i="5"/>
  <c r="BI205" i="5"/>
  <c r="AH205" i="5"/>
  <c r="CA204" i="5"/>
  <c r="AW204" i="5"/>
  <c r="Q204" i="5"/>
  <c r="BD203" i="5"/>
  <c r="K203" i="5"/>
  <c r="AO202" i="5"/>
  <c r="BV201" i="5"/>
  <c r="AF201" i="5"/>
  <c r="BJ200" i="5"/>
  <c r="O200" i="5"/>
  <c r="AS199" i="5"/>
  <c r="BX198" i="5"/>
  <c r="AB198" i="5"/>
  <c r="BG197" i="5"/>
  <c r="J197" i="5"/>
  <c r="AJ196" i="5"/>
  <c r="BG195" i="5"/>
  <c r="BX194" i="5"/>
  <c r="W194" i="5"/>
  <c r="AG193" i="5"/>
  <c r="AK192" i="5"/>
  <c r="AG191" i="5"/>
  <c r="E188" i="5"/>
  <c r="BI186" i="5"/>
  <c r="L185" i="5"/>
  <c r="L183" i="5"/>
  <c r="I181" i="5"/>
  <c r="BZ178" i="5"/>
  <c r="BL176" i="5"/>
  <c r="BM174" i="5"/>
  <c r="L173" i="5"/>
  <c r="BS226" i="5"/>
  <c r="BG226" i="5"/>
  <c r="AU226" i="5"/>
  <c r="AI226" i="5"/>
  <c r="W226" i="5"/>
  <c r="K226" i="5"/>
  <c r="BY225" i="5"/>
  <c r="BM225" i="5"/>
  <c r="BA225" i="5"/>
  <c r="AO225" i="5"/>
  <c r="AC225" i="5"/>
  <c r="Q225" i="5"/>
  <c r="E225" i="5"/>
  <c r="BS224" i="5"/>
  <c r="BG224" i="5"/>
  <c r="AU224" i="5"/>
  <c r="AI224" i="5"/>
  <c r="W224" i="5"/>
  <c r="K224" i="5"/>
  <c r="BY223" i="5"/>
  <c r="BM223" i="5"/>
  <c r="BA223" i="5"/>
  <c r="AO223" i="5"/>
  <c r="AC223" i="5"/>
  <c r="Q223" i="5"/>
  <c r="E223" i="5"/>
  <c r="BS222" i="5"/>
  <c r="BG222" i="5"/>
  <c r="AU222" i="5"/>
  <c r="AI222" i="5"/>
  <c r="W222" i="5"/>
  <c r="K222" i="5"/>
  <c r="BY221" i="5"/>
  <c r="BM221" i="5"/>
  <c r="BA221" i="5"/>
  <c r="AO221" i="5"/>
  <c r="AC221" i="5"/>
  <c r="Q221" i="5"/>
  <c r="E221" i="5"/>
  <c r="BS220" i="5"/>
  <c r="BG220" i="5"/>
  <c r="AU220" i="5"/>
  <c r="AI220" i="5"/>
  <c r="W220" i="5"/>
  <c r="K220" i="5"/>
  <c r="BY219" i="5"/>
  <c r="BM219" i="5"/>
  <c r="AO219" i="5"/>
  <c r="AC219" i="5"/>
  <c r="Q219" i="5"/>
  <c r="E219" i="5"/>
  <c r="BS218" i="5"/>
  <c r="BG218" i="5"/>
  <c r="AU218" i="5"/>
  <c r="AI218" i="5"/>
  <c r="W218" i="5"/>
  <c r="K218" i="5"/>
  <c r="BY217" i="5"/>
  <c r="BM217" i="5"/>
  <c r="BA217" i="5"/>
  <c r="AO217" i="5"/>
  <c r="AC217" i="5"/>
  <c r="Q217" i="5"/>
  <c r="E217" i="5"/>
  <c r="BS216" i="5"/>
  <c r="BG216" i="5"/>
  <c r="AU216" i="5"/>
  <c r="AI216" i="5"/>
  <c r="W216" i="5"/>
  <c r="K216" i="5"/>
  <c r="BX215" i="5"/>
  <c r="BJ215" i="5"/>
  <c r="AT215" i="5"/>
  <c r="AC215" i="5"/>
  <c r="G215" i="5"/>
  <c r="BJ214" i="5"/>
  <c r="AL214" i="5"/>
  <c r="N214" i="5"/>
  <c r="BP213" i="5"/>
  <c r="AR213" i="5"/>
  <c r="T213" i="5"/>
  <c r="BV212" i="5"/>
  <c r="AX212" i="5"/>
  <c r="AA212" i="5"/>
  <c r="C212" i="5"/>
  <c r="BE211" i="5"/>
  <c r="AG211" i="5"/>
  <c r="I211" i="5"/>
  <c r="BK210" i="5"/>
  <c r="AO210" i="5"/>
  <c r="Q210" i="5"/>
  <c r="BS209" i="5"/>
  <c r="AU209" i="5"/>
  <c r="W209" i="5"/>
  <c r="BY208" i="5"/>
  <c r="BA208" i="5"/>
  <c r="AI208" i="5"/>
  <c r="K208" i="5"/>
  <c r="BM207" i="5"/>
  <c r="Q207" i="5"/>
  <c r="BM206" i="5"/>
  <c r="AK206" i="5"/>
  <c r="G206" i="5"/>
  <c r="BE205" i="5"/>
  <c r="Z205" i="5"/>
  <c r="BV204" i="5"/>
  <c r="AN204" i="5"/>
  <c r="B204" i="5"/>
  <c r="BP202" i="5"/>
  <c r="AA202" i="5"/>
  <c r="BE201" i="5"/>
  <c r="J201" i="5"/>
  <c r="AN200" i="5"/>
  <c r="BS199" i="5"/>
  <c r="Z199" i="5"/>
  <c r="BD198" i="5"/>
  <c r="H198" i="5"/>
  <c r="AR197" i="5"/>
  <c r="BT196" i="5"/>
  <c r="BB195" i="5"/>
  <c r="BS194" i="5"/>
  <c r="F194" i="5"/>
  <c r="T193" i="5"/>
  <c r="R192" i="5"/>
  <c r="S191" i="5"/>
  <c r="M190" i="5"/>
  <c r="BW188" i="5"/>
  <c r="AP187" i="5"/>
  <c r="G186" i="5"/>
  <c r="P184" i="5"/>
  <c r="S182" i="5"/>
  <c r="P180" i="5"/>
  <c r="D178" i="5"/>
  <c r="AC174" i="5"/>
  <c r="AB172" i="5"/>
  <c r="G170" i="5"/>
  <c r="AZ225" i="5"/>
  <c r="AN225" i="5"/>
  <c r="AB225" i="5"/>
  <c r="P225" i="5"/>
  <c r="D225" i="5"/>
  <c r="BR224" i="5"/>
  <c r="AT224" i="5"/>
  <c r="AH224" i="5"/>
  <c r="V224" i="5"/>
  <c r="J224" i="5"/>
  <c r="BX223" i="5"/>
  <c r="BL223" i="5"/>
  <c r="AZ223" i="5"/>
  <c r="AN223" i="5"/>
  <c r="AB223" i="5"/>
  <c r="P223" i="5"/>
  <c r="D223" i="5"/>
  <c r="BR222" i="5"/>
  <c r="BF222" i="5"/>
  <c r="AT222" i="5"/>
  <c r="AH222" i="5"/>
  <c r="V222" i="5"/>
  <c r="J222" i="5"/>
  <c r="BX221" i="5"/>
  <c r="BL221" i="5"/>
  <c r="AZ221" i="5"/>
  <c r="AN221" i="5"/>
  <c r="AB221" i="5"/>
  <c r="P221" i="5"/>
  <c r="D221" i="5"/>
  <c r="BR220" i="5"/>
  <c r="BF220" i="5"/>
  <c r="AT220" i="5"/>
  <c r="AH220" i="5"/>
  <c r="V220" i="5"/>
  <c r="J220" i="5"/>
  <c r="BX219" i="5"/>
  <c r="BL219" i="5"/>
  <c r="AZ219" i="5"/>
  <c r="AN219" i="5"/>
  <c r="AB219" i="5"/>
  <c r="P219" i="5"/>
  <c r="D219" i="5"/>
  <c r="BR218" i="5"/>
  <c r="BF218" i="5"/>
  <c r="AT218" i="5"/>
  <c r="AH218" i="5"/>
  <c r="V218" i="5"/>
  <c r="J218" i="5"/>
  <c r="BX217" i="5"/>
  <c r="BL217" i="5"/>
  <c r="AZ217" i="5"/>
  <c r="AN217" i="5"/>
  <c r="AB217" i="5"/>
  <c r="P217" i="5"/>
  <c r="D217" i="5"/>
  <c r="BR216" i="5"/>
  <c r="BF216" i="5"/>
  <c r="AT216" i="5"/>
  <c r="AH216" i="5"/>
  <c r="V216" i="5"/>
  <c r="J216" i="5"/>
  <c r="BW215" i="5"/>
  <c r="BG215" i="5"/>
  <c r="AS215" i="5"/>
  <c r="AB215" i="5"/>
  <c r="F215" i="5"/>
  <c r="BI214" i="5"/>
  <c r="AK214" i="5"/>
  <c r="M214" i="5"/>
  <c r="BO213" i="5"/>
  <c r="AQ213" i="5"/>
  <c r="S213" i="5"/>
  <c r="BU212" i="5"/>
  <c r="AW212" i="5"/>
  <c r="Z212" i="5"/>
  <c r="B212" i="5"/>
  <c r="BD211" i="5"/>
  <c r="AF211" i="5"/>
  <c r="H211" i="5"/>
  <c r="BJ210" i="5"/>
  <c r="AM210" i="5"/>
  <c r="O210" i="5"/>
  <c r="BQ209" i="5"/>
  <c r="AS209" i="5"/>
  <c r="U209" i="5"/>
  <c r="BW208" i="5"/>
  <c r="AY208" i="5"/>
  <c r="AC208" i="5"/>
  <c r="E208" i="5"/>
  <c r="BG207" i="5"/>
  <c r="AI207" i="5"/>
  <c r="I207" i="5"/>
  <c r="BG206" i="5"/>
  <c r="AC206" i="5"/>
  <c r="CA205" i="5"/>
  <c r="AV205" i="5"/>
  <c r="Y205" i="5"/>
  <c r="BU204" i="5"/>
  <c r="AM204" i="5"/>
  <c r="CA203" i="5"/>
  <c r="AJ203" i="5"/>
  <c r="BN202" i="5"/>
  <c r="Z202" i="5"/>
  <c r="BD201" i="5"/>
  <c r="I201" i="5"/>
  <c r="AM200" i="5"/>
  <c r="BR199" i="5"/>
  <c r="W199" i="5"/>
  <c r="BA198" i="5"/>
  <c r="E198" i="5"/>
  <c r="AJ197" i="5"/>
  <c r="BK196" i="5"/>
  <c r="R196" i="5"/>
  <c r="AN195" i="5"/>
  <c r="BA194" i="5"/>
  <c r="E194" i="5"/>
  <c r="S193" i="5"/>
  <c r="P192" i="5"/>
  <c r="L191" i="5"/>
  <c r="CA189" i="5"/>
  <c r="BV188" i="5"/>
  <c r="AO187" i="5"/>
  <c r="F186" i="5"/>
  <c r="O184" i="5"/>
  <c r="O180" i="5"/>
  <c r="BR177" i="5"/>
  <c r="C176" i="5"/>
  <c r="Q174" i="5"/>
  <c r="BK227" i="5"/>
  <c r="AY227" i="5"/>
  <c r="AM227" i="5"/>
  <c r="AA227" i="5"/>
  <c r="O227" i="5"/>
  <c r="C227" i="5"/>
  <c r="BQ226" i="5"/>
  <c r="BE226" i="5"/>
  <c r="AS226" i="5"/>
  <c r="AG226" i="5"/>
  <c r="U226" i="5"/>
  <c r="I226" i="5"/>
  <c r="BW225" i="5"/>
  <c r="BK225" i="5"/>
  <c r="AY225" i="5"/>
  <c r="AM225" i="5"/>
  <c r="AA225" i="5"/>
  <c r="O225" i="5"/>
  <c r="C225" i="5"/>
  <c r="BQ224" i="5"/>
  <c r="BE224" i="5"/>
  <c r="AS224" i="5"/>
  <c r="AG224" i="5"/>
  <c r="U224" i="5"/>
  <c r="I224" i="5"/>
  <c r="BW223" i="5"/>
  <c r="BK223" i="5"/>
  <c r="AY223" i="5"/>
  <c r="AM223" i="5"/>
  <c r="AA223" i="5"/>
  <c r="O223" i="5"/>
  <c r="C223" i="5"/>
  <c r="BQ222" i="5"/>
  <c r="BE222" i="5"/>
  <c r="AS222" i="5"/>
  <c r="AG222" i="5"/>
  <c r="U222" i="5"/>
  <c r="I222" i="5"/>
  <c r="BW221" i="5"/>
  <c r="BK221" i="5"/>
  <c r="AY221" i="5"/>
  <c r="AM221" i="5"/>
  <c r="AA221" i="5"/>
  <c r="O221" i="5"/>
  <c r="C221" i="5"/>
  <c r="BQ220" i="5"/>
  <c r="BE220" i="5"/>
  <c r="AS220" i="5"/>
  <c r="AG220" i="5"/>
  <c r="U220" i="5"/>
  <c r="I220" i="5"/>
  <c r="BW219" i="5"/>
  <c r="BK219" i="5"/>
  <c r="AY219" i="5"/>
  <c r="AM219" i="5"/>
  <c r="AA219" i="5"/>
  <c r="O219" i="5"/>
  <c r="C219" i="5"/>
  <c r="BQ218" i="5"/>
  <c r="BE218" i="5"/>
  <c r="AS218" i="5"/>
  <c r="AG218" i="5"/>
  <c r="U218" i="5"/>
  <c r="I218" i="5"/>
  <c r="BW217" i="5"/>
  <c r="BK217" i="5"/>
  <c r="AM217" i="5"/>
  <c r="AA217" i="5"/>
  <c r="O217" i="5"/>
  <c r="C217" i="5"/>
  <c r="BQ216" i="5"/>
  <c r="BE216" i="5"/>
  <c r="AS216" i="5"/>
  <c r="AG216" i="5"/>
  <c r="U216" i="5"/>
  <c r="I216" i="5"/>
  <c r="BV215" i="5"/>
  <c r="BF215" i="5"/>
  <c r="AR215" i="5"/>
  <c r="W215" i="5"/>
  <c r="E215" i="5"/>
  <c r="BH214" i="5"/>
  <c r="AJ214" i="5"/>
  <c r="L214" i="5"/>
  <c r="BN213" i="5"/>
  <c r="AP213" i="5"/>
  <c r="R213" i="5"/>
  <c r="BT212" i="5"/>
  <c r="AV212" i="5"/>
  <c r="Y212" i="5"/>
  <c r="CA211" i="5"/>
  <c r="BC211" i="5"/>
  <c r="AE211" i="5"/>
  <c r="G211" i="5"/>
  <c r="BI210" i="5"/>
  <c r="AL210" i="5"/>
  <c r="N210" i="5"/>
  <c r="BP209" i="5"/>
  <c r="AR209" i="5"/>
  <c r="T209" i="5"/>
  <c r="BV208" i="5"/>
  <c r="AX208" i="5"/>
  <c r="AA208" i="5"/>
  <c r="C208" i="5"/>
  <c r="BE207" i="5"/>
  <c r="AG207" i="5"/>
  <c r="G207" i="5"/>
  <c r="BC206" i="5"/>
  <c r="AA206" i="5"/>
  <c r="BY205" i="5"/>
  <c r="AT205" i="5"/>
  <c r="S205" i="5"/>
  <c r="BL204" i="5"/>
  <c r="BV203" i="5"/>
  <c r="AI203" i="5"/>
  <c r="BM202" i="5"/>
  <c r="T202" i="5"/>
  <c r="AX201" i="5"/>
  <c r="H201" i="5"/>
  <c r="AL200" i="5"/>
  <c r="BQ199" i="5"/>
  <c r="V199" i="5"/>
  <c r="AZ198" i="5"/>
  <c r="D198" i="5"/>
  <c r="AI197" i="5"/>
  <c r="BJ196" i="5"/>
  <c r="K196" i="5"/>
  <c r="AE195" i="5"/>
  <c r="AT194" i="5"/>
  <c r="BP193" i="5"/>
  <c r="BX192" i="5"/>
  <c r="BY191" i="5"/>
  <c r="BN190" i="5"/>
  <c r="BC189" i="5"/>
  <c r="BJ188" i="5"/>
  <c r="Y187" i="5"/>
  <c r="BZ185" i="5"/>
  <c r="M184" i="5"/>
  <c r="G182" i="5"/>
  <c r="BO177" i="5"/>
  <c r="BC175" i="5"/>
  <c r="D172" i="5"/>
  <c r="BU169" i="5"/>
  <c r="Z227" i="5"/>
  <c r="N227" i="5"/>
  <c r="B227" i="5"/>
  <c r="BP226" i="5"/>
  <c r="BD226" i="5"/>
  <c r="AR226" i="5"/>
  <c r="AF226" i="5"/>
  <c r="T226" i="5"/>
  <c r="H226" i="5"/>
  <c r="BV225" i="5"/>
  <c r="BJ225" i="5"/>
  <c r="AX225" i="5"/>
  <c r="AL225" i="5"/>
  <c r="Z225" i="5"/>
  <c r="N225" i="5"/>
  <c r="B225" i="5"/>
  <c r="BP224" i="5"/>
  <c r="BD224" i="5"/>
  <c r="AR224" i="5"/>
  <c r="AF224" i="5"/>
  <c r="T224" i="5"/>
  <c r="H224" i="5"/>
  <c r="BV223" i="5"/>
  <c r="BJ223" i="5"/>
  <c r="AX223" i="5"/>
  <c r="AL223" i="5"/>
  <c r="Z223" i="5"/>
  <c r="N223" i="5"/>
  <c r="B223" i="5"/>
  <c r="BP222" i="5"/>
  <c r="AR222" i="5"/>
  <c r="AF222" i="5"/>
  <c r="T222" i="5"/>
  <c r="H222" i="5"/>
  <c r="BV221" i="5"/>
  <c r="BJ221" i="5"/>
  <c r="AX221" i="5"/>
  <c r="AL221" i="5"/>
  <c r="Z221" i="5"/>
  <c r="N221" i="5"/>
  <c r="B221" i="5"/>
  <c r="BP220" i="5"/>
  <c r="BD220" i="5"/>
  <c r="AR220" i="5"/>
  <c r="AF220" i="5"/>
  <c r="T220" i="5"/>
  <c r="H220" i="5"/>
  <c r="BV219" i="5"/>
  <c r="BJ219" i="5"/>
  <c r="AX219" i="5"/>
  <c r="AL219" i="5"/>
  <c r="Z219" i="5"/>
  <c r="N219" i="5"/>
  <c r="B219" i="5"/>
  <c r="BP218" i="5"/>
  <c r="BD218" i="5"/>
  <c r="AR218" i="5"/>
  <c r="AF218" i="5"/>
  <c r="T218" i="5"/>
  <c r="H218" i="5"/>
  <c r="BV217" i="5"/>
  <c r="BJ217" i="5"/>
  <c r="AX217" i="5"/>
  <c r="AL217" i="5"/>
  <c r="Z217" i="5"/>
  <c r="N217" i="5"/>
  <c r="B217" i="5"/>
  <c r="BP216" i="5"/>
  <c r="BD216" i="5"/>
  <c r="AR216" i="5"/>
  <c r="AF216" i="5"/>
  <c r="T216" i="5"/>
  <c r="H216" i="5"/>
  <c r="BS215" i="5"/>
  <c r="BE215" i="5"/>
  <c r="AQ215" i="5"/>
  <c r="U215" i="5"/>
  <c r="D215" i="5"/>
  <c r="BG214" i="5"/>
  <c r="AI214" i="5"/>
  <c r="K214" i="5"/>
  <c r="BM213" i="5"/>
  <c r="AO213" i="5"/>
  <c r="Q213" i="5"/>
  <c r="BS212" i="5"/>
  <c r="AU212" i="5"/>
  <c r="X212" i="5"/>
  <c r="BZ211" i="5"/>
  <c r="BB211" i="5"/>
  <c r="AD211" i="5"/>
  <c r="F211" i="5"/>
  <c r="BH210" i="5"/>
  <c r="AK210" i="5"/>
  <c r="M210" i="5"/>
  <c r="BO209" i="5"/>
  <c r="S209" i="5"/>
  <c r="BU208" i="5"/>
  <c r="AW208" i="5"/>
  <c r="Z208" i="5"/>
  <c r="B208" i="5"/>
  <c r="BD207" i="5"/>
  <c r="AF207" i="5"/>
  <c r="F207" i="5"/>
  <c r="BB206" i="5"/>
  <c r="Z206" i="5"/>
  <c r="BV205" i="5"/>
  <c r="AS205" i="5"/>
  <c r="N205" i="5"/>
  <c r="BJ204" i="5"/>
  <c r="AB204" i="5"/>
  <c r="BO203" i="5"/>
  <c r="W203" i="5"/>
  <c r="BA202" i="5"/>
  <c r="R202" i="5"/>
  <c r="AV201" i="5"/>
  <c r="B201" i="5"/>
  <c r="BP199" i="5"/>
  <c r="U199" i="5"/>
  <c r="AY198" i="5"/>
  <c r="C198" i="5"/>
  <c r="AH197" i="5"/>
  <c r="BI196" i="5"/>
  <c r="I196" i="5"/>
  <c r="AO194" i="5"/>
  <c r="BF193" i="5"/>
  <c r="BV192" i="5"/>
  <c r="BR191" i="5"/>
  <c r="BK190" i="5"/>
  <c r="AT189" i="5"/>
  <c r="AI188" i="5"/>
  <c r="BT185" i="5"/>
  <c r="L184" i="5"/>
  <c r="E182" i="5"/>
  <c r="BR179" i="5"/>
  <c r="BI177" i="5"/>
  <c r="AV175" i="5"/>
  <c r="BH173" i="5"/>
  <c r="CA171" i="5"/>
  <c r="AW169" i="5"/>
  <c r="AH215" i="5"/>
  <c r="V215" i="5"/>
  <c r="J215" i="5"/>
  <c r="BX214" i="5"/>
  <c r="BL214" i="5"/>
  <c r="AZ214" i="5"/>
  <c r="AN214" i="5"/>
  <c r="AB214" i="5"/>
  <c r="P214" i="5"/>
  <c r="D214" i="5"/>
  <c r="BR213" i="5"/>
  <c r="BF213" i="5"/>
  <c r="AT213" i="5"/>
  <c r="AH213" i="5"/>
  <c r="V213" i="5"/>
  <c r="J213" i="5"/>
  <c r="BX212" i="5"/>
  <c r="BL212" i="5"/>
  <c r="AZ212" i="5"/>
  <c r="AN212" i="5"/>
  <c r="AB212" i="5"/>
  <c r="P212" i="5"/>
  <c r="D212" i="5"/>
  <c r="BR211" i="5"/>
  <c r="BF211" i="5"/>
  <c r="AT211" i="5"/>
  <c r="AH211" i="5"/>
  <c r="V211" i="5"/>
  <c r="J211" i="5"/>
  <c r="BX210" i="5"/>
  <c r="BL210" i="5"/>
  <c r="AZ210" i="5"/>
  <c r="AN210" i="5"/>
  <c r="AB210" i="5"/>
  <c r="P210" i="5"/>
  <c r="D210" i="5"/>
  <c r="BR209" i="5"/>
  <c r="BF209" i="5"/>
  <c r="AT209" i="5"/>
  <c r="AH209" i="5"/>
  <c r="V209" i="5"/>
  <c r="J209" i="5"/>
  <c r="BX208" i="5"/>
  <c r="BL208" i="5"/>
  <c r="AZ208" i="5"/>
  <c r="AN208" i="5"/>
  <c r="AB208" i="5"/>
  <c r="P208" i="5"/>
  <c r="D208" i="5"/>
  <c r="BR207" i="5"/>
  <c r="BF207" i="5"/>
  <c r="AT207" i="5"/>
  <c r="AH207" i="5"/>
  <c r="V207" i="5"/>
  <c r="H207" i="5"/>
  <c r="BT206" i="5"/>
  <c r="BD206" i="5"/>
  <c r="AP206" i="5"/>
  <c r="AB206" i="5"/>
  <c r="N206" i="5"/>
  <c r="BZ205" i="5"/>
  <c r="BJ205" i="5"/>
  <c r="AU205" i="5"/>
  <c r="AG205" i="5"/>
  <c r="R205" i="5"/>
  <c r="BZ204" i="5"/>
  <c r="BK204" i="5"/>
  <c r="AR204" i="5"/>
  <c r="AA204" i="5"/>
  <c r="E204" i="5"/>
  <c r="BJ203" i="5"/>
  <c r="AR203" i="5"/>
  <c r="V203" i="5"/>
  <c r="BX202" i="5"/>
  <c r="AZ202" i="5"/>
  <c r="AC202" i="5"/>
  <c r="E202" i="5"/>
  <c r="BG201" i="5"/>
  <c r="K201" i="5"/>
  <c r="BM200" i="5"/>
  <c r="AO200" i="5"/>
  <c r="R200" i="5"/>
  <c r="BT199" i="5"/>
  <c r="AV199" i="5"/>
  <c r="X199" i="5"/>
  <c r="BZ198" i="5"/>
  <c r="BB198" i="5"/>
  <c r="AD198" i="5"/>
  <c r="F198" i="5"/>
  <c r="BJ197" i="5"/>
  <c r="AL197" i="5"/>
  <c r="M197" i="5"/>
  <c r="BM196" i="5"/>
  <c r="AM196" i="5"/>
  <c r="Q196" i="5"/>
  <c r="BO195" i="5"/>
  <c r="AM195" i="5"/>
  <c r="G195" i="5"/>
  <c r="AZ194" i="5"/>
  <c r="V194" i="5"/>
  <c r="BO193" i="5"/>
  <c r="AF193" i="5"/>
  <c r="BW192" i="5"/>
  <c r="AJ192" i="5"/>
  <c r="BT191" i="5"/>
  <c r="AF191" i="5"/>
  <c r="BL190" i="5"/>
  <c r="R190" i="5"/>
  <c r="AV189" i="5"/>
  <c r="F189" i="5"/>
  <c r="AE188" i="5"/>
  <c r="BA187" i="5"/>
  <c r="BV186" i="5"/>
  <c r="N186" i="5"/>
  <c r="T185" i="5"/>
  <c r="AM184" i="5"/>
  <c r="AJ183" i="5"/>
  <c r="AV182" i="5"/>
  <c r="AH181" i="5"/>
  <c r="R180" i="5"/>
  <c r="F178" i="5"/>
  <c r="CA175" i="5"/>
  <c r="BK174" i="5"/>
  <c r="AV173" i="5"/>
  <c r="AP172" i="5"/>
  <c r="Y171" i="5"/>
  <c r="O170" i="5"/>
  <c r="BR214" i="5"/>
  <c r="BF214" i="5"/>
  <c r="AT214" i="5"/>
  <c r="AH214" i="5"/>
  <c r="V214" i="5"/>
  <c r="J214" i="5"/>
  <c r="BX213" i="5"/>
  <c r="BL213" i="5"/>
  <c r="AZ213" i="5"/>
  <c r="AN213" i="5"/>
  <c r="AB213" i="5"/>
  <c r="P213" i="5"/>
  <c r="D213" i="5"/>
  <c r="BR212" i="5"/>
  <c r="BF212" i="5"/>
  <c r="AH212" i="5"/>
  <c r="V212" i="5"/>
  <c r="J212" i="5"/>
  <c r="BX211" i="5"/>
  <c r="BL211" i="5"/>
  <c r="AZ211" i="5"/>
  <c r="AN211" i="5"/>
  <c r="AB211" i="5"/>
  <c r="P211" i="5"/>
  <c r="D211" i="5"/>
  <c r="BR210" i="5"/>
  <c r="BF210" i="5"/>
  <c r="AT210" i="5"/>
  <c r="AH210" i="5"/>
  <c r="V210" i="5"/>
  <c r="J210" i="5"/>
  <c r="BX209" i="5"/>
  <c r="BL209" i="5"/>
  <c r="AZ209" i="5"/>
  <c r="AN209" i="5"/>
  <c r="AB209" i="5"/>
  <c r="P209" i="5"/>
  <c r="D209" i="5"/>
  <c r="BR208" i="5"/>
  <c r="BF208" i="5"/>
  <c r="AT208" i="5"/>
  <c r="AH208" i="5"/>
  <c r="V208" i="5"/>
  <c r="J208" i="5"/>
  <c r="BX207" i="5"/>
  <c r="BL207" i="5"/>
  <c r="AZ207" i="5"/>
  <c r="AN207" i="5"/>
  <c r="AB207" i="5"/>
  <c r="N207" i="5"/>
  <c r="BZ206" i="5"/>
  <c r="BL206" i="5"/>
  <c r="AX206" i="5"/>
  <c r="AJ206" i="5"/>
  <c r="T206" i="5"/>
  <c r="F206" i="5"/>
  <c r="BR205" i="5"/>
  <c r="BD205" i="5"/>
  <c r="X205" i="5"/>
  <c r="I205" i="5"/>
  <c r="BT204" i="5"/>
  <c r="BB204" i="5"/>
  <c r="P204" i="5"/>
  <c r="BT203" i="5"/>
  <c r="BC203" i="5"/>
  <c r="AH203" i="5"/>
  <c r="J203" i="5"/>
  <c r="BL202" i="5"/>
  <c r="AN202" i="5"/>
  <c r="Q202" i="5"/>
  <c r="BS201" i="5"/>
  <c r="AU201" i="5"/>
  <c r="W201" i="5"/>
  <c r="BY200" i="5"/>
  <c r="BA200" i="5"/>
  <c r="AD200" i="5"/>
  <c r="F200" i="5"/>
  <c r="BH199" i="5"/>
  <c r="AJ199" i="5"/>
  <c r="L199" i="5"/>
  <c r="BN198" i="5"/>
  <c r="AP198" i="5"/>
  <c r="R198" i="5"/>
  <c r="BT197" i="5"/>
  <c r="AX197" i="5"/>
  <c r="Z197" i="5"/>
  <c r="BZ196" i="5"/>
  <c r="AZ196" i="5"/>
  <c r="C196" i="5"/>
  <c r="BA195" i="5"/>
  <c r="V195" i="5"/>
  <c r="BR194" i="5"/>
  <c r="AK194" i="5"/>
  <c r="D194" i="5"/>
  <c r="AV193" i="5"/>
  <c r="R193" i="5"/>
  <c r="BB192" i="5"/>
  <c r="O192" i="5"/>
  <c r="BB191" i="5"/>
  <c r="J191" i="5"/>
  <c r="AN190" i="5"/>
  <c r="BT189" i="5"/>
  <c r="X189" i="5"/>
  <c r="BH188" i="5"/>
  <c r="C188" i="5"/>
  <c r="W187" i="5"/>
  <c r="AO186" i="5"/>
  <c r="BD185" i="5"/>
  <c r="BZ184" i="5"/>
  <c r="CA183" i="5"/>
  <c r="J183" i="5"/>
  <c r="D182" i="5"/>
  <c r="BN180" i="5"/>
  <c r="BE179" i="5"/>
  <c r="AY178" i="5"/>
  <c r="AJ177" i="5"/>
  <c r="AP176" i="5"/>
  <c r="AE175" i="5"/>
  <c r="O174" i="5"/>
  <c r="BU171" i="5"/>
  <c r="BK170" i="5"/>
  <c r="AT169" i="5"/>
  <c r="AM215" i="5"/>
  <c r="AA215" i="5"/>
  <c r="O215" i="5"/>
  <c r="C215" i="5"/>
  <c r="BQ214" i="5"/>
  <c r="BE214" i="5"/>
  <c r="AS214" i="5"/>
  <c r="AG214" i="5"/>
  <c r="U214" i="5"/>
  <c r="I214" i="5"/>
  <c r="BW213" i="5"/>
  <c r="BK213" i="5"/>
  <c r="AY213" i="5"/>
  <c r="AM213" i="5"/>
  <c r="AA213" i="5"/>
  <c r="O213" i="5"/>
  <c r="C213" i="5"/>
  <c r="BQ212" i="5"/>
  <c r="BE212" i="5"/>
  <c r="AS212" i="5"/>
  <c r="AG212" i="5"/>
  <c r="U212" i="5"/>
  <c r="I212" i="5"/>
  <c r="BW211" i="5"/>
  <c r="BK211" i="5"/>
  <c r="AY211" i="5"/>
  <c r="AM211" i="5"/>
  <c r="AA211" i="5"/>
  <c r="O211" i="5"/>
  <c r="C211" i="5"/>
  <c r="BQ210" i="5"/>
  <c r="BE210" i="5"/>
  <c r="AS210" i="5"/>
  <c r="AG210" i="5"/>
  <c r="U210" i="5"/>
  <c r="I210" i="5"/>
  <c r="BW209" i="5"/>
  <c r="BK209" i="5"/>
  <c r="AY209" i="5"/>
  <c r="AM209" i="5"/>
  <c r="AA209" i="5"/>
  <c r="O209" i="5"/>
  <c r="C209" i="5"/>
  <c r="BQ208" i="5"/>
  <c r="BE208" i="5"/>
  <c r="AS208" i="5"/>
  <c r="AG208" i="5"/>
  <c r="U208" i="5"/>
  <c r="I208" i="5"/>
  <c r="BW207" i="5"/>
  <c r="BK207" i="5"/>
  <c r="AY207" i="5"/>
  <c r="AM207" i="5"/>
  <c r="AA207" i="5"/>
  <c r="M207" i="5"/>
  <c r="BY206" i="5"/>
  <c r="BK206" i="5"/>
  <c r="AW206" i="5"/>
  <c r="AI206" i="5"/>
  <c r="S206" i="5"/>
  <c r="E206" i="5"/>
  <c r="BQ205" i="5"/>
  <c r="BC205" i="5"/>
  <c r="AL205" i="5"/>
  <c r="W205" i="5"/>
  <c r="H205" i="5"/>
  <c r="BP204" i="5"/>
  <c r="BA204" i="5"/>
  <c r="AK204" i="5"/>
  <c r="O204" i="5"/>
  <c r="BS203" i="5"/>
  <c r="AX203" i="5"/>
  <c r="AG203" i="5"/>
  <c r="I203" i="5"/>
  <c r="BK202" i="5"/>
  <c r="AM202" i="5"/>
  <c r="P202" i="5"/>
  <c r="BR201" i="5"/>
  <c r="AT201" i="5"/>
  <c r="V201" i="5"/>
  <c r="BX200" i="5"/>
  <c r="AZ200" i="5"/>
  <c r="AC200" i="5"/>
  <c r="E200" i="5"/>
  <c r="BG199" i="5"/>
  <c r="AI199" i="5"/>
  <c r="K199" i="5"/>
  <c r="BM198" i="5"/>
  <c r="AO198" i="5"/>
  <c r="Q198" i="5"/>
  <c r="BS197" i="5"/>
  <c r="AV197" i="5"/>
  <c r="X197" i="5"/>
  <c r="BX196" i="5"/>
  <c r="AX196" i="5"/>
  <c r="Y196" i="5"/>
  <c r="BW195" i="5"/>
  <c r="AS195" i="5"/>
  <c r="P195" i="5"/>
  <c r="BI194" i="5"/>
  <c r="BX193" i="5"/>
  <c r="AP193" i="5"/>
  <c r="Q193" i="5"/>
  <c r="AZ192" i="5"/>
  <c r="N192" i="5"/>
  <c r="BA191" i="5"/>
  <c r="I191" i="5"/>
  <c r="AM190" i="5"/>
  <c r="BR189" i="5"/>
  <c r="BA188" i="5"/>
  <c r="BU187" i="5"/>
  <c r="AN186" i="5"/>
  <c r="BB185" i="5"/>
  <c r="BH184" i="5"/>
  <c r="BF183" i="5"/>
  <c r="I183" i="5"/>
  <c r="C182" i="5"/>
  <c r="BM180" i="5"/>
  <c r="AW179" i="5"/>
  <c r="AM178" i="5"/>
  <c r="AH177" i="5"/>
  <c r="R176" i="5"/>
  <c r="M174" i="5"/>
  <c r="BZ172" i="5"/>
  <c r="BT171" i="5"/>
  <c r="BI170" i="5"/>
  <c r="AS169" i="5"/>
  <c r="AX215" i="5"/>
  <c r="AL215" i="5"/>
  <c r="Z215" i="5"/>
  <c r="N215" i="5"/>
  <c r="B215" i="5"/>
  <c r="BP214" i="5"/>
  <c r="BD214" i="5"/>
  <c r="AR214" i="5"/>
  <c r="AF214" i="5"/>
  <c r="T214" i="5"/>
  <c r="H214" i="5"/>
  <c r="BV213" i="5"/>
  <c r="BJ213" i="5"/>
  <c r="AX213" i="5"/>
  <c r="AL213" i="5"/>
  <c r="Z213" i="5"/>
  <c r="N213" i="5"/>
  <c r="B213" i="5"/>
  <c r="BP212" i="5"/>
  <c r="BD212" i="5"/>
  <c r="AR212" i="5"/>
  <c r="AF212" i="5"/>
  <c r="T212" i="5"/>
  <c r="H212" i="5"/>
  <c r="BV211" i="5"/>
  <c r="BJ211" i="5"/>
  <c r="AX211" i="5"/>
  <c r="AL211" i="5"/>
  <c r="Z211" i="5"/>
  <c r="N211" i="5"/>
  <c r="B211" i="5"/>
  <c r="BP210" i="5"/>
  <c r="BD210" i="5"/>
  <c r="AF210" i="5"/>
  <c r="T210" i="5"/>
  <c r="H210" i="5"/>
  <c r="BV209" i="5"/>
  <c r="BJ209" i="5"/>
  <c r="AX209" i="5"/>
  <c r="AL209" i="5"/>
  <c r="Z209" i="5"/>
  <c r="N209" i="5"/>
  <c r="B209" i="5"/>
  <c r="BP208" i="5"/>
  <c r="BD208" i="5"/>
  <c r="AR208" i="5"/>
  <c r="AF208" i="5"/>
  <c r="T208" i="5"/>
  <c r="H208" i="5"/>
  <c r="BV207" i="5"/>
  <c r="BJ207" i="5"/>
  <c r="AX207" i="5"/>
  <c r="AL207" i="5"/>
  <c r="Z207" i="5"/>
  <c r="L207" i="5"/>
  <c r="BX206" i="5"/>
  <c r="BJ206" i="5"/>
  <c r="AV206" i="5"/>
  <c r="AF206" i="5"/>
  <c r="R206" i="5"/>
  <c r="D206" i="5"/>
  <c r="BP205" i="5"/>
  <c r="BB205" i="5"/>
  <c r="AK205" i="5"/>
  <c r="V205" i="5"/>
  <c r="G205" i="5"/>
  <c r="BO204" i="5"/>
  <c r="AZ204" i="5"/>
  <c r="AF204" i="5"/>
  <c r="N204" i="5"/>
  <c r="BR203" i="5"/>
  <c r="AV203" i="5"/>
  <c r="AF203" i="5"/>
  <c r="H203" i="5"/>
  <c r="BJ202" i="5"/>
  <c r="AL202" i="5"/>
  <c r="O202" i="5"/>
  <c r="BQ201" i="5"/>
  <c r="AS201" i="5"/>
  <c r="U201" i="5"/>
  <c r="BW200" i="5"/>
  <c r="AY200" i="5"/>
  <c r="AB200" i="5"/>
  <c r="D200" i="5"/>
  <c r="BF199" i="5"/>
  <c r="AH199" i="5"/>
  <c r="J199" i="5"/>
  <c r="BL198" i="5"/>
  <c r="AN198" i="5"/>
  <c r="P198" i="5"/>
  <c r="BR197" i="5"/>
  <c r="AU197" i="5"/>
  <c r="W197" i="5"/>
  <c r="BW196" i="5"/>
  <c r="AW196" i="5"/>
  <c r="W196" i="5"/>
  <c r="BS195" i="5"/>
  <c r="AQ195" i="5"/>
  <c r="K195" i="5"/>
  <c r="BG194" i="5"/>
  <c r="Z194" i="5"/>
  <c r="BS193" i="5"/>
  <c r="AJ193" i="5"/>
  <c r="G193" i="5"/>
  <c r="AP192" i="5"/>
  <c r="M192" i="5"/>
  <c r="AV191" i="5"/>
  <c r="H191" i="5"/>
  <c r="AL190" i="5"/>
  <c r="BQ189" i="5"/>
  <c r="V189" i="5"/>
  <c r="AY188" i="5"/>
  <c r="BS187" i="5"/>
  <c r="Q187" i="5"/>
  <c r="AE186" i="5"/>
  <c r="AW185" i="5"/>
  <c r="BB184" i="5"/>
  <c r="BB183" i="5"/>
  <c r="BM182" i="5"/>
  <c r="CA181" i="5"/>
  <c r="BL180" i="5"/>
  <c r="AV179" i="5"/>
  <c r="AE178" i="5"/>
  <c r="V177" i="5"/>
  <c r="P176" i="5"/>
  <c r="G175" i="5"/>
  <c r="BX172" i="5"/>
  <c r="BH171" i="5"/>
  <c r="BC170" i="5"/>
  <c r="AQ169" i="5"/>
  <c r="BU215" i="5"/>
  <c r="BI215" i="5"/>
  <c r="AK215" i="5"/>
  <c r="Y215" i="5"/>
  <c r="M215" i="5"/>
  <c r="CA214" i="5"/>
  <c r="BO214" i="5"/>
  <c r="BC214" i="5"/>
  <c r="AQ214" i="5"/>
  <c r="AE214" i="5"/>
  <c r="S214" i="5"/>
  <c r="G214" i="5"/>
  <c r="BU213" i="5"/>
  <c r="BI213" i="5"/>
  <c r="AW213" i="5"/>
  <c r="AK213" i="5"/>
  <c r="Y213" i="5"/>
  <c r="M213" i="5"/>
  <c r="CA212" i="5"/>
  <c r="BO212" i="5"/>
  <c r="BC212" i="5"/>
  <c r="AQ212" i="5"/>
  <c r="AE212" i="5"/>
  <c r="S212" i="5"/>
  <c r="G212" i="5"/>
  <c r="BU211" i="5"/>
  <c r="BI211" i="5"/>
  <c r="AW211" i="5"/>
  <c r="AK211" i="5"/>
  <c r="Y211" i="5"/>
  <c r="M211" i="5"/>
  <c r="CA210" i="5"/>
  <c r="BO210" i="5"/>
  <c r="BC210" i="5"/>
  <c r="AQ210" i="5"/>
  <c r="AE210" i="5"/>
  <c r="S210" i="5"/>
  <c r="G210" i="5"/>
  <c r="BU209" i="5"/>
  <c r="BI209" i="5"/>
  <c r="AW209" i="5"/>
  <c r="AK209" i="5"/>
  <c r="Y209" i="5"/>
  <c r="M209" i="5"/>
  <c r="CA208" i="5"/>
  <c r="BO208" i="5"/>
  <c r="BC208" i="5"/>
  <c r="AQ208" i="5"/>
  <c r="AE208" i="5"/>
  <c r="S208" i="5"/>
  <c r="G208" i="5"/>
  <c r="BU207" i="5"/>
  <c r="BI207" i="5"/>
  <c r="AW207" i="5"/>
  <c r="AK207" i="5"/>
  <c r="Y207" i="5"/>
  <c r="K207" i="5"/>
  <c r="BW206" i="5"/>
  <c r="BI206" i="5"/>
  <c r="AU206" i="5"/>
  <c r="AE206" i="5"/>
  <c r="Q206" i="5"/>
  <c r="C206" i="5"/>
  <c r="BO205" i="5"/>
  <c r="AX205" i="5"/>
  <c r="AJ205" i="5"/>
  <c r="U205" i="5"/>
  <c r="F205" i="5"/>
  <c r="BN204" i="5"/>
  <c r="AY204" i="5"/>
  <c r="AD204" i="5"/>
  <c r="M204" i="5"/>
  <c r="BQ203" i="5"/>
  <c r="AU203" i="5"/>
  <c r="Z203" i="5"/>
  <c r="B203" i="5"/>
  <c r="BD202" i="5"/>
  <c r="N202" i="5"/>
  <c r="BP201" i="5"/>
  <c r="AR201" i="5"/>
  <c r="T201" i="5"/>
  <c r="BV200" i="5"/>
  <c r="AX200" i="5"/>
  <c r="AA200" i="5"/>
  <c r="C200" i="5"/>
  <c r="BE199" i="5"/>
  <c r="I199" i="5"/>
  <c r="BK198" i="5"/>
  <c r="AM198" i="5"/>
  <c r="O198" i="5"/>
  <c r="BQ197" i="5"/>
  <c r="AT197" i="5"/>
  <c r="V197" i="5"/>
  <c r="BV196" i="5"/>
  <c r="AV196" i="5"/>
  <c r="V196" i="5"/>
  <c r="BR195" i="5"/>
  <c r="AP195" i="5"/>
  <c r="J195" i="5"/>
  <c r="BF194" i="5"/>
  <c r="Y194" i="5"/>
  <c r="BR193" i="5"/>
  <c r="AI193" i="5"/>
  <c r="E193" i="5"/>
  <c r="AM192" i="5"/>
  <c r="B192" i="5"/>
  <c r="AO191" i="5"/>
  <c r="G191" i="5"/>
  <c r="AK190" i="5"/>
  <c r="BP189" i="5"/>
  <c r="U189" i="5"/>
  <c r="AX188" i="5"/>
  <c r="BR187" i="5"/>
  <c r="M187" i="5"/>
  <c r="AC186" i="5"/>
  <c r="AV185" i="5"/>
  <c r="BA184" i="5"/>
  <c r="AW183" i="5"/>
  <c r="AZ182" i="5"/>
  <c r="BC181" i="5"/>
  <c r="BK180" i="5"/>
  <c r="AU179" i="5"/>
  <c r="AD178" i="5"/>
  <c r="S177" i="5"/>
  <c r="BZ174" i="5"/>
  <c r="BQ173" i="5"/>
  <c r="AZ172" i="5"/>
  <c r="BF171" i="5"/>
  <c r="AQ170" i="5"/>
  <c r="AK169" i="5"/>
  <c r="F216" i="5"/>
  <c r="BT215" i="5"/>
  <c r="BH215" i="5"/>
  <c r="AV215" i="5"/>
  <c r="AJ215" i="5"/>
  <c r="X215" i="5"/>
  <c r="L215" i="5"/>
  <c r="BZ214" i="5"/>
  <c r="BN214" i="5"/>
  <c r="BB214" i="5"/>
  <c r="AP214" i="5"/>
  <c r="AD214" i="5"/>
  <c r="R214" i="5"/>
  <c r="F214" i="5"/>
  <c r="BT213" i="5"/>
  <c r="BH213" i="5"/>
  <c r="AV213" i="5"/>
  <c r="AJ213" i="5"/>
  <c r="X213" i="5"/>
  <c r="L213" i="5"/>
  <c r="BZ212" i="5"/>
  <c r="BN212" i="5"/>
  <c r="BB212" i="5"/>
  <c r="AP212" i="5"/>
  <c r="AD212" i="5"/>
  <c r="R212" i="5"/>
  <c r="F212" i="5"/>
  <c r="BT211" i="5"/>
  <c r="BH211" i="5"/>
  <c r="AV211" i="5"/>
  <c r="AJ211" i="5"/>
  <c r="X211" i="5"/>
  <c r="L211" i="5"/>
  <c r="BZ210" i="5"/>
  <c r="BN210" i="5"/>
  <c r="BB210" i="5"/>
  <c r="AP210" i="5"/>
  <c r="AD210" i="5"/>
  <c r="R210" i="5"/>
  <c r="F210" i="5"/>
  <c r="BT209" i="5"/>
  <c r="BH209" i="5"/>
  <c r="AV209" i="5"/>
  <c r="AJ209" i="5"/>
  <c r="X209" i="5"/>
  <c r="L209" i="5"/>
  <c r="BZ208" i="5"/>
  <c r="BN208" i="5"/>
  <c r="BB208" i="5"/>
  <c r="AD208" i="5"/>
  <c r="R208" i="5"/>
  <c r="F208" i="5"/>
  <c r="BT207" i="5"/>
  <c r="BH207" i="5"/>
  <c r="AV207" i="5"/>
  <c r="AJ207" i="5"/>
  <c r="X207" i="5"/>
  <c r="J207" i="5"/>
  <c r="BV206" i="5"/>
  <c r="BH206" i="5"/>
  <c r="AR206" i="5"/>
  <c r="AD206" i="5"/>
  <c r="P206" i="5"/>
  <c r="B206" i="5"/>
  <c r="BN205" i="5"/>
  <c r="AW205" i="5"/>
  <c r="AI205" i="5"/>
  <c r="T205" i="5"/>
  <c r="B205" i="5"/>
  <c r="BM204" i="5"/>
  <c r="AX204" i="5"/>
  <c r="AC204" i="5"/>
  <c r="H204" i="5"/>
  <c r="BP203" i="5"/>
  <c r="AT203" i="5"/>
  <c r="X203" i="5"/>
  <c r="BZ202" i="5"/>
  <c r="BB202" i="5"/>
  <c r="AF202" i="5"/>
  <c r="H202" i="5"/>
  <c r="BJ201" i="5"/>
  <c r="AL201" i="5"/>
  <c r="N201" i="5"/>
  <c r="BP200" i="5"/>
  <c r="AR200" i="5"/>
  <c r="Z200" i="5"/>
  <c r="B200" i="5"/>
  <c r="BD199" i="5"/>
  <c r="AF199" i="5"/>
  <c r="H199" i="5"/>
  <c r="BJ198" i="5"/>
  <c r="AL198" i="5"/>
  <c r="N198" i="5"/>
  <c r="BP197" i="5"/>
  <c r="AS197" i="5"/>
  <c r="U197" i="5"/>
  <c r="BU196" i="5"/>
  <c r="AU196" i="5"/>
  <c r="U196" i="5"/>
  <c r="BQ195" i="5"/>
  <c r="AO195" i="5"/>
  <c r="I195" i="5"/>
  <c r="BB194" i="5"/>
  <c r="X194" i="5"/>
  <c r="BQ193" i="5"/>
  <c r="AH193" i="5"/>
  <c r="BZ192" i="5"/>
  <c r="AL192" i="5"/>
  <c r="BZ191" i="5"/>
  <c r="AH191" i="5"/>
  <c r="BU190" i="5"/>
  <c r="Y190" i="5"/>
  <c r="BO189" i="5"/>
  <c r="T189" i="5"/>
  <c r="AW188" i="5"/>
  <c r="BQ187" i="5"/>
  <c r="L187" i="5"/>
  <c r="AB186" i="5"/>
  <c r="AP185" i="5"/>
  <c r="AZ184" i="5"/>
  <c r="AV183" i="5"/>
  <c r="AY182" i="5"/>
  <c r="AK181" i="5"/>
  <c r="AM180" i="5"/>
  <c r="AT179" i="5"/>
  <c r="AC178" i="5"/>
  <c r="M177" i="5"/>
  <c r="E176" i="5"/>
  <c r="BY174" i="5"/>
  <c r="BI173" i="5"/>
  <c r="AW172" i="5"/>
  <c r="AH171" i="5"/>
  <c r="AO170" i="5"/>
  <c r="Y169" i="5"/>
  <c r="AE204" i="5"/>
  <c r="S204" i="5"/>
  <c r="G204" i="5"/>
  <c r="BU203" i="5"/>
  <c r="BI203" i="5"/>
  <c r="AW203" i="5"/>
  <c r="Y203" i="5"/>
  <c r="M203" i="5"/>
  <c r="CA202" i="5"/>
  <c r="BO202" i="5"/>
  <c r="BC202" i="5"/>
  <c r="AQ202" i="5"/>
  <c r="AE202" i="5"/>
  <c r="S202" i="5"/>
  <c r="G202" i="5"/>
  <c r="BU201" i="5"/>
  <c r="BI201" i="5"/>
  <c r="AW201" i="5"/>
  <c r="AK201" i="5"/>
  <c r="Y201" i="5"/>
  <c r="M201" i="5"/>
  <c r="CA200" i="5"/>
  <c r="BO200" i="5"/>
  <c r="BC200" i="5"/>
  <c r="AQ200" i="5"/>
  <c r="AE200" i="5"/>
  <c r="S200" i="5"/>
  <c r="G200" i="5"/>
  <c r="BU199" i="5"/>
  <c r="BI199" i="5"/>
  <c r="AW199" i="5"/>
  <c r="AK199" i="5"/>
  <c r="Y199" i="5"/>
  <c r="M199" i="5"/>
  <c r="CA198" i="5"/>
  <c r="BO198" i="5"/>
  <c r="BC198" i="5"/>
  <c r="AQ198" i="5"/>
  <c r="AE198" i="5"/>
  <c r="S198" i="5"/>
  <c r="G198" i="5"/>
  <c r="BU197" i="5"/>
  <c r="BI197" i="5"/>
  <c r="AW197" i="5"/>
  <c r="AK197" i="5"/>
  <c r="Y197" i="5"/>
  <c r="L197" i="5"/>
  <c r="BY196" i="5"/>
  <c r="BL196" i="5"/>
  <c r="AY196" i="5"/>
  <c r="AL196" i="5"/>
  <c r="X196" i="5"/>
  <c r="J196" i="5"/>
  <c r="BT195" i="5"/>
  <c r="BF195" i="5"/>
  <c r="AR195" i="5"/>
  <c r="AD195" i="5"/>
  <c r="L195" i="5"/>
  <c r="BW194" i="5"/>
  <c r="BH194" i="5"/>
  <c r="AP194" i="5"/>
  <c r="AA194" i="5"/>
  <c r="L194" i="5"/>
  <c r="BT193" i="5"/>
  <c r="BE193" i="5"/>
  <c r="AO193" i="5"/>
  <c r="V193" i="5"/>
  <c r="F193" i="5"/>
  <c r="BJ192" i="5"/>
  <c r="AN192" i="5"/>
  <c r="W192" i="5"/>
  <c r="CA191" i="5"/>
  <c r="BE191" i="5"/>
  <c r="AJ191" i="5"/>
  <c r="R191" i="5"/>
  <c r="BT190" i="5"/>
  <c r="AV190" i="5"/>
  <c r="BZ189" i="5"/>
  <c r="BB189" i="5"/>
  <c r="AD189" i="5"/>
  <c r="G189" i="5"/>
  <c r="BI188" i="5"/>
  <c r="AH188" i="5"/>
  <c r="D188" i="5"/>
  <c r="BB187" i="5"/>
  <c r="X187" i="5"/>
  <c r="BW186" i="5"/>
  <c r="AP186" i="5"/>
  <c r="M186" i="5"/>
  <c r="BC185" i="5"/>
  <c r="BC184" i="5"/>
  <c r="Q184" i="5"/>
  <c r="BC183" i="5"/>
  <c r="BB182" i="5"/>
  <c r="AW181" i="5"/>
  <c r="G181" i="5"/>
  <c r="AK180" i="5"/>
  <c r="BQ179" i="5"/>
  <c r="U179" i="5"/>
  <c r="AZ178" i="5"/>
  <c r="E178" i="5"/>
  <c r="AI177" i="5"/>
  <c r="BM176" i="5"/>
  <c r="Q176" i="5"/>
  <c r="AW175" i="5"/>
  <c r="CA174" i="5"/>
  <c r="AE174" i="5"/>
  <c r="BO173" i="5"/>
  <c r="S173" i="5"/>
  <c r="AY172" i="5"/>
  <c r="C172" i="5"/>
  <c r="AG171" i="5"/>
  <c r="BL170" i="5"/>
  <c r="P170" i="5"/>
  <c r="AU169" i="5"/>
  <c r="AE203" i="5"/>
  <c r="S203" i="5"/>
  <c r="G203" i="5"/>
  <c r="BU202" i="5"/>
  <c r="BI202" i="5"/>
  <c r="AW202" i="5"/>
  <c r="AK202" i="5"/>
  <c r="Y202" i="5"/>
  <c r="M202" i="5"/>
  <c r="CA201" i="5"/>
  <c r="BO201" i="5"/>
  <c r="BC201" i="5"/>
  <c r="AQ201" i="5"/>
  <c r="AE201" i="5"/>
  <c r="S201" i="5"/>
  <c r="G201" i="5"/>
  <c r="BU200" i="5"/>
  <c r="BI200" i="5"/>
  <c r="AW200" i="5"/>
  <c r="AK200" i="5"/>
  <c r="Y200" i="5"/>
  <c r="M200" i="5"/>
  <c r="CA199" i="5"/>
  <c r="BO199" i="5"/>
  <c r="BC199" i="5"/>
  <c r="AQ199" i="5"/>
  <c r="AE199" i="5"/>
  <c r="S199" i="5"/>
  <c r="G199" i="5"/>
  <c r="BU198" i="5"/>
  <c r="BI198" i="5"/>
  <c r="AW198" i="5"/>
  <c r="AK198" i="5"/>
  <c r="Y198" i="5"/>
  <c r="M198" i="5"/>
  <c r="CA197" i="5"/>
  <c r="BO197" i="5"/>
  <c r="BC197" i="5"/>
  <c r="AQ197" i="5"/>
  <c r="AE197" i="5"/>
  <c r="S197" i="5"/>
  <c r="F197" i="5"/>
  <c r="BS196" i="5"/>
  <c r="BF196" i="5"/>
  <c r="AS196" i="5"/>
  <c r="P196" i="5"/>
  <c r="B196" i="5"/>
  <c r="BN195" i="5"/>
  <c r="AZ195" i="5"/>
  <c r="AJ195" i="5"/>
  <c r="U195" i="5"/>
  <c r="F195" i="5"/>
  <c r="BN194" i="5"/>
  <c r="AY194" i="5"/>
  <c r="AJ194" i="5"/>
  <c r="R194" i="5"/>
  <c r="C194" i="5"/>
  <c r="BN193" i="5"/>
  <c r="AU193" i="5"/>
  <c r="AE193" i="5"/>
  <c r="L193" i="5"/>
  <c r="BU192" i="5"/>
  <c r="AY192" i="5"/>
  <c r="AD192" i="5"/>
  <c r="L192" i="5"/>
  <c r="BP191" i="5"/>
  <c r="AT191" i="5"/>
  <c r="F191" i="5"/>
  <c r="BH190" i="5"/>
  <c r="AJ190" i="5"/>
  <c r="L190" i="5"/>
  <c r="BN189" i="5"/>
  <c r="AP189" i="5"/>
  <c r="S189" i="5"/>
  <c r="BU188" i="5"/>
  <c r="AV188" i="5"/>
  <c r="R188" i="5"/>
  <c r="BP187" i="5"/>
  <c r="AN187" i="5"/>
  <c r="K187" i="5"/>
  <c r="BH186" i="5"/>
  <c r="AA186" i="5"/>
  <c r="BS185" i="5"/>
  <c r="AI185" i="5"/>
  <c r="BY184" i="5"/>
  <c r="AK184" i="5"/>
  <c r="BU183" i="5"/>
  <c r="AH183" i="5"/>
  <c r="BX182" i="5"/>
  <c r="AE182" i="5"/>
  <c r="BU181" i="5"/>
  <c r="Y181" i="5"/>
  <c r="BI180" i="5"/>
  <c r="AS179" i="5"/>
  <c r="BX178" i="5"/>
  <c r="AB178" i="5"/>
  <c r="BG177" i="5"/>
  <c r="AO176" i="5"/>
  <c r="BU175" i="5"/>
  <c r="Y175" i="5"/>
  <c r="BC174" i="5"/>
  <c r="AQ173" i="5"/>
  <c r="BW172" i="5"/>
  <c r="AA172" i="5"/>
  <c r="BE171" i="5"/>
  <c r="I171" i="5"/>
  <c r="AN170" i="5"/>
  <c r="BS169" i="5"/>
  <c r="W169" i="5"/>
  <c r="AV204" i="5"/>
  <c r="AJ204" i="5"/>
  <c r="X204" i="5"/>
  <c r="L204" i="5"/>
  <c r="BZ203" i="5"/>
  <c r="BN203" i="5"/>
  <c r="BB203" i="5"/>
  <c r="AP203" i="5"/>
  <c r="AD203" i="5"/>
  <c r="R203" i="5"/>
  <c r="F203" i="5"/>
  <c r="BT202" i="5"/>
  <c r="BH202" i="5"/>
  <c r="AV202" i="5"/>
  <c r="X202" i="5"/>
  <c r="L202" i="5"/>
  <c r="BZ201" i="5"/>
  <c r="BN201" i="5"/>
  <c r="BB201" i="5"/>
  <c r="AP201" i="5"/>
  <c r="AD201" i="5"/>
  <c r="R201" i="5"/>
  <c r="F201" i="5"/>
  <c r="BT200" i="5"/>
  <c r="BH200" i="5"/>
  <c r="AV200" i="5"/>
  <c r="AJ200" i="5"/>
  <c r="X200" i="5"/>
  <c r="L200" i="5"/>
  <c r="BZ199" i="5"/>
  <c r="BN199" i="5"/>
  <c r="BB199" i="5"/>
  <c r="AP199" i="5"/>
  <c r="AD199" i="5"/>
  <c r="R199" i="5"/>
  <c r="F199" i="5"/>
  <c r="BT198" i="5"/>
  <c r="BH198" i="5"/>
  <c r="AV198" i="5"/>
  <c r="AJ198" i="5"/>
  <c r="X198" i="5"/>
  <c r="L198" i="5"/>
  <c r="BZ197" i="5"/>
  <c r="BN197" i="5"/>
  <c r="BB197" i="5"/>
  <c r="AP197" i="5"/>
  <c r="AD197" i="5"/>
  <c r="R197" i="5"/>
  <c r="E197" i="5"/>
  <c r="BR196" i="5"/>
  <c r="BE196" i="5"/>
  <c r="AQ196" i="5"/>
  <c r="AC196" i="5"/>
  <c r="O196" i="5"/>
  <c r="CA195" i="5"/>
  <c r="BM195" i="5"/>
  <c r="AY195" i="5"/>
  <c r="AI195" i="5"/>
  <c r="T195" i="5"/>
  <c r="E195" i="5"/>
  <c r="BM194" i="5"/>
  <c r="AX194" i="5"/>
  <c r="AI194" i="5"/>
  <c r="Q194" i="5"/>
  <c r="B194" i="5"/>
  <c r="BM193" i="5"/>
  <c r="AT193" i="5"/>
  <c r="AD193" i="5"/>
  <c r="K193" i="5"/>
  <c r="BT192" i="5"/>
  <c r="AX192" i="5"/>
  <c r="AB192" i="5"/>
  <c r="K192" i="5"/>
  <c r="BO191" i="5"/>
  <c r="AS191" i="5"/>
  <c r="X191" i="5"/>
  <c r="BZ190" i="5"/>
  <c r="BB190" i="5"/>
  <c r="AD190" i="5"/>
  <c r="F190" i="5"/>
  <c r="BH189" i="5"/>
  <c r="AJ189" i="5"/>
  <c r="R189" i="5"/>
  <c r="BT188" i="5"/>
  <c r="AU188" i="5"/>
  <c r="Q188" i="5"/>
  <c r="BO187" i="5"/>
  <c r="AK187" i="5"/>
  <c r="J187" i="5"/>
  <c r="BG186" i="5"/>
  <c r="Z186" i="5"/>
  <c r="BR185" i="5"/>
  <c r="AH185" i="5"/>
  <c r="BX184" i="5"/>
  <c r="AJ184" i="5"/>
  <c r="BT183" i="5"/>
  <c r="AG183" i="5"/>
  <c r="BU182" i="5"/>
  <c r="AC182" i="5"/>
  <c r="BI181" i="5"/>
  <c r="AW180" i="5"/>
  <c r="C180" i="5"/>
  <c r="AG179" i="5"/>
  <c r="BW178" i="5"/>
  <c r="AA178" i="5"/>
  <c r="BF177" i="5"/>
  <c r="J177" i="5"/>
  <c r="AN176" i="5"/>
  <c r="BT175" i="5"/>
  <c r="X175" i="5"/>
  <c r="BB174" i="5"/>
  <c r="G174" i="5"/>
  <c r="AK173" i="5"/>
  <c r="BU172" i="5"/>
  <c r="Y172" i="5"/>
  <c r="BC171" i="5"/>
  <c r="G171" i="5"/>
  <c r="AM170" i="5"/>
  <c r="BR169" i="5"/>
  <c r="V169" i="5"/>
  <c r="BA205" i="5"/>
  <c r="AO205" i="5"/>
  <c r="AC205" i="5"/>
  <c r="Q205" i="5"/>
  <c r="E205" i="5"/>
  <c r="BS204" i="5"/>
  <c r="BG204" i="5"/>
  <c r="AU204" i="5"/>
  <c r="AI204" i="5"/>
  <c r="W204" i="5"/>
  <c r="K204" i="5"/>
  <c r="BY203" i="5"/>
  <c r="BM203" i="5"/>
  <c r="BA203" i="5"/>
  <c r="AO203" i="5"/>
  <c r="AC203" i="5"/>
  <c r="Q203" i="5"/>
  <c r="E203" i="5"/>
  <c r="BS202" i="5"/>
  <c r="BG202" i="5"/>
  <c r="AU202" i="5"/>
  <c r="AI202" i="5"/>
  <c r="W202" i="5"/>
  <c r="K202" i="5"/>
  <c r="BY201" i="5"/>
  <c r="BM201" i="5"/>
  <c r="BA201" i="5"/>
  <c r="AO201" i="5"/>
  <c r="AC201" i="5"/>
  <c r="Q201" i="5"/>
  <c r="E201" i="5"/>
  <c r="BS200" i="5"/>
  <c r="BG200" i="5"/>
  <c r="AU200" i="5"/>
  <c r="AI200" i="5"/>
  <c r="W200" i="5"/>
  <c r="K200" i="5"/>
  <c r="BY199" i="5"/>
  <c r="BM199" i="5"/>
  <c r="BA199" i="5"/>
  <c r="AO199" i="5"/>
  <c r="AC199" i="5"/>
  <c r="Q199" i="5"/>
  <c r="E199" i="5"/>
  <c r="BS198" i="5"/>
  <c r="BG198" i="5"/>
  <c r="AU198" i="5"/>
  <c r="AI198" i="5"/>
  <c r="W198" i="5"/>
  <c r="K198" i="5"/>
  <c r="BY197" i="5"/>
  <c r="BA197" i="5"/>
  <c r="AO197" i="5"/>
  <c r="AC197" i="5"/>
  <c r="Q197" i="5"/>
  <c r="D197" i="5"/>
  <c r="BQ196" i="5"/>
  <c r="BC196" i="5"/>
  <c r="AP196" i="5"/>
  <c r="AB196" i="5"/>
  <c r="N196" i="5"/>
  <c r="BZ195" i="5"/>
  <c r="BL195" i="5"/>
  <c r="AV195" i="5"/>
  <c r="AH195" i="5"/>
  <c r="S195" i="5"/>
  <c r="D195" i="5"/>
  <c r="BL194" i="5"/>
  <c r="AW194" i="5"/>
  <c r="AH194" i="5"/>
  <c r="P194" i="5"/>
  <c r="CA193" i="5"/>
  <c r="BL193" i="5"/>
  <c r="AS193" i="5"/>
  <c r="AC193" i="5"/>
  <c r="J193" i="5"/>
  <c r="BS192" i="5"/>
  <c r="AW192" i="5"/>
  <c r="AA192" i="5"/>
  <c r="F192" i="5"/>
  <c r="BN191" i="5"/>
  <c r="AR191" i="5"/>
  <c r="V191" i="5"/>
  <c r="BX190" i="5"/>
  <c r="AZ190" i="5"/>
  <c r="AB190" i="5"/>
  <c r="D190" i="5"/>
  <c r="BF189" i="5"/>
  <c r="AH189" i="5"/>
  <c r="L189" i="5"/>
  <c r="BN188" i="5"/>
  <c r="AM188" i="5"/>
  <c r="K188" i="5"/>
  <c r="BG187" i="5"/>
  <c r="AE187" i="5"/>
  <c r="I187" i="5"/>
  <c r="BC186" i="5"/>
  <c r="Y186" i="5"/>
  <c r="BQ185" i="5"/>
  <c r="AG185" i="5"/>
  <c r="BW184" i="5"/>
  <c r="AE184" i="5"/>
  <c r="BS183" i="5"/>
  <c r="AE183" i="5"/>
  <c r="BT182" i="5"/>
  <c r="AB182" i="5"/>
  <c r="BG181" i="5"/>
  <c r="L181" i="5"/>
  <c r="AP180" i="5"/>
  <c r="BU179" i="5"/>
  <c r="Y179" i="5"/>
  <c r="BK178" i="5"/>
  <c r="O178" i="5"/>
  <c r="AT177" i="5"/>
  <c r="BX176" i="5"/>
  <c r="AB176" i="5"/>
  <c r="BS175" i="5"/>
  <c r="W175" i="5"/>
  <c r="BA174" i="5"/>
  <c r="F174" i="5"/>
  <c r="AJ173" i="5"/>
  <c r="BO172" i="5"/>
  <c r="S172" i="5"/>
  <c r="AW171" i="5"/>
  <c r="AK170" i="5"/>
  <c r="BQ169" i="5"/>
  <c r="U169" i="5"/>
  <c r="P207" i="5"/>
  <c r="D207" i="5"/>
  <c r="BR206" i="5"/>
  <c r="BF206" i="5"/>
  <c r="AT206" i="5"/>
  <c r="AH206" i="5"/>
  <c r="V206" i="5"/>
  <c r="J206" i="5"/>
  <c r="BX205" i="5"/>
  <c r="BL205" i="5"/>
  <c r="AZ205" i="5"/>
  <c r="AN205" i="5"/>
  <c r="AB205" i="5"/>
  <c r="P205" i="5"/>
  <c r="D205" i="5"/>
  <c r="BR204" i="5"/>
  <c r="BF204" i="5"/>
  <c r="AT204" i="5"/>
  <c r="AH204" i="5"/>
  <c r="V204" i="5"/>
  <c r="J204" i="5"/>
  <c r="BX203" i="5"/>
  <c r="BL203" i="5"/>
  <c r="AZ203" i="5"/>
  <c r="AN203" i="5"/>
  <c r="AB203" i="5"/>
  <c r="P203" i="5"/>
  <c r="D203" i="5"/>
  <c r="BR202" i="5"/>
  <c r="BF202" i="5"/>
  <c r="AT202" i="5"/>
  <c r="AH202" i="5"/>
  <c r="V202" i="5"/>
  <c r="J202" i="5"/>
  <c r="BX201" i="5"/>
  <c r="BL201" i="5"/>
  <c r="AZ201" i="5"/>
  <c r="AN201" i="5"/>
  <c r="AB201" i="5"/>
  <c r="P201" i="5"/>
  <c r="D201" i="5"/>
  <c r="BR200" i="5"/>
  <c r="BF200" i="5"/>
  <c r="AT200" i="5"/>
  <c r="V200" i="5"/>
  <c r="J200" i="5"/>
  <c r="BX199" i="5"/>
  <c r="BL199" i="5"/>
  <c r="AZ199" i="5"/>
  <c r="AN199" i="5"/>
  <c r="AB199" i="5"/>
  <c r="P199" i="5"/>
  <c r="D199" i="5"/>
  <c r="BR198" i="5"/>
  <c r="BF198" i="5"/>
  <c r="AT198" i="5"/>
  <c r="AH198" i="5"/>
  <c r="V198" i="5"/>
  <c r="J198" i="5"/>
  <c r="BX197" i="5"/>
  <c r="BL197" i="5"/>
  <c r="AZ197" i="5"/>
  <c r="AN197" i="5"/>
  <c r="AB197" i="5"/>
  <c r="P197" i="5"/>
  <c r="C197" i="5"/>
  <c r="BO196" i="5"/>
  <c r="BB196" i="5"/>
  <c r="AO196" i="5"/>
  <c r="AA196" i="5"/>
  <c r="M196" i="5"/>
  <c r="BY195" i="5"/>
  <c r="BK195" i="5"/>
  <c r="AU195" i="5"/>
  <c r="AG195" i="5"/>
  <c r="R195" i="5"/>
  <c r="BZ194" i="5"/>
  <c r="BK194" i="5"/>
  <c r="AV194" i="5"/>
  <c r="AD194" i="5"/>
  <c r="O194" i="5"/>
  <c r="BZ193" i="5"/>
  <c r="BH193" i="5"/>
  <c r="AR193" i="5"/>
  <c r="I193" i="5"/>
  <c r="BN192" i="5"/>
  <c r="AV192" i="5"/>
  <c r="D192" i="5"/>
  <c r="BM191" i="5"/>
  <c r="AQ191" i="5"/>
  <c r="U191" i="5"/>
  <c r="BW190" i="5"/>
  <c r="AY190" i="5"/>
  <c r="AA190" i="5"/>
  <c r="C190" i="5"/>
  <c r="BE189" i="5"/>
  <c r="AG189" i="5"/>
  <c r="J189" i="5"/>
  <c r="BL188" i="5"/>
  <c r="AK188" i="5"/>
  <c r="G188" i="5"/>
  <c r="BE187" i="5"/>
  <c r="AC187" i="5"/>
  <c r="CA186" i="5"/>
  <c r="AW186" i="5"/>
  <c r="BP185" i="5"/>
  <c r="AF185" i="5"/>
  <c r="BU184" i="5"/>
  <c r="AD184" i="5"/>
  <c r="BR183" i="5"/>
  <c r="AD183" i="5"/>
  <c r="BO182" i="5"/>
  <c r="AA182" i="5"/>
  <c r="BF181" i="5"/>
  <c r="K181" i="5"/>
  <c r="AO180" i="5"/>
  <c r="BT179" i="5"/>
  <c r="X179" i="5"/>
  <c r="BC178" i="5"/>
  <c r="AQ177" i="5"/>
  <c r="BU176" i="5"/>
  <c r="Y176" i="5"/>
  <c r="BG175" i="5"/>
  <c r="K175" i="5"/>
  <c r="AO174" i="5"/>
  <c r="BT173" i="5"/>
  <c r="X173" i="5"/>
  <c r="BN172" i="5"/>
  <c r="R172" i="5"/>
  <c r="AV171" i="5"/>
  <c r="CA170" i="5"/>
  <c r="AE170" i="5"/>
  <c r="BO169" i="5"/>
  <c r="S169" i="5"/>
  <c r="O207" i="5"/>
  <c r="C207" i="5"/>
  <c r="BQ206" i="5"/>
  <c r="BE206" i="5"/>
  <c r="AS206" i="5"/>
  <c r="AG206" i="5"/>
  <c r="U206" i="5"/>
  <c r="I206" i="5"/>
  <c r="BW205" i="5"/>
  <c r="BK205" i="5"/>
  <c r="AY205" i="5"/>
  <c r="AA205" i="5"/>
  <c r="O205" i="5"/>
  <c r="C205" i="5"/>
  <c r="BQ204" i="5"/>
  <c r="BE204" i="5"/>
  <c r="AS204" i="5"/>
  <c r="AG204" i="5"/>
  <c r="U204" i="5"/>
  <c r="I204" i="5"/>
  <c r="BW203" i="5"/>
  <c r="BK203" i="5"/>
  <c r="AY203" i="5"/>
  <c r="AM203" i="5"/>
  <c r="AA203" i="5"/>
  <c r="O203" i="5"/>
  <c r="C203" i="5"/>
  <c r="BQ202" i="5"/>
  <c r="BE202" i="5"/>
  <c r="AS202" i="5"/>
  <c r="AG202" i="5"/>
  <c r="U202" i="5"/>
  <c r="I202" i="5"/>
  <c r="BW201" i="5"/>
  <c r="BK201" i="5"/>
  <c r="AY201" i="5"/>
  <c r="AM201" i="5"/>
  <c r="AA201" i="5"/>
  <c r="O201" i="5"/>
  <c r="C201" i="5"/>
  <c r="BQ200" i="5"/>
  <c r="BE200" i="5"/>
  <c r="AS200" i="5"/>
  <c r="AG200" i="5"/>
  <c r="U200" i="5"/>
  <c r="I200" i="5"/>
  <c r="BW199" i="5"/>
  <c r="BK199" i="5"/>
  <c r="AY199" i="5"/>
  <c r="AM199" i="5"/>
  <c r="AA199" i="5"/>
  <c r="O199" i="5"/>
  <c r="C199" i="5"/>
  <c r="BQ198" i="5"/>
  <c r="BE198" i="5"/>
  <c r="AS198" i="5"/>
  <c r="AG198" i="5"/>
  <c r="U198" i="5"/>
  <c r="I198" i="5"/>
  <c r="BW197" i="5"/>
  <c r="BK197" i="5"/>
  <c r="AY197" i="5"/>
  <c r="AM197" i="5"/>
  <c r="AA197" i="5"/>
  <c r="O197" i="5"/>
  <c r="CA196" i="5"/>
  <c r="BN196" i="5"/>
  <c r="BA196" i="5"/>
  <c r="AN196" i="5"/>
  <c r="Z196" i="5"/>
  <c r="L196" i="5"/>
  <c r="BX195" i="5"/>
  <c r="BH195" i="5"/>
  <c r="AT195" i="5"/>
  <c r="AF195" i="5"/>
  <c r="Q195" i="5"/>
  <c r="BY194" i="5"/>
  <c r="BJ194" i="5"/>
  <c r="AU194" i="5"/>
  <c r="AC194" i="5"/>
  <c r="N194" i="5"/>
  <c r="BY193" i="5"/>
  <c r="BG193" i="5"/>
  <c r="AQ193" i="5"/>
  <c r="X193" i="5"/>
  <c r="H193" i="5"/>
  <c r="BL192" i="5"/>
  <c r="AU192" i="5"/>
  <c r="Y192" i="5"/>
  <c r="C192" i="5"/>
  <c r="BH191" i="5"/>
  <c r="AP191" i="5"/>
  <c r="T191" i="5"/>
  <c r="BV190" i="5"/>
  <c r="AX190" i="5"/>
  <c r="Z190" i="5"/>
  <c r="B190" i="5"/>
  <c r="BD189" i="5"/>
  <c r="AF189" i="5"/>
  <c r="I189" i="5"/>
  <c r="BK188" i="5"/>
  <c r="AJ188" i="5"/>
  <c r="F188" i="5"/>
  <c r="BD187" i="5"/>
  <c r="AB187" i="5"/>
  <c r="BY186" i="5"/>
  <c r="AU186" i="5"/>
  <c r="P186" i="5"/>
  <c r="BF185" i="5"/>
  <c r="V185" i="5"/>
  <c r="BK184" i="5"/>
  <c r="S184" i="5"/>
  <c r="BQ183" i="5"/>
  <c r="Y183" i="5"/>
  <c r="BN182" i="5"/>
  <c r="Y182" i="5"/>
  <c r="BE181" i="5"/>
  <c r="J181" i="5"/>
  <c r="AN180" i="5"/>
  <c r="BS179" i="5"/>
  <c r="W179" i="5"/>
  <c r="BB178" i="5"/>
  <c r="G178" i="5"/>
  <c r="AK177" i="5"/>
  <c r="BO176" i="5"/>
  <c r="S176" i="5"/>
  <c r="BE175" i="5"/>
  <c r="AM174" i="5"/>
  <c r="BR173" i="5"/>
  <c r="V173" i="5"/>
  <c r="BB172" i="5"/>
  <c r="AJ171" i="5"/>
  <c r="BO170" i="5"/>
  <c r="S170" i="5"/>
  <c r="BI169" i="5"/>
  <c r="M169" i="5"/>
  <c r="BY192" i="5"/>
  <c r="BM192" i="5"/>
  <c r="BA192" i="5"/>
  <c r="AO192" i="5"/>
  <c r="AC192" i="5"/>
  <c r="Q192" i="5"/>
  <c r="E192" i="5"/>
  <c r="BS191" i="5"/>
  <c r="BG191" i="5"/>
  <c r="AU191" i="5"/>
  <c r="AI191" i="5"/>
  <c r="W191" i="5"/>
  <c r="K191" i="5"/>
  <c r="BY190" i="5"/>
  <c r="BM190" i="5"/>
  <c r="BA190" i="5"/>
  <c r="AO190" i="5"/>
  <c r="AC190" i="5"/>
  <c r="Q190" i="5"/>
  <c r="E190" i="5"/>
  <c r="BS189" i="5"/>
  <c r="BG189" i="5"/>
  <c r="AU189" i="5"/>
  <c r="AI189" i="5"/>
  <c r="K189" i="5"/>
  <c r="BY188" i="5"/>
  <c r="BM188" i="5"/>
  <c r="AZ188" i="5"/>
  <c r="AL188" i="5"/>
  <c r="X188" i="5"/>
  <c r="J188" i="5"/>
  <c r="BT187" i="5"/>
  <c r="BF187" i="5"/>
  <c r="AR187" i="5"/>
  <c r="AD187" i="5"/>
  <c r="P187" i="5"/>
  <c r="BZ186" i="5"/>
  <c r="BK186" i="5"/>
  <c r="AV186" i="5"/>
  <c r="AD186" i="5"/>
  <c r="O186" i="5"/>
  <c r="BU185" i="5"/>
  <c r="BE185" i="5"/>
  <c r="AK185" i="5"/>
  <c r="U185" i="5"/>
  <c r="CA184" i="5"/>
  <c r="BI184" i="5"/>
  <c r="AN184" i="5"/>
  <c r="BZ183" i="5"/>
  <c r="BE183" i="5"/>
  <c r="AI183" i="5"/>
  <c r="BW182" i="5"/>
  <c r="BA182" i="5"/>
  <c r="AD182" i="5"/>
  <c r="F182" i="5"/>
  <c r="BH181" i="5"/>
  <c r="AJ181" i="5"/>
  <c r="M181" i="5"/>
  <c r="BO180" i="5"/>
  <c r="AQ180" i="5"/>
  <c r="S180" i="5"/>
  <c r="CA179" i="5"/>
  <c r="BC179" i="5"/>
  <c r="AE179" i="5"/>
  <c r="G179" i="5"/>
  <c r="BI178" i="5"/>
  <c r="AK178" i="5"/>
  <c r="M178" i="5"/>
  <c r="BQ177" i="5"/>
  <c r="AS177" i="5"/>
  <c r="U177" i="5"/>
  <c r="BW176" i="5"/>
  <c r="AY176" i="5"/>
  <c r="AA176" i="5"/>
  <c r="D176" i="5"/>
  <c r="BF175" i="5"/>
  <c r="AH175" i="5"/>
  <c r="J175" i="5"/>
  <c r="BL174" i="5"/>
  <c r="AN174" i="5"/>
  <c r="P174" i="5"/>
  <c r="BS173" i="5"/>
  <c r="AU173" i="5"/>
  <c r="W173" i="5"/>
  <c r="BY172" i="5"/>
  <c r="BA172" i="5"/>
  <c r="AC172" i="5"/>
  <c r="E172" i="5"/>
  <c r="BG171" i="5"/>
  <c r="AI171" i="5"/>
  <c r="K171" i="5"/>
  <c r="BN170" i="5"/>
  <c r="AP170" i="5"/>
  <c r="R170" i="5"/>
  <c r="BT169" i="5"/>
  <c r="AV169" i="5"/>
  <c r="X169" i="5"/>
  <c r="AC191" i="5"/>
  <c r="Q191" i="5"/>
  <c r="E191" i="5"/>
  <c r="BS190" i="5"/>
  <c r="BG190" i="5"/>
  <c r="AU190" i="5"/>
  <c r="AI190" i="5"/>
  <c r="W190" i="5"/>
  <c r="K190" i="5"/>
  <c r="BY189" i="5"/>
  <c r="BM189" i="5"/>
  <c r="BA189" i="5"/>
  <c r="AO189" i="5"/>
  <c r="AC189" i="5"/>
  <c r="Q189" i="5"/>
  <c r="E189" i="5"/>
  <c r="BS188" i="5"/>
  <c r="BG188" i="5"/>
  <c r="AT188" i="5"/>
  <c r="AD188" i="5"/>
  <c r="P188" i="5"/>
  <c r="B188" i="5"/>
  <c r="BN187" i="5"/>
  <c r="AZ187" i="5"/>
  <c r="AJ187" i="5"/>
  <c r="V187" i="5"/>
  <c r="H187" i="5"/>
  <c r="BT186" i="5"/>
  <c r="BB186" i="5"/>
  <c r="AM186" i="5"/>
  <c r="X186" i="5"/>
  <c r="E186" i="5"/>
  <c r="BO185" i="5"/>
  <c r="AU185" i="5"/>
  <c r="AE185" i="5"/>
  <c r="K185" i="5"/>
  <c r="BT184" i="5"/>
  <c r="AY184" i="5"/>
  <c r="AC184" i="5"/>
  <c r="G184" i="5"/>
  <c r="BO183" i="5"/>
  <c r="AT183" i="5"/>
  <c r="X183" i="5"/>
  <c r="G183" i="5"/>
  <c r="BL182" i="5"/>
  <c r="AP182" i="5"/>
  <c r="R182" i="5"/>
  <c r="BT181" i="5"/>
  <c r="AV181" i="5"/>
  <c r="X181" i="5"/>
  <c r="CA180" i="5"/>
  <c r="BC180" i="5"/>
  <c r="AE180" i="5"/>
  <c r="M180" i="5"/>
  <c r="BO179" i="5"/>
  <c r="AQ179" i="5"/>
  <c r="S179" i="5"/>
  <c r="BU178" i="5"/>
  <c r="AW178" i="5"/>
  <c r="Y178" i="5"/>
  <c r="C178" i="5"/>
  <c r="BE177" i="5"/>
  <c r="AG177" i="5"/>
  <c r="I177" i="5"/>
  <c r="BK176" i="5"/>
  <c r="AM176" i="5"/>
  <c r="O176" i="5"/>
  <c r="BR175" i="5"/>
  <c r="AT175" i="5"/>
  <c r="V175" i="5"/>
  <c r="BX174" i="5"/>
  <c r="AZ174" i="5"/>
  <c r="AB174" i="5"/>
  <c r="E174" i="5"/>
  <c r="BG173" i="5"/>
  <c r="AI173" i="5"/>
  <c r="K173" i="5"/>
  <c r="BM172" i="5"/>
  <c r="AO172" i="5"/>
  <c r="Q172" i="5"/>
  <c r="BS171" i="5"/>
  <c r="AU171" i="5"/>
  <c r="W171" i="5"/>
  <c r="BZ170" i="5"/>
  <c r="BB170" i="5"/>
  <c r="AD170" i="5"/>
  <c r="F170" i="5"/>
  <c r="BH169" i="5"/>
  <c r="AJ169" i="5"/>
  <c r="L169" i="5"/>
  <c r="AZ193" i="5"/>
  <c r="AN193" i="5"/>
  <c r="AB193" i="5"/>
  <c r="P193" i="5"/>
  <c r="D193" i="5"/>
  <c r="BR192" i="5"/>
  <c r="BF192" i="5"/>
  <c r="AT192" i="5"/>
  <c r="AH192" i="5"/>
  <c r="V192" i="5"/>
  <c r="J192" i="5"/>
  <c r="BX191" i="5"/>
  <c r="BL191" i="5"/>
  <c r="AZ191" i="5"/>
  <c r="AN191" i="5"/>
  <c r="AB191" i="5"/>
  <c r="P191" i="5"/>
  <c r="D191" i="5"/>
  <c r="BR190" i="5"/>
  <c r="BF190" i="5"/>
  <c r="AT190" i="5"/>
  <c r="AH190" i="5"/>
  <c r="V190" i="5"/>
  <c r="J190" i="5"/>
  <c r="BX189" i="5"/>
  <c r="BL189" i="5"/>
  <c r="AZ189" i="5"/>
  <c r="AN189" i="5"/>
  <c r="AB189" i="5"/>
  <c r="P189" i="5"/>
  <c r="D189" i="5"/>
  <c r="BR188" i="5"/>
  <c r="BF188" i="5"/>
  <c r="AQ188" i="5"/>
  <c r="AC188" i="5"/>
  <c r="O188" i="5"/>
  <c r="CA187" i="5"/>
  <c r="BM187" i="5"/>
  <c r="AW187" i="5"/>
  <c r="AI187" i="5"/>
  <c r="G187" i="5"/>
  <c r="BS186" i="5"/>
  <c r="BA186" i="5"/>
  <c r="AL186" i="5"/>
  <c r="D186" i="5"/>
  <c r="BN185" i="5"/>
  <c r="AT185" i="5"/>
  <c r="AD185" i="5"/>
  <c r="J185" i="5"/>
  <c r="BO184" i="5"/>
  <c r="AW184" i="5"/>
  <c r="AB184" i="5"/>
  <c r="F184" i="5"/>
  <c r="BN183" i="5"/>
  <c r="AS183" i="5"/>
  <c r="W183" i="5"/>
  <c r="F183" i="5"/>
  <c r="BK182" i="5"/>
  <c r="AO182" i="5"/>
  <c r="Q182" i="5"/>
  <c r="BS181" i="5"/>
  <c r="AU181" i="5"/>
  <c r="W181" i="5"/>
  <c r="BZ180" i="5"/>
  <c r="BB180" i="5"/>
  <c r="AD180" i="5"/>
  <c r="G180" i="5"/>
  <c r="BI179" i="5"/>
  <c r="AK179" i="5"/>
  <c r="BO178" i="5"/>
  <c r="AQ178" i="5"/>
  <c r="S178" i="5"/>
  <c r="CA177" i="5"/>
  <c r="BC177" i="5"/>
  <c r="AE177" i="5"/>
  <c r="G177" i="5"/>
  <c r="BI176" i="5"/>
  <c r="AK176" i="5"/>
  <c r="M176" i="5"/>
  <c r="BQ175" i="5"/>
  <c r="AS175" i="5"/>
  <c r="U175" i="5"/>
  <c r="BW174" i="5"/>
  <c r="AY174" i="5"/>
  <c r="AA174" i="5"/>
  <c r="D174" i="5"/>
  <c r="BF173" i="5"/>
  <c r="AH173" i="5"/>
  <c r="J173" i="5"/>
  <c r="BL172" i="5"/>
  <c r="AN172" i="5"/>
  <c r="P172" i="5"/>
  <c r="BR171" i="5"/>
  <c r="AT171" i="5"/>
  <c r="V171" i="5"/>
  <c r="BY170" i="5"/>
  <c r="BA170" i="5"/>
  <c r="AC170" i="5"/>
  <c r="E170" i="5"/>
  <c r="BG169" i="5"/>
  <c r="AI169" i="5"/>
  <c r="K169" i="5"/>
  <c r="AA195" i="5"/>
  <c r="O195" i="5"/>
  <c r="C195" i="5"/>
  <c r="BQ194" i="5"/>
  <c r="BE194" i="5"/>
  <c r="AS194" i="5"/>
  <c r="AG194" i="5"/>
  <c r="U194" i="5"/>
  <c r="I194" i="5"/>
  <c r="BW193" i="5"/>
  <c r="BK193" i="5"/>
  <c r="AY193" i="5"/>
  <c r="AM193" i="5"/>
  <c r="O193" i="5"/>
  <c r="C193" i="5"/>
  <c r="BQ192" i="5"/>
  <c r="BE192" i="5"/>
  <c r="AS192" i="5"/>
  <c r="AG192" i="5"/>
  <c r="U192" i="5"/>
  <c r="I192" i="5"/>
  <c r="BW191" i="5"/>
  <c r="BK191" i="5"/>
  <c r="AY191" i="5"/>
  <c r="AM191" i="5"/>
  <c r="AA191" i="5"/>
  <c r="O191" i="5"/>
  <c r="C191" i="5"/>
  <c r="BQ190" i="5"/>
  <c r="BE190" i="5"/>
  <c r="AS190" i="5"/>
  <c r="AG190" i="5"/>
  <c r="U190" i="5"/>
  <c r="I190" i="5"/>
  <c r="BW189" i="5"/>
  <c r="BK189" i="5"/>
  <c r="AY189" i="5"/>
  <c r="AM189" i="5"/>
  <c r="AA189" i="5"/>
  <c r="O189" i="5"/>
  <c r="C189" i="5"/>
  <c r="BQ188" i="5"/>
  <c r="BE188" i="5"/>
  <c r="AP188" i="5"/>
  <c r="AB188" i="5"/>
  <c r="N188" i="5"/>
  <c r="BZ187" i="5"/>
  <c r="BL187" i="5"/>
  <c r="AV187" i="5"/>
  <c r="AH187" i="5"/>
  <c r="T187" i="5"/>
  <c r="F187" i="5"/>
  <c r="BO186" i="5"/>
  <c r="AZ186" i="5"/>
  <c r="AK186" i="5"/>
  <c r="S186" i="5"/>
  <c r="C186" i="5"/>
  <c r="BI185" i="5"/>
  <c r="AS185" i="5"/>
  <c r="Y185" i="5"/>
  <c r="I185" i="5"/>
  <c r="BN184" i="5"/>
  <c r="AV184" i="5"/>
  <c r="AA184" i="5"/>
  <c r="E184" i="5"/>
  <c r="BI183" i="5"/>
  <c r="AQ183" i="5"/>
  <c r="V183" i="5"/>
  <c r="CA182" i="5"/>
  <c r="BI182" i="5"/>
  <c r="AN182" i="5"/>
  <c r="BR181" i="5"/>
  <c r="AT181" i="5"/>
  <c r="V181" i="5"/>
  <c r="BY180" i="5"/>
  <c r="BA180" i="5"/>
  <c r="AC180" i="5"/>
  <c r="F180" i="5"/>
  <c r="BH179" i="5"/>
  <c r="AJ179" i="5"/>
  <c r="L179" i="5"/>
  <c r="BN178" i="5"/>
  <c r="AP178" i="5"/>
  <c r="R178" i="5"/>
  <c r="BU177" i="5"/>
  <c r="AW177" i="5"/>
  <c r="Y177" i="5"/>
  <c r="CA176" i="5"/>
  <c r="BC176" i="5"/>
  <c r="AE176" i="5"/>
  <c r="BO175" i="5"/>
  <c r="AQ175" i="5"/>
  <c r="S175" i="5"/>
  <c r="BU174" i="5"/>
  <c r="AW174" i="5"/>
  <c r="Y174" i="5"/>
  <c r="C174" i="5"/>
  <c r="BE173" i="5"/>
  <c r="AG173" i="5"/>
  <c r="I173" i="5"/>
  <c r="BK172" i="5"/>
  <c r="AM172" i="5"/>
  <c r="O172" i="5"/>
  <c r="BQ171" i="5"/>
  <c r="AS171" i="5"/>
  <c r="U171" i="5"/>
  <c r="BX170" i="5"/>
  <c r="AZ170" i="5"/>
  <c r="AB170" i="5"/>
  <c r="BF169" i="5"/>
  <c r="AH169" i="5"/>
  <c r="J169" i="5"/>
  <c r="N197" i="5"/>
  <c r="B197" i="5"/>
  <c r="BP196" i="5"/>
  <c r="BD196" i="5"/>
  <c r="AR196" i="5"/>
  <c r="AF196" i="5"/>
  <c r="T196" i="5"/>
  <c r="H196" i="5"/>
  <c r="BV195" i="5"/>
  <c r="BJ195" i="5"/>
  <c r="AX195" i="5"/>
  <c r="AL195" i="5"/>
  <c r="Z195" i="5"/>
  <c r="N195" i="5"/>
  <c r="B195" i="5"/>
  <c r="BP194" i="5"/>
  <c r="BD194" i="5"/>
  <c r="AR194" i="5"/>
  <c r="AF194" i="5"/>
  <c r="T194" i="5"/>
  <c r="H194" i="5"/>
  <c r="BV193" i="5"/>
  <c r="BJ193" i="5"/>
  <c r="AX193" i="5"/>
  <c r="AL193" i="5"/>
  <c r="Z193" i="5"/>
  <c r="N193" i="5"/>
  <c r="B193" i="5"/>
  <c r="BP192" i="5"/>
  <c r="BD192" i="5"/>
  <c r="AR192" i="5"/>
  <c r="AF192" i="5"/>
  <c r="T192" i="5"/>
  <c r="H192" i="5"/>
  <c r="BV191" i="5"/>
  <c r="BJ191" i="5"/>
  <c r="AX191" i="5"/>
  <c r="AL191" i="5"/>
  <c r="Z191" i="5"/>
  <c r="N191" i="5"/>
  <c r="B191" i="5"/>
  <c r="BP190" i="5"/>
  <c r="BD190" i="5"/>
  <c r="AR190" i="5"/>
  <c r="AF190" i="5"/>
  <c r="T190" i="5"/>
  <c r="H190" i="5"/>
  <c r="BV189" i="5"/>
  <c r="BJ189" i="5"/>
  <c r="AX189" i="5"/>
  <c r="AL189" i="5"/>
  <c r="Z189" i="5"/>
  <c r="N189" i="5"/>
  <c r="B189" i="5"/>
  <c r="BP188" i="5"/>
  <c r="BC188" i="5"/>
  <c r="AO188" i="5"/>
  <c r="AA188" i="5"/>
  <c r="M188" i="5"/>
  <c r="BY187" i="5"/>
  <c r="BI187" i="5"/>
  <c r="AU187" i="5"/>
  <c r="AG187" i="5"/>
  <c r="S187" i="5"/>
  <c r="E187" i="5"/>
  <c r="BN186" i="5"/>
  <c r="AY186" i="5"/>
  <c r="AJ186" i="5"/>
  <c r="R186" i="5"/>
  <c r="B186" i="5"/>
  <c r="BH185" i="5"/>
  <c r="AR185" i="5"/>
  <c r="X185" i="5"/>
  <c r="H185" i="5"/>
  <c r="BM184" i="5"/>
  <c r="AQ184" i="5"/>
  <c r="Y184" i="5"/>
  <c r="D184" i="5"/>
  <c r="BH183" i="5"/>
  <c r="AP183" i="5"/>
  <c r="U183" i="5"/>
  <c r="BZ182" i="5"/>
  <c r="BH182" i="5"/>
  <c r="AM182" i="5"/>
  <c r="O182" i="5"/>
  <c r="BQ181" i="5"/>
  <c r="AS181" i="5"/>
  <c r="U181" i="5"/>
  <c r="BX180" i="5"/>
  <c r="AZ180" i="5"/>
  <c r="AB180" i="5"/>
  <c r="E180" i="5"/>
  <c r="BG179" i="5"/>
  <c r="AI179" i="5"/>
  <c r="K179" i="5"/>
  <c r="BM178" i="5"/>
  <c r="AO178" i="5"/>
  <c r="Q178" i="5"/>
  <c r="BT177" i="5"/>
  <c r="AV177" i="5"/>
  <c r="X177" i="5"/>
  <c r="BZ176" i="5"/>
  <c r="BB176" i="5"/>
  <c r="AD176" i="5"/>
  <c r="G176" i="5"/>
  <c r="BI175" i="5"/>
  <c r="AK175" i="5"/>
  <c r="M175" i="5"/>
  <c r="BO174" i="5"/>
  <c r="AQ174" i="5"/>
  <c r="S174" i="5"/>
  <c r="CA173" i="5"/>
  <c r="BC173" i="5"/>
  <c r="AE173" i="5"/>
  <c r="BI172" i="5"/>
  <c r="AK172" i="5"/>
  <c r="M172" i="5"/>
  <c r="BO171" i="5"/>
  <c r="AQ171" i="5"/>
  <c r="S171" i="5"/>
  <c r="BW170" i="5"/>
  <c r="AY170" i="5"/>
  <c r="AA170" i="5"/>
  <c r="C170" i="5"/>
  <c r="BE169" i="5"/>
  <c r="AG169" i="5"/>
  <c r="I169" i="5"/>
  <c r="AE196" i="5"/>
  <c r="S196" i="5"/>
  <c r="G196" i="5"/>
  <c r="BU195" i="5"/>
  <c r="BI195" i="5"/>
  <c r="AW195" i="5"/>
  <c r="AK195" i="5"/>
  <c r="Y195" i="5"/>
  <c r="M195" i="5"/>
  <c r="CA194" i="5"/>
  <c r="BO194" i="5"/>
  <c r="BC194" i="5"/>
  <c r="AQ194" i="5"/>
  <c r="AE194" i="5"/>
  <c r="S194" i="5"/>
  <c r="G194" i="5"/>
  <c r="BU193" i="5"/>
  <c r="BI193" i="5"/>
  <c r="AW193" i="5"/>
  <c r="AK193" i="5"/>
  <c r="Y193" i="5"/>
  <c r="M193" i="5"/>
  <c r="CA192" i="5"/>
  <c r="BO192" i="5"/>
  <c r="BC192" i="5"/>
  <c r="AQ192" i="5"/>
  <c r="AE192" i="5"/>
  <c r="S192" i="5"/>
  <c r="G192" i="5"/>
  <c r="BU191" i="5"/>
  <c r="BI191" i="5"/>
  <c r="AW191" i="5"/>
  <c r="AK191" i="5"/>
  <c r="M191" i="5"/>
  <c r="CA190" i="5"/>
  <c r="BO190" i="5"/>
  <c r="BC190" i="5"/>
  <c r="AQ190" i="5"/>
  <c r="AE190" i="5"/>
  <c r="S190" i="5"/>
  <c r="G190" i="5"/>
  <c r="BU189" i="5"/>
  <c r="BI189" i="5"/>
  <c r="AW189" i="5"/>
  <c r="AK189" i="5"/>
  <c r="Y189" i="5"/>
  <c r="M189" i="5"/>
  <c r="CA188" i="5"/>
  <c r="BO188" i="5"/>
  <c r="BB188" i="5"/>
  <c r="AN188" i="5"/>
  <c r="Z188" i="5"/>
  <c r="L188" i="5"/>
  <c r="BX187" i="5"/>
  <c r="BH187" i="5"/>
  <c r="AT187" i="5"/>
  <c r="AF187" i="5"/>
  <c r="R187" i="5"/>
  <c r="D187" i="5"/>
  <c r="BM186" i="5"/>
  <c r="AX186" i="5"/>
  <c r="AI186" i="5"/>
  <c r="Q186" i="5"/>
  <c r="CA185" i="5"/>
  <c r="BG185" i="5"/>
  <c r="AQ185" i="5"/>
  <c r="W185" i="5"/>
  <c r="G185" i="5"/>
  <c r="BL184" i="5"/>
  <c r="AP184" i="5"/>
  <c r="X184" i="5"/>
  <c r="C184" i="5"/>
  <c r="BG183" i="5"/>
  <c r="AK183" i="5"/>
  <c r="S183" i="5"/>
  <c r="BY182" i="5"/>
  <c r="BC182" i="5"/>
  <c r="AK182" i="5"/>
  <c r="M182" i="5"/>
  <c r="BO181" i="5"/>
  <c r="AQ181" i="5"/>
  <c r="S181" i="5"/>
  <c r="BW180" i="5"/>
  <c r="AY180" i="5"/>
  <c r="AA180" i="5"/>
  <c r="D180" i="5"/>
  <c r="BF179" i="5"/>
  <c r="AH179" i="5"/>
  <c r="J179" i="5"/>
  <c r="BL178" i="5"/>
  <c r="AN178" i="5"/>
  <c r="P178" i="5"/>
  <c r="BS177" i="5"/>
  <c r="AU177" i="5"/>
  <c r="W177" i="5"/>
  <c r="BY176" i="5"/>
  <c r="BA176" i="5"/>
  <c r="AC176" i="5"/>
  <c r="F176" i="5"/>
  <c r="BH175" i="5"/>
  <c r="AJ175" i="5"/>
  <c r="L175" i="5"/>
  <c r="BN174" i="5"/>
  <c r="AP174" i="5"/>
  <c r="R174" i="5"/>
  <c r="BU173" i="5"/>
  <c r="AW173" i="5"/>
  <c r="Y173" i="5"/>
  <c r="CA172" i="5"/>
  <c r="BC172" i="5"/>
  <c r="AE172" i="5"/>
  <c r="G172" i="5"/>
  <c r="BI171" i="5"/>
  <c r="AK171" i="5"/>
  <c r="M171" i="5"/>
  <c r="BU170" i="5"/>
  <c r="AW170" i="5"/>
  <c r="Y170" i="5"/>
  <c r="CA169" i="5"/>
  <c r="BC169" i="5"/>
  <c r="AE169" i="5"/>
  <c r="G169" i="5"/>
  <c r="BV184" i="5"/>
  <c r="BJ184" i="5"/>
  <c r="AX184" i="5"/>
  <c r="AL184" i="5"/>
  <c r="Z184" i="5"/>
  <c r="N184" i="5"/>
  <c r="B184" i="5"/>
  <c r="BP183" i="5"/>
  <c r="BD183" i="5"/>
  <c r="AR183" i="5"/>
  <c r="AF183" i="5"/>
  <c r="T183" i="5"/>
  <c r="H183" i="5"/>
  <c r="BV182" i="5"/>
  <c r="BJ182" i="5"/>
  <c r="AX182" i="5"/>
  <c r="AL182" i="5"/>
  <c r="Z182" i="5"/>
  <c r="N182" i="5"/>
  <c r="B182" i="5"/>
  <c r="BP181" i="5"/>
  <c r="BD181" i="5"/>
  <c r="AR181" i="5"/>
  <c r="AF181" i="5"/>
  <c r="T181" i="5"/>
  <c r="H181" i="5"/>
  <c r="BV180" i="5"/>
  <c r="BJ180" i="5"/>
  <c r="AX180" i="5"/>
  <c r="AL180" i="5"/>
  <c r="Z180" i="5"/>
  <c r="B180" i="5"/>
  <c r="BP179" i="5"/>
  <c r="BD179" i="5"/>
  <c r="AR179" i="5"/>
  <c r="AF179" i="5"/>
  <c r="T179" i="5"/>
  <c r="H179" i="5"/>
  <c r="BV178" i="5"/>
  <c r="BJ178" i="5"/>
  <c r="AX178" i="5"/>
  <c r="AL178" i="5"/>
  <c r="Z178" i="5"/>
  <c r="N178" i="5"/>
  <c r="B178" i="5"/>
  <c r="BP177" i="5"/>
  <c r="BD177" i="5"/>
  <c r="AR177" i="5"/>
  <c r="AF177" i="5"/>
  <c r="T177" i="5"/>
  <c r="H177" i="5"/>
  <c r="BV176" i="5"/>
  <c r="BJ176" i="5"/>
  <c r="AX176" i="5"/>
  <c r="AL176" i="5"/>
  <c r="Z176" i="5"/>
  <c r="N176" i="5"/>
  <c r="B176" i="5"/>
  <c r="BP175" i="5"/>
  <c r="BD175" i="5"/>
  <c r="AR175" i="5"/>
  <c r="AF175" i="5"/>
  <c r="T175" i="5"/>
  <c r="H175" i="5"/>
  <c r="BV174" i="5"/>
  <c r="BJ174" i="5"/>
  <c r="AX174" i="5"/>
  <c r="AL174" i="5"/>
  <c r="Z174" i="5"/>
  <c r="N174" i="5"/>
  <c r="B174" i="5"/>
  <c r="BP173" i="5"/>
  <c r="BD173" i="5"/>
  <c r="AR173" i="5"/>
  <c r="AF173" i="5"/>
  <c r="T173" i="5"/>
  <c r="H173" i="5"/>
  <c r="BV172" i="5"/>
  <c r="BJ172" i="5"/>
  <c r="AX172" i="5"/>
  <c r="AL172" i="5"/>
  <c r="Z172" i="5"/>
  <c r="N172" i="5"/>
  <c r="B172" i="5"/>
  <c r="BP171" i="5"/>
  <c r="BD171" i="5"/>
  <c r="AR171" i="5"/>
  <c r="AF171" i="5"/>
  <c r="T171" i="5"/>
  <c r="H171" i="5"/>
  <c r="BV170" i="5"/>
  <c r="BJ170" i="5"/>
  <c r="AX170" i="5"/>
  <c r="AL170" i="5"/>
  <c r="Z170" i="5"/>
  <c r="N170" i="5"/>
  <c r="B170" i="5"/>
  <c r="BP169" i="5"/>
  <c r="BD169" i="5"/>
  <c r="AR169" i="5"/>
  <c r="AF169" i="5"/>
  <c r="T169" i="5"/>
  <c r="H169" i="5"/>
  <c r="AJ182" i="5"/>
  <c r="X182" i="5"/>
  <c r="L182" i="5"/>
  <c r="BZ181" i="5"/>
  <c r="BN181" i="5"/>
  <c r="BB181" i="5"/>
  <c r="AP181" i="5"/>
  <c r="AD181" i="5"/>
  <c r="R181" i="5"/>
  <c r="F181" i="5"/>
  <c r="BT180" i="5"/>
  <c r="BH180" i="5"/>
  <c r="AV180" i="5"/>
  <c r="AJ180" i="5"/>
  <c r="X180" i="5"/>
  <c r="L180" i="5"/>
  <c r="BZ179" i="5"/>
  <c r="BN179" i="5"/>
  <c r="BB179" i="5"/>
  <c r="AP179" i="5"/>
  <c r="AD179" i="5"/>
  <c r="R179" i="5"/>
  <c r="F179" i="5"/>
  <c r="BT178" i="5"/>
  <c r="BH178" i="5"/>
  <c r="AV178" i="5"/>
  <c r="AJ178" i="5"/>
  <c r="X178" i="5"/>
  <c r="BZ177" i="5"/>
  <c r="BN177" i="5"/>
  <c r="BB177" i="5"/>
  <c r="AP177" i="5"/>
  <c r="AD177" i="5"/>
  <c r="R177" i="5"/>
  <c r="F177" i="5"/>
  <c r="BT176" i="5"/>
  <c r="BH176" i="5"/>
  <c r="AV176" i="5"/>
  <c r="AJ176" i="5"/>
  <c r="X176" i="5"/>
  <c r="L176" i="5"/>
  <c r="BZ175" i="5"/>
  <c r="BN175" i="5"/>
  <c r="BB175" i="5"/>
  <c r="AP175" i="5"/>
  <c r="AD175" i="5"/>
  <c r="R175" i="5"/>
  <c r="F175" i="5"/>
  <c r="BT174" i="5"/>
  <c r="BH174" i="5"/>
  <c r="AV174" i="5"/>
  <c r="AJ174" i="5"/>
  <c r="X174" i="5"/>
  <c r="L174" i="5"/>
  <c r="BZ173" i="5"/>
  <c r="BN173" i="5"/>
  <c r="BB173" i="5"/>
  <c r="AP173" i="5"/>
  <c r="AD173" i="5"/>
  <c r="R173" i="5"/>
  <c r="F173" i="5"/>
  <c r="BT172" i="5"/>
  <c r="BH172" i="5"/>
  <c r="AV172" i="5"/>
  <c r="AJ172" i="5"/>
  <c r="X172" i="5"/>
  <c r="L172" i="5"/>
  <c r="BZ171" i="5"/>
  <c r="BN171" i="5"/>
  <c r="BB171" i="5"/>
  <c r="AP171" i="5"/>
  <c r="AD171" i="5"/>
  <c r="R171" i="5"/>
  <c r="F171" i="5"/>
  <c r="BT170" i="5"/>
  <c r="BH170" i="5"/>
  <c r="AV170" i="5"/>
  <c r="AJ170" i="5"/>
  <c r="X170" i="5"/>
  <c r="L170" i="5"/>
  <c r="BZ169" i="5"/>
  <c r="BN169" i="5"/>
  <c r="BB169" i="5"/>
  <c r="AP169" i="5"/>
  <c r="AD169" i="5"/>
  <c r="R169" i="5"/>
  <c r="F169" i="5"/>
  <c r="W186" i="5"/>
  <c r="K186" i="5"/>
  <c r="BY185" i="5"/>
  <c r="BM185" i="5"/>
  <c r="BA185" i="5"/>
  <c r="AO185" i="5"/>
  <c r="AC185" i="5"/>
  <c r="Q185" i="5"/>
  <c r="E185" i="5"/>
  <c r="BS184" i="5"/>
  <c r="BG184" i="5"/>
  <c r="AU184" i="5"/>
  <c r="AI184" i="5"/>
  <c r="W184" i="5"/>
  <c r="K184" i="5"/>
  <c r="BY183" i="5"/>
  <c r="BM183" i="5"/>
  <c r="BA183" i="5"/>
  <c r="AO183" i="5"/>
  <c r="AC183" i="5"/>
  <c r="E183" i="5"/>
  <c r="BS182" i="5"/>
  <c r="BG182" i="5"/>
  <c r="AU182" i="5"/>
  <c r="AI182" i="5"/>
  <c r="W182" i="5"/>
  <c r="K182" i="5"/>
  <c r="BY181" i="5"/>
  <c r="BM181" i="5"/>
  <c r="BA181" i="5"/>
  <c r="AO181" i="5"/>
  <c r="AC181" i="5"/>
  <c r="Q181" i="5"/>
  <c r="E181" i="5"/>
  <c r="BS180" i="5"/>
  <c r="BG180" i="5"/>
  <c r="AU180" i="5"/>
  <c r="AI180" i="5"/>
  <c r="W180" i="5"/>
  <c r="K180" i="5"/>
  <c r="BY179" i="5"/>
  <c r="BM179" i="5"/>
  <c r="BA179" i="5"/>
  <c r="AO179" i="5"/>
  <c r="AC179" i="5"/>
  <c r="Q179" i="5"/>
  <c r="E179" i="5"/>
  <c r="BS178" i="5"/>
  <c r="BG178" i="5"/>
  <c r="AU178" i="5"/>
  <c r="AI178" i="5"/>
  <c r="W178" i="5"/>
  <c r="K178" i="5"/>
  <c r="BY177" i="5"/>
  <c r="BM177" i="5"/>
  <c r="BA177" i="5"/>
  <c r="AO177" i="5"/>
  <c r="AC177" i="5"/>
  <c r="Q177" i="5"/>
  <c r="E177" i="5"/>
  <c r="BS176" i="5"/>
  <c r="BG176" i="5"/>
  <c r="AU176" i="5"/>
  <c r="AI176" i="5"/>
  <c r="W176" i="5"/>
  <c r="K176" i="5"/>
  <c r="BY175" i="5"/>
  <c r="BM175" i="5"/>
  <c r="BA175" i="5"/>
  <c r="AO175" i="5"/>
  <c r="AC175" i="5"/>
  <c r="Q175" i="5"/>
  <c r="E175" i="5"/>
  <c r="BS174" i="5"/>
  <c r="BG174" i="5"/>
  <c r="AU174" i="5"/>
  <c r="AI174" i="5"/>
  <c r="W174" i="5"/>
  <c r="K174" i="5"/>
  <c r="BY173" i="5"/>
  <c r="BM173" i="5"/>
  <c r="BA173" i="5"/>
  <c r="AO173" i="5"/>
  <c r="AC173" i="5"/>
  <c r="Q173" i="5"/>
  <c r="E173" i="5"/>
  <c r="BS172" i="5"/>
  <c r="BG172" i="5"/>
  <c r="AU172" i="5"/>
  <c r="AI172" i="5"/>
  <c r="W172" i="5"/>
  <c r="K172" i="5"/>
  <c r="BY171" i="5"/>
  <c r="BM171" i="5"/>
  <c r="BA171" i="5"/>
  <c r="AO171" i="5"/>
  <c r="AC171" i="5"/>
  <c r="Q171" i="5"/>
  <c r="BS170" i="5"/>
  <c r="BG170" i="5"/>
  <c r="AU170" i="5"/>
  <c r="AI170" i="5"/>
  <c r="W170" i="5"/>
  <c r="K170" i="5"/>
  <c r="BY169" i="5"/>
  <c r="BM169" i="5"/>
  <c r="BA169" i="5"/>
  <c r="AO169" i="5"/>
  <c r="AC169" i="5"/>
  <c r="Q169" i="5"/>
  <c r="E169" i="5"/>
  <c r="BR186" i="5"/>
  <c r="BF186" i="5"/>
  <c r="AT186" i="5"/>
  <c r="AH186" i="5"/>
  <c r="V186" i="5"/>
  <c r="J186" i="5"/>
  <c r="BX185" i="5"/>
  <c r="BL185" i="5"/>
  <c r="AZ185" i="5"/>
  <c r="AN185" i="5"/>
  <c r="AB185" i="5"/>
  <c r="P185" i="5"/>
  <c r="D185" i="5"/>
  <c r="BR184" i="5"/>
  <c r="BF184" i="5"/>
  <c r="AT184" i="5"/>
  <c r="AH184" i="5"/>
  <c r="V184" i="5"/>
  <c r="J184" i="5"/>
  <c r="BX183" i="5"/>
  <c r="BL183" i="5"/>
  <c r="AZ183" i="5"/>
  <c r="AN183" i="5"/>
  <c r="AB183" i="5"/>
  <c r="P183" i="5"/>
  <c r="D183" i="5"/>
  <c r="BR182" i="5"/>
  <c r="BF182" i="5"/>
  <c r="AT182" i="5"/>
  <c r="AH182" i="5"/>
  <c r="V182" i="5"/>
  <c r="J182" i="5"/>
  <c r="BX181" i="5"/>
  <c r="BL181" i="5"/>
  <c r="AZ181" i="5"/>
  <c r="AN181" i="5"/>
  <c r="AB181" i="5"/>
  <c r="P181" i="5"/>
  <c r="D181" i="5"/>
  <c r="BR180" i="5"/>
  <c r="BF180" i="5"/>
  <c r="AT180" i="5"/>
  <c r="AH180" i="5"/>
  <c r="V180" i="5"/>
  <c r="J180" i="5"/>
  <c r="BX179" i="5"/>
  <c r="BL179" i="5"/>
  <c r="AZ179" i="5"/>
  <c r="AN179" i="5"/>
  <c r="AB179" i="5"/>
  <c r="P179" i="5"/>
  <c r="D179" i="5"/>
  <c r="BR178" i="5"/>
  <c r="BF178" i="5"/>
  <c r="AT178" i="5"/>
  <c r="AH178" i="5"/>
  <c r="V178" i="5"/>
  <c r="J178" i="5"/>
  <c r="BX177" i="5"/>
  <c r="BL177" i="5"/>
  <c r="AZ177" i="5"/>
  <c r="AN177" i="5"/>
  <c r="AB177" i="5"/>
  <c r="P177" i="5"/>
  <c r="D177" i="5"/>
  <c r="BR176" i="5"/>
  <c r="BF176" i="5"/>
  <c r="AT176" i="5"/>
  <c r="AH176" i="5"/>
  <c r="V176" i="5"/>
  <c r="BX175" i="5"/>
  <c r="BL175" i="5"/>
  <c r="AZ175" i="5"/>
  <c r="AN175" i="5"/>
  <c r="AB175" i="5"/>
  <c r="P175" i="5"/>
  <c r="D175" i="5"/>
  <c r="BR174" i="5"/>
  <c r="BF174" i="5"/>
  <c r="AT174" i="5"/>
  <c r="AH174" i="5"/>
  <c r="V174" i="5"/>
  <c r="J174" i="5"/>
  <c r="BX173" i="5"/>
  <c r="BL173" i="5"/>
  <c r="AZ173" i="5"/>
  <c r="AN173" i="5"/>
  <c r="AB173" i="5"/>
  <c r="P173" i="5"/>
  <c r="D173" i="5"/>
  <c r="BR172" i="5"/>
  <c r="BF172" i="5"/>
  <c r="AT172" i="5"/>
  <c r="AH172" i="5"/>
  <c r="V172" i="5"/>
  <c r="J172" i="5"/>
  <c r="BX171" i="5"/>
  <c r="BL171" i="5"/>
  <c r="AZ171" i="5"/>
  <c r="AN171" i="5"/>
  <c r="AB171" i="5"/>
  <c r="P171" i="5"/>
  <c r="D171" i="5"/>
  <c r="BR170" i="5"/>
  <c r="BF170" i="5"/>
  <c r="AT170" i="5"/>
  <c r="AH170" i="5"/>
  <c r="V170" i="5"/>
  <c r="J170" i="5"/>
  <c r="BX169" i="5"/>
  <c r="BL169" i="5"/>
  <c r="AZ169" i="5"/>
  <c r="AN169" i="5"/>
  <c r="AB169" i="5"/>
  <c r="P169" i="5"/>
  <c r="D169" i="5"/>
  <c r="AS188" i="5"/>
  <c r="AG188" i="5"/>
  <c r="U188" i="5"/>
  <c r="I188" i="5"/>
  <c r="BW187" i="5"/>
  <c r="BK187" i="5"/>
  <c r="AY187" i="5"/>
  <c r="AM187" i="5"/>
  <c r="AA187" i="5"/>
  <c r="O187" i="5"/>
  <c r="C187" i="5"/>
  <c r="BQ186" i="5"/>
  <c r="BE186" i="5"/>
  <c r="AS186" i="5"/>
  <c r="AG186" i="5"/>
  <c r="U186" i="5"/>
  <c r="I186" i="5"/>
  <c r="BW185" i="5"/>
  <c r="BK185" i="5"/>
  <c r="AY185" i="5"/>
  <c r="AM185" i="5"/>
  <c r="AA185" i="5"/>
  <c r="O185" i="5"/>
  <c r="C185" i="5"/>
  <c r="BQ184" i="5"/>
  <c r="BE184" i="5"/>
  <c r="AS184" i="5"/>
  <c r="AG184" i="5"/>
  <c r="U184" i="5"/>
  <c r="I184" i="5"/>
  <c r="BW183" i="5"/>
  <c r="BK183" i="5"/>
  <c r="AY183" i="5"/>
  <c r="AM183" i="5"/>
  <c r="AA183" i="5"/>
  <c r="O183" i="5"/>
  <c r="C183" i="5"/>
  <c r="BQ182" i="5"/>
  <c r="BE182" i="5"/>
  <c r="AS182" i="5"/>
  <c r="AG182" i="5"/>
  <c r="U182" i="5"/>
  <c r="I182" i="5"/>
  <c r="BW181" i="5"/>
  <c r="BK181" i="5"/>
  <c r="AY181" i="5"/>
  <c r="AM181" i="5"/>
  <c r="AA181" i="5"/>
  <c r="C181" i="5"/>
  <c r="BQ180" i="5"/>
  <c r="BE180" i="5"/>
  <c r="AS180" i="5"/>
  <c r="AG180" i="5"/>
  <c r="U180" i="5"/>
  <c r="I180" i="5"/>
  <c r="BW179" i="5"/>
  <c r="BK179" i="5"/>
  <c r="AY179" i="5"/>
  <c r="AM179" i="5"/>
  <c r="AA179" i="5"/>
  <c r="O179" i="5"/>
  <c r="C179" i="5"/>
  <c r="BQ178" i="5"/>
  <c r="BE178" i="5"/>
  <c r="AS178" i="5"/>
  <c r="AG178" i="5"/>
  <c r="U178" i="5"/>
  <c r="I178" i="5"/>
  <c r="BW177" i="5"/>
  <c r="BK177" i="5"/>
  <c r="AY177" i="5"/>
  <c r="AM177" i="5"/>
  <c r="AA177" i="5"/>
  <c r="O177" i="5"/>
  <c r="C177" i="5"/>
  <c r="BQ176" i="5"/>
  <c r="BE176" i="5"/>
  <c r="AS176" i="5"/>
  <c r="AG176" i="5"/>
  <c r="U176" i="5"/>
  <c r="I176" i="5"/>
  <c r="BW175" i="5"/>
  <c r="BK175" i="5"/>
  <c r="AY175" i="5"/>
  <c r="AM175" i="5"/>
  <c r="AA175" i="5"/>
  <c r="O175" i="5"/>
  <c r="C175" i="5"/>
  <c r="BQ174" i="5"/>
  <c r="BE174" i="5"/>
  <c r="AS174" i="5"/>
  <c r="AG174" i="5"/>
  <c r="U174" i="5"/>
  <c r="I174" i="5"/>
  <c r="BW173" i="5"/>
  <c r="BK173" i="5"/>
  <c r="AY173" i="5"/>
  <c r="AM173" i="5"/>
  <c r="AA173" i="5"/>
  <c r="O173" i="5"/>
  <c r="C173" i="5"/>
  <c r="BQ172" i="5"/>
  <c r="BE172" i="5"/>
  <c r="AS172" i="5"/>
  <c r="AG172" i="5"/>
  <c r="U172" i="5"/>
  <c r="I172" i="5"/>
  <c r="BW171" i="5"/>
  <c r="BK171" i="5"/>
  <c r="AY171" i="5"/>
  <c r="AM171" i="5"/>
  <c r="AA171" i="5"/>
  <c r="O171" i="5"/>
  <c r="C171" i="5"/>
  <c r="BQ170" i="5"/>
  <c r="BE170" i="5"/>
  <c r="AS170" i="5"/>
  <c r="AG170" i="5"/>
  <c r="U170" i="5"/>
  <c r="I170" i="5"/>
  <c r="BW169" i="5"/>
  <c r="BK169" i="5"/>
  <c r="AY169" i="5"/>
  <c r="AM169" i="5"/>
  <c r="AA169" i="5"/>
  <c r="O169" i="5"/>
  <c r="BD188" i="5"/>
  <c r="AR188" i="5"/>
  <c r="AF188" i="5"/>
  <c r="T188" i="5"/>
  <c r="H188" i="5"/>
  <c r="BV187" i="5"/>
  <c r="BJ187" i="5"/>
  <c r="AX187" i="5"/>
  <c r="AL187" i="5"/>
  <c r="Z187" i="5"/>
  <c r="N187" i="5"/>
  <c r="B187" i="5"/>
  <c r="BP186" i="5"/>
  <c r="BD186" i="5"/>
  <c r="AR186" i="5"/>
  <c r="AF186" i="5"/>
  <c r="H186" i="5"/>
  <c r="BV185" i="5"/>
  <c r="BJ185" i="5"/>
  <c r="AX185" i="5"/>
  <c r="AL185" i="5"/>
  <c r="Z185" i="5"/>
  <c r="N185" i="5"/>
  <c r="B185" i="5"/>
  <c r="BP184" i="5"/>
  <c r="BD184" i="5"/>
  <c r="AR184" i="5"/>
  <c r="AF184" i="5"/>
  <c r="T184" i="5"/>
  <c r="H184" i="5"/>
  <c r="BV183" i="5"/>
  <c r="BJ183" i="5"/>
  <c r="AX183" i="5"/>
  <c r="AL183" i="5"/>
  <c r="Z183" i="5"/>
  <c r="N183" i="5"/>
  <c r="B183" i="5"/>
  <c r="BP182" i="5"/>
  <c r="BD182" i="5"/>
  <c r="AR182" i="5"/>
  <c r="AF182" i="5"/>
  <c r="T182" i="5"/>
  <c r="H182" i="5"/>
  <c r="BV181" i="5"/>
  <c r="BJ181" i="5"/>
  <c r="AX181" i="5"/>
  <c r="AL181" i="5"/>
  <c r="Z181" i="5"/>
  <c r="N181" i="5"/>
  <c r="B181" i="5"/>
  <c r="BP180" i="5"/>
  <c r="BD180" i="5"/>
  <c r="AR180" i="5"/>
  <c r="AF180" i="5"/>
  <c r="T180" i="5"/>
  <c r="H180" i="5"/>
  <c r="BV179" i="5"/>
  <c r="BJ179" i="5"/>
  <c r="AX179" i="5"/>
  <c r="AL179" i="5"/>
  <c r="Z179" i="5"/>
  <c r="N179" i="5"/>
  <c r="B179" i="5"/>
  <c r="BP178" i="5"/>
  <c r="BD178" i="5"/>
  <c r="AR178" i="5"/>
  <c r="AF178" i="5"/>
  <c r="T178" i="5"/>
  <c r="H178" i="5"/>
  <c r="BV177" i="5"/>
  <c r="BJ177" i="5"/>
  <c r="AX177" i="5"/>
  <c r="AL177" i="5"/>
  <c r="Z177" i="5"/>
  <c r="N177" i="5"/>
  <c r="B177" i="5"/>
  <c r="BP176" i="5"/>
  <c r="BD176" i="5"/>
  <c r="AR176" i="5"/>
  <c r="AF176" i="5"/>
  <c r="T176" i="5"/>
  <c r="H176" i="5"/>
  <c r="BV175" i="5"/>
  <c r="BJ175" i="5"/>
  <c r="AX175" i="5"/>
  <c r="AL175" i="5"/>
  <c r="Z175" i="5"/>
  <c r="N175" i="5"/>
  <c r="B175" i="5"/>
  <c r="BP174" i="5"/>
  <c r="BD174" i="5"/>
  <c r="AR174" i="5"/>
  <c r="AF174" i="5"/>
  <c r="T174" i="5"/>
  <c r="BV173" i="5"/>
  <c r="BJ173" i="5"/>
  <c r="AX173" i="5"/>
  <c r="AL173" i="5"/>
  <c r="Z173" i="5"/>
  <c r="N173" i="5"/>
  <c r="B173" i="5"/>
  <c r="BP172" i="5"/>
  <c r="BD172" i="5"/>
  <c r="AR172" i="5"/>
  <c r="AF172" i="5"/>
  <c r="T172" i="5"/>
  <c r="H172" i="5"/>
  <c r="BV171" i="5"/>
  <c r="BJ171" i="5"/>
  <c r="AX171" i="5"/>
  <c r="AL171" i="5"/>
  <c r="Z171" i="5"/>
  <c r="N171" i="5"/>
  <c r="B171" i="5"/>
  <c r="BP170" i="5"/>
  <c r="BD170" i="5"/>
  <c r="AR170" i="5"/>
  <c r="AF170" i="5"/>
  <c r="T170" i="5"/>
  <c r="H170" i="5"/>
  <c r="BV169" i="5"/>
  <c r="BJ169" i="5"/>
  <c r="AX169" i="5"/>
  <c r="AL169" i="5"/>
  <c r="Z169" i="5"/>
  <c r="N169" i="5"/>
  <c r="B169" i="5"/>
  <c r="BZ168" i="5"/>
  <c r="E168" i="5"/>
  <c r="Q168" i="5"/>
  <c r="AC168" i="5"/>
  <c r="AO168" i="5"/>
  <c r="BA168" i="5"/>
  <c r="BM168" i="5"/>
  <c r="F168" i="5"/>
  <c r="R168" i="5"/>
  <c r="AD168" i="5"/>
  <c r="AP168" i="5"/>
  <c r="BB168" i="5"/>
  <c r="BN168" i="5"/>
  <c r="G168" i="5"/>
  <c r="S168" i="5"/>
  <c r="AE168" i="5"/>
  <c r="AQ168" i="5"/>
  <c r="BC168" i="5"/>
  <c r="BO168" i="5"/>
  <c r="U168" i="5"/>
  <c r="X168" i="5"/>
  <c r="H168" i="5"/>
  <c r="AR168" i="5"/>
  <c r="BQ168" i="5"/>
  <c r="AH168" i="5"/>
  <c r="AI168" i="5"/>
  <c r="AJ168" i="5"/>
  <c r="M168" i="5"/>
  <c r="BI168" i="5"/>
  <c r="BU168" i="5"/>
  <c r="BP168" i="5"/>
  <c r="AS168" i="5"/>
  <c r="BR168" i="5"/>
  <c r="AU168" i="5"/>
  <c r="AV168" i="5"/>
  <c r="AW168" i="5"/>
  <c r="N168" i="5"/>
  <c r="Z168" i="5"/>
  <c r="AL168" i="5"/>
  <c r="AX168" i="5"/>
  <c r="BJ168" i="5"/>
  <c r="BV168" i="5"/>
  <c r="BD168" i="5"/>
  <c r="BE168" i="5"/>
  <c r="J168" i="5"/>
  <c r="BF168" i="5"/>
  <c r="W168" i="5"/>
  <c r="BG168" i="5"/>
  <c r="L168" i="5"/>
  <c r="BT168" i="5"/>
  <c r="Y168" i="5"/>
  <c r="B163" i="5"/>
  <c r="C168" i="5"/>
  <c r="B162" i="5"/>
  <c r="O168" i="5"/>
  <c r="AA168" i="5"/>
  <c r="AM168" i="5"/>
  <c r="AY168" i="5"/>
  <c r="BK168" i="5"/>
  <c r="BW168" i="5"/>
  <c r="T168" i="5"/>
  <c r="AF168" i="5"/>
  <c r="I168" i="5"/>
  <c r="AG168" i="5"/>
  <c r="V168" i="5"/>
  <c r="AT168" i="5"/>
  <c r="K168" i="5"/>
  <c r="BS168" i="5"/>
  <c r="BH168" i="5"/>
  <c r="AK168" i="5"/>
  <c r="D168" i="5"/>
  <c r="P168" i="5"/>
  <c r="AB168" i="5"/>
  <c r="AN168" i="5"/>
  <c r="AZ168" i="5"/>
  <c r="BL168" i="5"/>
  <c r="BX168" i="5"/>
  <c r="BY168" i="5"/>
  <c r="BM197" i="5"/>
  <c r="CE32" i="3"/>
  <c r="BS32" i="3"/>
  <c r="BG32" i="3"/>
  <c r="AU32" i="3"/>
  <c r="AI32" i="3"/>
  <c r="CC32" i="3"/>
  <c r="BQ32" i="3"/>
  <c r="BE32" i="3"/>
  <c r="AS32" i="3"/>
  <c r="AG32" i="3"/>
  <c r="U32" i="3"/>
  <c r="I32" i="3"/>
  <c r="BW32" i="3"/>
  <c r="BI32" i="3"/>
  <c r="AT32" i="3"/>
  <c r="AE32" i="3"/>
  <c r="R32" i="3"/>
  <c r="F32" i="3"/>
  <c r="BX32" i="3"/>
  <c r="BH32" i="3"/>
  <c r="AQ32" i="3"/>
  <c r="AB32" i="3"/>
  <c r="N32" i="3"/>
  <c r="BV32" i="3"/>
  <c r="BF32" i="3"/>
  <c r="AP32" i="3"/>
  <c r="AA32" i="3"/>
  <c r="M32" i="3"/>
  <c r="BR32" i="3"/>
  <c r="BB32" i="3"/>
  <c r="X32" i="3"/>
  <c r="J32" i="3"/>
  <c r="BU32" i="3"/>
  <c r="BD32" i="3"/>
  <c r="AO32" i="3"/>
  <c r="Z32" i="3"/>
  <c r="L32" i="3"/>
  <c r="AM32" i="3"/>
  <c r="BT32" i="3"/>
  <c r="BC32" i="3"/>
  <c r="AN32" i="3"/>
  <c r="Y32" i="3"/>
  <c r="K32" i="3"/>
  <c r="BO32" i="3"/>
  <c r="AR32" i="3"/>
  <c r="Q32" i="3"/>
  <c r="BA32" i="3"/>
  <c r="AC32" i="3"/>
  <c r="BZ32" i="3"/>
  <c r="V32" i="3"/>
  <c r="S32" i="3"/>
  <c r="BN32" i="3"/>
  <c r="AL32" i="3"/>
  <c r="P32" i="3"/>
  <c r="BJ32" i="3"/>
  <c r="CB32" i="3"/>
  <c r="BY32" i="3"/>
  <c r="AW32" i="3"/>
  <c r="BM32" i="3"/>
  <c r="AK32" i="3"/>
  <c r="O32" i="3"/>
  <c r="AF32" i="3"/>
  <c r="CA32" i="3"/>
  <c r="AY32" i="3"/>
  <c r="W32" i="3"/>
  <c r="BP32" i="3"/>
  <c r="AV32" i="3"/>
  <c r="BL32" i="3"/>
  <c r="AJ32" i="3"/>
  <c r="H32" i="3"/>
  <c r="BK32" i="3"/>
  <c r="AH32" i="3"/>
  <c r="G32" i="3"/>
  <c r="CD32" i="3"/>
  <c r="AD32" i="3"/>
  <c r="AZ32" i="3"/>
  <c r="AX32" i="3"/>
  <c r="T32" i="3"/>
  <c r="CE36" i="3"/>
  <c r="BS36" i="3"/>
  <c r="BG36" i="3"/>
  <c r="AU36" i="3"/>
  <c r="AI36" i="3"/>
  <c r="W36" i="3"/>
  <c r="K36" i="3"/>
  <c r="CC36" i="3"/>
  <c r="BQ36" i="3"/>
  <c r="BE36" i="3"/>
  <c r="AS36" i="3"/>
  <c r="AG36" i="3"/>
  <c r="U36" i="3"/>
  <c r="I36" i="3"/>
  <c r="CB36" i="3"/>
  <c r="BN36" i="3"/>
  <c r="AZ36" i="3"/>
  <c r="AL36" i="3"/>
  <c r="X36" i="3"/>
  <c r="H36" i="3"/>
  <c r="BZ36" i="3"/>
  <c r="BK36" i="3"/>
  <c r="AV36" i="3"/>
  <c r="AE36" i="3"/>
  <c r="P36" i="3"/>
  <c r="BY36" i="3"/>
  <c r="BJ36" i="3"/>
  <c r="AT36" i="3"/>
  <c r="AD36" i="3"/>
  <c r="O36" i="3"/>
  <c r="BV36" i="3"/>
  <c r="BF36" i="3"/>
  <c r="AA36" i="3"/>
  <c r="L36" i="3"/>
  <c r="BX36" i="3"/>
  <c r="BI36" i="3"/>
  <c r="AR36" i="3"/>
  <c r="AC36" i="3"/>
  <c r="N36" i="3"/>
  <c r="AP36" i="3"/>
  <c r="BW36" i="3"/>
  <c r="BH36" i="3"/>
  <c r="AQ36" i="3"/>
  <c r="AB36" i="3"/>
  <c r="M36" i="3"/>
  <c r="BT36" i="3"/>
  <c r="AW36" i="3"/>
  <c r="S36" i="3"/>
  <c r="BL36" i="3"/>
  <c r="F36" i="3"/>
  <c r="BC36" i="3"/>
  <c r="AF36" i="3"/>
  <c r="BA36" i="3"/>
  <c r="BR36" i="3"/>
  <c r="AO36" i="3"/>
  <c r="R36" i="3"/>
  <c r="AJ36" i="3"/>
  <c r="CA36" i="3"/>
  <c r="AY36" i="3"/>
  <c r="V36" i="3"/>
  <c r="BP36" i="3"/>
  <c r="AN36" i="3"/>
  <c r="Q36" i="3"/>
  <c r="BU36" i="3"/>
  <c r="AX36" i="3"/>
  <c r="T36" i="3"/>
  <c r="BO36" i="3"/>
  <c r="AM36" i="3"/>
  <c r="J36" i="3"/>
  <c r="BM36" i="3"/>
  <c r="AK36" i="3"/>
  <c r="G36" i="3"/>
  <c r="BD36" i="3"/>
  <c r="AH36" i="3"/>
  <c r="BB36" i="3"/>
  <c r="Z36" i="3"/>
  <c r="CD36" i="3"/>
  <c r="Y36" i="3"/>
  <c r="BV37" i="3"/>
  <c r="BJ37" i="3"/>
  <c r="AX37" i="3"/>
  <c r="AL37" i="3"/>
  <c r="Z37" i="3"/>
  <c r="N37" i="3"/>
  <c r="BT37" i="3"/>
  <c r="BH37" i="3"/>
  <c r="AV37" i="3"/>
  <c r="AJ37" i="3"/>
  <c r="X37" i="3"/>
  <c r="L37" i="3"/>
  <c r="BS37" i="3"/>
  <c r="BE37" i="3"/>
  <c r="AQ37" i="3"/>
  <c r="AC37" i="3"/>
  <c r="O37" i="3"/>
  <c r="BY37" i="3"/>
  <c r="BI37" i="3"/>
  <c r="AS37" i="3"/>
  <c r="AD37" i="3"/>
  <c r="M37" i="3"/>
  <c r="BC37" i="3"/>
  <c r="BX37" i="3"/>
  <c r="BG37" i="3"/>
  <c r="AR37" i="3"/>
  <c r="AB37" i="3"/>
  <c r="K37" i="3"/>
  <c r="BR37" i="3"/>
  <c r="AN37" i="3"/>
  <c r="W37" i="3"/>
  <c r="H37" i="3"/>
  <c r="BW37" i="3"/>
  <c r="BF37" i="3"/>
  <c r="AP37" i="3"/>
  <c r="AA37" i="3"/>
  <c r="J37" i="3"/>
  <c r="BU37" i="3"/>
  <c r="BD37" i="3"/>
  <c r="AO37" i="3"/>
  <c r="Y37" i="3"/>
  <c r="I37" i="3"/>
  <c r="BQ37" i="3"/>
  <c r="AU37" i="3"/>
  <c r="S37" i="3"/>
  <c r="BL37" i="3"/>
  <c r="AG37" i="3"/>
  <c r="CD37" i="3"/>
  <c r="BB37" i="3"/>
  <c r="AF37" i="3"/>
  <c r="BA37" i="3"/>
  <c r="AZ37" i="3"/>
  <c r="BP37" i="3"/>
  <c r="AT37" i="3"/>
  <c r="R37" i="3"/>
  <c r="AH37" i="3"/>
  <c r="V37" i="3"/>
  <c r="CA37" i="3"/>
  <c r="AY37" i="3"/>
  <c r="U37" i="3"/>
  <c r="BO37" i="3"/>
  <c r="AM37" i="3"/>
  <c r="Q37" i="3"/>
  <c r="CC37" i="3"/>
  <c r="BZ37" i="3"/>
  <c r="AW37" i="3"/>
  <c r="T37" i="3"/>
  <c r="BN37" i="3"/>
  <c r="AK37" i="3"/>
  <c r="P37" i="3"/>
  <c r="BM37" i="3"/>
  <c r="AI37" i="3"/>
  <c r="G37" i="3"/>
  <c r="CE37" i="3"/>
  <c r="BK37" i="3"/>
  <c r="F37" i="3"/>
  <c r="AE37" i="3"/>
  <c r="CB37" i="3"/>
  <c r="BV22" i="3"/>
  <c r="BJ22" i="3"/>
  <c r="AX22" i="3"/>
  <c r="AL22" i="3"/>
  <c r="Z22" i="3"/>
  <c r="N22" i="3"/>
  <c r="CE22" i="3"/>
  <c r="BR22" i="3"/>
  <c r="BE22" i="3"/>
  <c r="AR22" i="3"/>
  <c r="AE22" i="3"/>
  <c r="R22" i="3"/>
  <c r="F22" i="3"/>
  <c r="BQ22" i="3"/>
  <c r="BC22" i="3"/>
  <c r="AO22" i="3"/>
  <c r="AA22" i="3"/>
  <c r="L22" i="3"/>
  <c r="CD22" i="3"/>
  <c r="BP22" i="3"/>
  <c r="BB22" i="3"/>
  <c r="AN22" i="3"/>
  <c r="Y22" i="3"/>
  <c r="K22" i="3"/>
  <c r="CC22" i="3"/>
  <c r="BO22" i="3"/>
  <c r="BA22" i="3"/>
  <c r="AM22" i="3"/>
  <c r="X22" i="3"/>
  <c r="J22" i="3"/>
  <c r="CB22" i="3"/>
  <c r="BN22" i="3"/>
  <c r="AZ22" i="3"/>
  <c r="AK22" i="3"/>
  <c r="W22" i="3"/>
  <c r="I22" i="3"/>
  <c r="CA22" i="3"/>
  <c r="BM22" i="3"/>
  <c r="AY22" i="3"/>
  <c r="AJ22" i="3"/>
  <c r="V22" i="3"/>
  <c r="H22" i="3"/>
  <c r="BZ22" i="3"/>
  <c r="BF22" i="3"/>
  <c r="AF22" i="3"/>
  <c r="AS22" i="3"/>
  <c r="BY22" i="3"/>
  <c r="BD22" i="3"/>
  <c r="AD22" i="3"/>
  <c r="AT22" i="3"/>
  <c r="BL22" i="3"/>
  <c r="AQ22" i="3"/>
  <c r="Q22" i="3"/>
  <c r="AP22" i="3"/>
  <c r="BI22" i="3"/>
  <c r="AI22" i="3"/>
  <c r="O22" i="3"/>
  <c r="BH22" i="3"/>
  <c r="AH22" i="3"/>
  <c r="BX22" i="3"/>
  <c r="AW22" i="3"/>
  <c r="AC22" i="3"/>
  <c r="U22" i="3"/>
  <c r="BT22" i="3"/>
  <c r="T22" i="3"/>
  <c r="BK22" i="3"/>
  <c r="P22" i="3"/>
  <c r="BG22" i="3"/>
  <c r="AG22" i="3"/>
  <c r="G22" i="3"/>
  <c r="BW22" i="3"/>
  <c r="AV22" i="3"/>
  <c r="AB22" i="3"/>
  <c r="BU22" i="3"/>
  <c r="AU22" i="3"/>
  <c r="BS22" i="3"/>
  <c r="S22" i="3"/>
  <c r="M22" i="3"/>
  <c r="BT6" i="3"/>
  <c r="BH6" i="3"/>
  <c r="AV6" i="3"/>
  <c r="AJ6" i="3"/>
  <c r="X6" i="3"/>
  <c r="L6" i="3"/>
  <c r="BZ6" i="3"/>
  <c r="BM6" i="3"/>
  <c r="AZ6" i="3"/>
  <c r="AM6" i="3"/>
  <c r="Z6" i="3"/>
  <c r="M6" i="3"/>
  <c r="BY6" i="3"/>
  <c r="BL6" i="3"/>
  <c r="AY6" i="3"/>
  <c r="AL6" i="3"/>
  <c r="Y6" i="3"/>
  <c r="K6" i="3"/>
  <c r="BX6" i="3"/>
  <c r="BK6" i="3"/>
  <c r="AX6" i="3"/>
  <c r="AX80" i="3" s="1"/>
  <c r="AK6" i="3"/>
  <c r="W6" i="3"/>
  <c r="J6" i="3"/>
  <c r="BW6" i="3"/>
  <c r="BJ6" i="3"/>
  <c r="AW6" i="3"/>
  <c r="AI6" i="3"/>
  <c r="V6" i="3"/>
  <c r="I6" i="3"/>
  <c r="BP6" i="3"/>
  <c r="AT6" i="3"/>
  <c r="AC6" i="3"/>
  <c r="G6" i="3"/>
  <c r="CA6" i="3"/>
  <c r="AN6" i="3"/>
  <c r="R6" i="3"/>
  <c r="BR6" i="3"/>
  <c r="H6" i="3"/>
  <c r="BO6" i="3"/>
  <c r="AS6" i="3"/>
  <c r="AB6" i="3"/>
  <c r="CC6" i="3"/>
  <c r="CB6" i="3"/>
  <c r="BF6" i="3"/>
  <c r="AO6" i="3"/>
  <c r="S6" i="3"/>
  <c r="BS6" i="3"/>
  <c r="BB6" i="3"/>
  <c r="AF6" i="3"/>
  <c r="BA6" i="3"/>
  <c r="AE6" i="3"/>
  <c r="N6" i="3"/>
  <c r="CE6" i="3"/>
  <c r="BN6" i="3"/>
  <c r="AR6" i="3"/>
  <c r="AA6" i="3"/>
  <c r="F6" i="3"/>
  <c r="BE6" i="3"/>
  <c r="BV6" i="3"/>
  <c r="BD6" i="3"/>
  <c r="AH6" i="3"/>
  <c r="Q6" i="3"/>
  <c r="BU6" i="3"/>
  <c r="BC6" i="3"/>
  <c r="AG6" i="3"/>
  <c r="P6" i="3"/>
  <c r="CD6" i="3"/>
  <c r="BI6" i="3"/>
  <c r="AQ6" i="3"/>
  <c r="U6" i="3"/>
  <c r="BG6" i="3"/>
  <c r="AP6" i="3"/>
  <c r="T6" i="3"/>
  <c r="O6" i="3"/>
  <c r="BQ6" i="3"/>
  <c r="AU6" i="3"/>
  <c r="AD6" i="3"/>
  <c r="BT10" i="3"/>
  <c r="BH10" i="3"/>
  <c r="AV10" i="3"/>
  <c r="AJ10" i="3"/>
  <c r="X10" i="3"/>
  <c r="L10" i="3"/>
  <c r="CB10" i="3"/>
  <c r="BO10" i="3"/>
  <c r="BB10" i="3"/>
  <c r="AO10" i="3"/>
  <c r="AB10" i="3"/>
  <c r="O10" i="3"/>
  <c r="CA10" i="3"/>
  <c r="BN10" i="3"/>
  <c r="BA10" i="3"/>
  <c r="AN10" i="3"/>
  <c r="AA10" i="3"/>
  <c r="N10" i="3"/>
  <c r="BZ10" i="3"/>
  <c r="BM10" i="3"/>
  <c r="AZ10" i="3"/>
  <c r="AM10" i="3"/>
  <c r="Z10" i="3"/>
  <c r="M10" i="3"/>
  <c r="BL10" i="3"/>
  <c r="AY10" i="3"/>
  <c r="AL10" i="3"/>
  <c r="K10" i="3"/>
  <c r="BY10" i="3"/>
  <c r="Y10" i="3"/>
  <c r="BS10" i="3"/>
  <c r="AX10" i="3"/>
  <c r="AF10" i="3"/>
  <c r="J10" i="3"/>
  <c r="BI10" i="3"/>
  <c r="AG10" i="3"/>
  <c r="BR10" i="3"/>
  <c r="AW10" i="3"/>
  <c r="AE10" i="3"/>
  <c r="I10" i="3"/>
  <c r="CE10" i="3"/>
  <c r="BJ10" i="3"/>
  <c r="AR10" i="3"/>
  <c r="V10" i="3"/>
  <c r="F10" i="3"/>
  <c r="CC10" i="3"/>
  <c r="BG10" i="3"/>
  <c r="AP10" i="3"/>
  <c r="T10" i="3"/>
  <c r="BW10" i="3"/>
  <c r="BE10" i="3"/>
  <c r="AI10" i="3"/>
  <c r="R10" i="3"/>
  <c r="BV10" i="3"/>
  <c r="BD10" i="3"/>
  <c r="AH10" i="3"/>
  <c r="Q10" i="3"/>
  <c r="BQ10" i="3"/>
  <c r="AU10" i="3"/>
  <c r="AD10" i="3"/>
  <c r="H10" i="3"/>
  <c r="BX10" i="3"/>
  <c r="BF10" i="3"/>
  <c r="AK10" i="3"/>
  <c r="S10" i="3"/>
  <c r="BP10" i="3"/>
  <c r="AT10" i="3"/>
  <c r="AC10" i="3"/>
  <c r="G10" i="3"/>
  <c r="BK10" i="3"/>
  <c r="AS10" i="3"/>
  <c r="W10" i="3"/>
  <c r="CD10" i="3"/>
  <c r="AQ10" i="3"/>
  <c r="U10" i="3"/>
  <c r="BU10" i="3"/>
  <c r="BC10" i="3"/>
  <c r="P10" i="3"/>
  <c r="BV3" i="3"/>
  <c r="BJ3" i="3"/>
  <c r="AX3" i="3"/>
  <c r="AL3" i="3"/>
  <c r="Z3" i="3"/>
  <c r="N3" i="3"/>
  <c r="BU3" i="3"/>
  <c r="BU80" i="3" s="1"/>
  <c r="BI3" i="3"/>
  <c r="AW3" i="3"/>
  <c r="AK3" i="3"/>
  <c r="Y3" i="3"/>
  <c r="M3" i="3"/>
  <c r="BT3" i="3"/>
  <c r="BH3" i="3"/>
  <c r="AV3" i="3"/>
  <c r="AJ3" i="3"/>
  <c r="AJ80" i="3" s="1"/>
  <c r="X3" i="3"/>
  <c r="L3" i="3"/>
  <c r="L80" i="3" s="1"/>
  <c r="AI3" i="3"/>
  <c r="CE3" i="3"/>
  <c r="BS3" i="3"/>
  <c r="BG3" i="3"/>
  <c r="AU3" i="3"/>
  <c r="W3" i="3"/>
  <c r="K3" i="3"/>
  <c r="BR3" i="3"/>
  <c r="BB3" i="3"/>
  <c r="BB80" i="3" s="1"/>
  <c r="AH3" i="3"/>
  <c r="R3" i="3"/>
  <c r="BA3" i="3"/>
  <c r="BA80" i="3" s="1"/>
  <c r="CB3" i="3"/>
  <c r="BL3" i="3"/>
  <c r="BL80" i="3" s="1"/>
  <c r="AR3" i="3"/>
  <c r="H3" i="3"/>
  <c r="AO3" i="3"/>
  <c r="F3" i="3"/>
  <c r="BQ3" i="3"/>
  <c r="AG3" i="3"/>
  <c r="Q3" i="3"/>
  <c r="Q80" i="3" s="1"/>
  <c r="BN3" i="3"/>
  <c r="BN80" i="3" s="1"/>
  <c r="CC3" i="3"/>
  <c r="BM3" i="3"/>
  <c r="BM80" i="3" s="1"/>
  <c r="AC3" i="3"/>
  <c r="AC80" i="3" s="1"/>
  <c r="I3" i="3"/>
  <c r="BD3" i="3"/>
  <c r="AN3" i="3"/>
  <c r="AM3" i="3"/>
  <c r="BP3" i="3"/>
  <c r="AZ3" i="3"/>
  <c r="AF3" i="3"/>
  <c r="P3" i="3"/>
  <c r="P80" i="3" s="1"/>
  <c r="CD3" i="3"/>
  <c r="AT3" i="3"/>
  <c r="J3" i="3"/>
  <c r="AB3" i="3"/>
  <c r="AB80" i="3" s="1"/>
  <c r="CA3" i="3"/>
  <c r="BK3" i="3"/>
  <c r="AQ3" i="3"/>
  <c r="AA3" i="3"/>
  <c r="G3" i="3"/>
  <c r="BZ3" i="3"/>
  <c r="AP3" i="3"/>
  <c r="V3" i="3"/>
  <c r="BY3" i="3"/>
  <c r="BY80" i="3" s="1"/>
  <c r="U3" i="3"/>
  <c r="T3" i="3"/>
  <c r="BO3" i="3"/>
  <c r="BO80" i="3" s="1"/>
  <c r="AY3" i="3"/>
  <c r="AY80" i="3" s="1"/>
  <c r="AE3" i="3"/>
  <c r="O3" i="3"/>
  <c r="O80" i="3" s="1"/>
  <c r="AD3" i="3"/>
  <c r="AS3" i="3"/>
  <c r="BF3" i="3"/>
  <c r="BE3" i="3"/>
  <c r="BX3" i="3"/>
  <c r="BW3" i="3"/>
  <c r="BC3" i="3"/>
  <c r="S3" i="3"/>
  <c r="BT29" i="3"/>
  <c r="BH29" i="3"/>
  <c r="AV29" i="3"/>
  <c r="AJ29" i="3"/>
  <c r="X29" i="3"/>
  <c r="L29" i="3"/>
  <c r="CA29" i="3"/>
  <c r="BN29" i="3"/>
  <c r="BA29" i="3"/>
  <c r="AN29" i="3"/>
  <c r="AA29" i="3"/>
  <c r="N29" i="3"/>
  <c r="BU29" i="3"/>
  <c r="BF29" i="3"/>
  <c r="AR29" i="3"/>
  <c r="AD29" i="3"/>
  <c r="P29" i="3"/>
  <c r="BS29" i="3"/>
  <c r="BE29" i="3"/>
  <c r="AQ29" i="3"/>
  <c r="AC29" i="3"/>
  <c r="O29" i="3"/>
  <c r="CD29" i="3"/>
  <c r="BP29" i="3"/>
  <c r="AM29" i="3"/>
  <c r="Y29" i="3"/>
  <c r="J29" i="3"/>
  <c r="BR29" i="3"/>
  <c r="BD29" i="3"/>
  <c r="AP29" i="3"/>
  <c r="AB29" i="3"/>
  <c r="M29" i="3"/>
  <c r="BB29" i="3"/>
  <c r="CE29" i="3"/>
  <c r="BQ29" i="3"/>
  <c r="BC29" i="3"/>
  <c r="AO29" i="3"/>
  <c r="Z29" i="3"/>
  <c r="K29" i="3"/>
  <c r="BM29" i="3"/>
  <c r="AS29" i="3"/>
  <c r="S29" i="3"/>
  <c r="BZ29" i="3"/>
  <c r="BL29" i="3"/>
  <c r="AL29" i="3"/>
  <c r="R29" i="3"/>
  <c r="AG29" i="3"/>
  <c r="BY29" i="3"/>
  <c r="BV29" i="3"/>
  <c r="AU29" i="3"/>
  <c r="U29" i="3"/>
  <c r="BK29" i="3"/>
  <c r="AK29" i="3"/>
  <c r="Q29" i="3"/>
  <c r="CB29" i="3"/>
  <c r="BG29" i="3"/>
  <c r="G29" i="3"/>
  <c r="AZ29" i="3"/>
  <c r="AE29" i="3"/>
  <c r="BX29" i="3"/>
  <c r="AX29" i="3"/>
  <c r="W29" i="3"/>
  <c r="BO29" i="3"/>
  <c r="AT29" i="3"/>
  <c r="T29" i="3"/>
  <c r="BJ29" i="3"/>
  <c r="AI29" i="3"/>
  <c r="I29" i="3"/>
  <c r="CC29" i="3"/>
  <c r="BI29" i="3"/>
  <c r="AH29" i="3"/>
  <c r="H29" i="3"/>
  <c r="AF29" i="3"/>
  <c r="AY29" i="3"/>
  <c r="F29" i="3"/>
  <c r="BW29" i="3"/>
  <c r="AW29" i="3"/>
  <c r="V29" i="3"/>
  <c r="CB59" i="3"/>
  <c r="BP59" i="3"/>
  <c r="BD59" i="3"/>
  <c r="AR59" i="3"/>
  <c r="AF59" i="3"/>
  <c r="T59" i="3"/>
  <c r="H59" i="3"/>
  <c r="BX59" i="3"/>
  <c r="BK59" i="3"/>
  <c r="AX59" i="3"/>
  <c r="AK59" i="3"/>
  <c r="X59" i="3"/>
  <c r="K59" i="3"/>
  <c r="BR59" i="3"/>
  <c r="BC59" i="3"/>
  <c r="AO59" i="3"/>
  <c r="AA59" i="3"/>
  <c r="M59" i="3"/>
  <c r="CE59" i="3"/>
  <c r="BQ59" i="3"/>
  <c r="BB59" i="3"/>
  <c r="AN59" i="3"/>
  <c r="Z59" i="3"/>
  <c r="L59" i="3"/>
  <c r="CD59" i="3"/>
  <c r="BO59" i="3"/>
  <c r="BA59" i="3"/>
  <c r="AM59" i="3"/>
  <c r="Y59" i="3"/>
  <c r="J59" i="3"/>
  <c r="CC59" i="3"/>
  <c r="BN59" i="3"/>
  <c r="AZ59" i="3"/>
  <c r="AL59" i="3"/>
  <c r="W59" i="3"/>
  <c r="I59" i="3"/>
  <c r="BZ59" i="3"/>
  <c r="BG59" i="3"/>
  <c r="AI59" i="3"/>
  <c r="P59" i="3"/>
  <c r="BY59" i="3"/>
  <c r="BF59" i="3"/>
  <c r="AH59" i="3"/>
  <c r="O59" i="3"/>
  <c r="BW59" i="3"/>
  <c r="BE59" i="3"/>
  <c r="AG59" i="3"/>
  <c r="N59" i="3"/>
  <c r="CA59" i="3"/>
  <c r="AV59" i="3"/>
  <c r="U59" i="3"/>
  <c r="BS59" i="3"/>
  <c r="AQ59" i="3"/>
  <c r="G59" i="3"/>
  <c r="BV59" i="3"/>
  <c r="AU59" i="3"/>
  <c r="S59" i="3"/>
  <c r="BU59" i="3"/>
  <c r="AT59" i="3"/>
  <c r="R59" i="3"/>
  <c r="BT59" i="3"/>
  <c r="AS59" i="3"/>
  <c r="Q59" i="3"/>
  <c r="AC59" i="3"/>
  <c r="BH59" i="3"/>
  <c r="BM59" i="3"/>
  <c r="AB59" i="3"/>
  <c r="BL59" i="3"/>
  <c r="V59" i="3"/>
  <c r="AY59" i="3"/>
  <c r="AW59" i="3"/>
  <c r="AE59" i="3"/>
  <c r="AD59" i="3"/>
  <c r="BJ59" i="3"/>
  <c r="BI59" i="3"/>
  <c r="F59" i="3"/>
  <c r="AP59" i="3"/>
  <c r="AJ59" i="3"/>
  <c r="BV45" i="3"/>
  <c r="BJ45" i="3"/>
  <c r="AX45" i="3"/>
  <c r="AL45" i="3"/>
  <c r="Z45" i="3"/>
  <c r="N45" i="3"/>
  <c r="BT45" i="3"/>
  <c r="BH45" i="3"/>
  <c r="AV45" i="3"/>
  <c r="AJ45" i="3"/>
  <c r="X45" i="3"/>
  <c r="L45" i="3"/>
  <c r="BS45" i="3"/>
  <c r="BE45" i="3"/>
  <c r="AQ45" i="3"/>
  <c r="AC45" i="3"/>
  <c r="O45" i="3"/>
  <c r="BR45" i="3"/>
  <c r="BD45" i="3"/>
  <c r="AP45" i="3"/>
  <c r="AB45" i="3"/>
  <c r="M45" i="3"/>
  <c r="CE45" i="3"/>
  <c r="BQ45" i="3"/>
  <c r="BC45" i="3"/>
  <c r="AO45" i="3"/>
  <c r="AA45" i="3"/>
  <c r="K45" i="3"/>
  <c r="BU45" i="3"/>
  <c r="AZ45" i="3"/>
  <c r="AG45" i="3"/>
  <c r="P45" i="3"/>
  <c r="BP45" i="3"/>
  <c r="AY45" i="3"/>
  <c r="AF45" i="3"/>
  <c r="J45" i="3"/>
  <c r="CD45" i="3"/>
  <c r="BM45" i="3"/>
  <c r="AT45" i="3"/>
  <c r="Y45" i="3"/>
  <c r="G45" i="3"/>
  <c r="BO45" i="3"/>
  <c r="AW45" i="3"/>
  <c r="AE45" i="3"/>
  <c r="I45" i="3"/>
  <c r="BN45" i="3"/>
  <c r="AU45" i="3"/>
  <c r="AD45" i="3"/>
  <c r="H45" i="3"/>
  <c r="AN45" i="3"/>
  <c r="BY45" i="3"/>
  <c r="BY23" i="3"/>
  <c r="BM23" i="3"/>
  <c r="BA23" i="3"/>
  <c r="AO23" i="3"/>
  <c r="AC23" i="3"/>
  <c r="Q23" i="3"/>
  <c r="F23" i="3"/>
  <c r="CC23" i="3"/>
  <c r="BP23" i="3"/>
  <c r="BC23" i="3"/>
  <c r="AP23" i="3"/>
  <c r="AB23" i="3"/>
  <c r="O23" i="3"/>
  <c r="BV23" i="3"/>
  <c r="BH23" i="3"/>
  <c r="AT23" i="3"/>
  <c r="AF23" i="3"/>
  <c r="R23" i="3"/>
  <c r="BR23" i="3"/>
  <c r="BU23" i="3"/>
  <c r="BG23" i="3"/>
  <c r="AS23" i="3"/>
  <c r="AE23" i="3"/>
  <c r="P23" i="3"/>
  <c r="BT23" i="3"/>
  <c r="BF23" i="3"/>
  <c r="AR23" i="3"/>
  <c r="AD23" i="3"/>
  <c r="N23" i="3"/>
  <c r="BS23" i="3"/>
  <c r="BE23" i="3"/>
  <c r="AQ23" i="3"/>
  <c r="AA23" i="3"/>
  <c r="M23" i="3"/>
  <c r="BD23" i="3"/>
  <c r="AN23" i="3"/>
  <c r="Z23" i="3"/>
  <c r="L23" i="3"/>
  <c r="Y23" i="3"/>
  <c r="O25" i="3"/>
  <c r="BI25" i="3"/>
  <c r="R45" i="3"/>
  <c r="AS45" i="3"/>
  <c r="R49" i="3"/>
  <c r="BA50" i="3"/>
  <c r="G60" i="3"/>
  <c r="V70" i="3"/>
  <c r="BW26" i="3"/>
  <c r="BK26" i="3"/>
  <c r="AY26" i="3"/>
  <c r="AM26" i="3"/>
  <c r="AA26" i="3"/>
  <c r="O26" i="3"/>
  <c r="BU26" i="3"/>
  <c r="BH26" i="3"/>
  <c r="AU26" i="3"/>
  <c r="AH26" i="3"/>
  <c r="U26" i="3"/>
  <c r="H26" i="3"/>
  <c r="BV26" i="3"/>
  <c r="BG26" i="3"/>
  <c r="AS26" i="3"/>
  <c r="AE26" i="3"/>
  <c r="Q26" i="3"/>
  <c r="BT26" i="3"/>
  <c r="BF26" i="3"/>
  <c r="AR26" i="3"/>
  <c r="AD26" i="3"/>
  <c r="P26" i="3"/>
  <c r="BS26" i="3"/>
  <c r="BE26" i="3"/>
  <c r="AQ26" i="3"/>
  <c r="AC26" i="3"/>
  <c r="N26" i="3"/>
  <c r="CE26" i="3"/>
  <c r="BC26" i="3"/>
  <c r="AO26" i="3"/>
  <c r="Z26" i="3"/>
  <c r="L26" i="3"/>
  <c r="BR26" i="3"/>
  <c r="BD26" i="3"/>
  <c r="AP26" i="3"/>
  <c r="AB26" i="3"/>
  <c r="M26" i="3"/>
  <c r="BQ26" i="3"/>
  <c r="AF26" i="3"/>
  <c r="BA26" i="3"/>
  <c r="AF31" i="3"/>
  <c r="BF31" i="3"/>
  <c r="BM60" i="3"/>
  <c r="CC9" i="3"/>
  <c r="BQ9" i="3"/>
  <c r="BE9" i="3"/>
  <c r="AS9" i="3"/>
  <c r="AG9" i="3"/>
  <c r="U9" i="3"/>
  <c r="I9" i="3"/>
  <c r="CE9" i="3"/>
  <c r="BR9" i="3"/>
  <c r="BD9" i="3"/>
  <c r="AQ9" i="3"/>
  <c r="AD9" i="3"/>
  <c r="Q9" i="3"/>
  <c r="CD9" i="3"/>
  <c r="BP9" i="3"/>
  <c r="BC9" i="3"/>
  <c r="AP9" i="3"/>
  <c r="AC9" i="3"/>
  <c r="P9" i="3"/>
  <c r="CB9" i="3"/>
  <c r="BO9" i="3"/>
  <c r="BB9" i="3"/>
  <c r="AO9" i="3"/>
  <c r="AB9" i="3"/>
  <c r="O9" i="3"/>
  <c r="CA9" i="3"/>
  <c r="BA9" i="3"/>
  <c r="AN9" i="3"/>
  <c r="AA9" i="3"/>
  <c r="N9" i="3"/>
  <c r="BN9" i="3"/>
  <c r="AT9" i="3"/>
  <c r="AB16" i="3"/>
  <c r="AZ16" i="3"/>
  <c r="BS16" i="3"/>
  <c r="AL17" i="3"/>
  <c r="BJ17" i="3"/>
  <c r="CB17" i="3"/>
  <c r="K20" i="3"/>
  <c r="BK20" i="3"/>
  <c r="AI23" i="3"/>
  <c r="CD23" i="3"/>
  <c r="R25" i="3"/>
  <c r="AR25" i="3"/>
  <c r="G26" i="3"/>
  <c r="AG26" i="3"/>
  <c r="BB26" i="3"/>
  <c r="AM31" i="3"/>
  <c r="T45" i="3"/>
  <c r="BL49" i="3"/>
  <c r="G9" i="3"/>
  <c r="BY16" i="3"/>
  <c r="CE62" i="3"/>
  <c r="BS62" i="3"/>
  <c r="BG62" i="3"/>
  <c r="AU62" i="3"/>
  <c r="AI62" i="3"/>
  <c r="W62" i="3"/>
  <c r="K62" i="3"/>
  <c r="BR62" i="3"/>
  <c r="BE62" i="3"/>
  <c r="AR62" i="3"/>
  <c r="AE62" i="3"/>
  <c r="R62" i="3"/>
  <c r="F62" i="3"/>
  <c r="BW62" i="3"/>
  <c r="BI62" i="3"/>
  <c r="AT62" i="3"/>
  <c r="AF62" i="3"/>
  <c r="Q62" i="3"/>
  <c r="BV62" i="3"/>
  <c r="BF62" i="3"/>
  <c r="AP62" i="3"/>
  <c r="AA62" i="3"/>
  <c r="L62" i="3"/>
  <c r="BU62" i="3"/>
  <c r="BD62" i="3"/>
  <c r="AO62" i="3"/>
  <c r="Z62" i="3"/>
  <c r="J62" i="3"/>
  <c r="BT62" i="3"/>
  <c r="BC62" i="3"/>
  <c r="AN62" i="3"/>
  <c r="Y62" i="3"/>
  <c r="I62" i="3"/>
  <c r="BQ62" i="3"/>
  <c r="BB62" i="3"/>
  <c r="AM62" i="3"/>
  <c r="X62" i="3"/>
  <c r="H62" i="3"/>
  <c r="BY62" i="3"/>
  <c r="AY62" i="3"/>
  <c r="AC62" i="3"/>
  <c r="BX62" i="3"/>
  <c r="AX62" i="3"/>
  <c r="AB62" i="3"/>
  <c r="BP62" i="3"/>
  <c r="AW62" i="3"/>
  <c r="V62" i="3"/>
  <c r="BL62" i="3"/>
  <c r="AH62" i="3"/>
  <c r="CD62" i="3"/>
  <c r="BA62" i="3"/>
  <c r="T62" i="3"/>
  <c r="BK62" i="3"/>
  <c r="AG62" i="3"/>
  <c r="BJ62" i="3"/>
  <c r="AD62" i="3"/>
  <c r="BH62" i="3"/>
  <c r="U62" i="3"/>
  <c r="AV62" i="3"/>
  <c r="AM70" i="3"/>
  <c r="H9" i="3"/>
  <c r="Z9" i="3"/>
  <c r="AV9" i="3"/>
  <c r="BM9" i="3"/>
  <c r="M16" i="3"/>
  <c r="AE16" i="3"/>
  <c r="BC16" i="3"/>
  <c r="CA16" i="3"/>
  <c r="P17" i="3"/>
  <c r="AN17" i="3"/>
  <c r="BL17" i="3"/>
  <c r="AD19" i="3"/>
  <c r="BV19" i="3"/>
  <c r="AM20" i="3"/>
  <c r="I21" i="3"/>
  <c r="BC21" i="3"/>
  <c r="CC21" i="3"/>
  <c r="CB24" i="3"/>
  <c r="BP24" i="3"/>
  <c r="BD24" i="3"/>
  <c r="AR24" i="3"/>
  <c r="AF24" i="3"/>
  <c r="T24" i="3"/>
  <c r="H24" i="3"/>
  <c r="BZ24" i="3"/>
  <c r="BM24" i="3"/>
  <c r="AZ24" i="3"/>
  <c r="AM24" i="3"/>
  <c r="Z24" i="3"/>
  <c r="M24" i="3"/>
  <c r="CA24" i="3"/>
  <c r="BL24" i="3"/>
  <c r="AX24" i="3"/>
  <c r="AJ24" i="3"/>
  <c r="V24" i="3"/>
  <c r="G24" i="3"/>
  <c r="BY24" i="3"/>
  <c r="BK24" i="3"/>
  <c r="AW24" i="3"/>
  <c r="AI24" i="3"/>
  <c r="U24" i="3"/>
  <c r="BX24" i="3"/>
  <c r="BJ24" i="3"/>
  <c r="AV24" i="3"/>
  <c r="AH24" i="3"/>
  <c r="S24" i="3"/>
  <c r="F24" i="3"/>
  <c r="BV24" i="3"/>
  <c r="BH24" i="3"/>
  <c r="AT24" i="3"/>
  <c r="AE24" i="3"/>
  <c r="Q24" i="3"/>
  <c r="BW24" i="3"/>
  <c r="BI24" i="3"/>
  <c r="AU24" i="3"/>
  <c r="AG24" i="3"/>
  <c r="R24" i="3"/>
  <c r="AB24" i="3"/>
  <c r="BB24" i="3"/>
  <c r="CC24" i="3"/>
  <c r="T25" i="3"/>
  <c r="AT25" i="3"/>
  <c r="BU25" i="3"/>
  <c r="J26" i="3"/>
  <c r="AJ26" i="3"/>
  <c r="BJ26" i="3"/>
  <c r="CD26" i="3"/>
  <c r="O31" i="3"/>
  <c r="AO31" i="3"/>
  <c r="BP31" i="3"/>
  <c r="AF33" i="3"/>
  <c r="BI33" i="3"/>
  <c r="BY42" i="3"/>
  <c r="BM42" i="3"/>
  <c r="BA42" i="3"/>
  <c r="AO42" i="3"/>
  <c r="AC42" i="3"/>
  <c r="Q42" i="3"/>
  <c r="F42" i="3"/>
  <c r="BW42" i="3"/>
  <c r="BK42" i="3"/>
  <c r="AY42" i="3"/>
  <c r="AM42" i="3"/>
  <c r="AA42" i="3"/>
  <c r="O42" i="3"/>
  <c r="CE42" i="3"/>
  <c r="BQ42" i="3"/>
  <c r="BC42" i="3"/>
  <c r="AN42" i="3"/>
  <c r="Y42" i="3"/>
  <c r="K42" i="3"/>
  <c r="CD42" i="3"/>
  <c r="BP42" i="3"/>
  <c r="BB42" i="3"/>
  <c r="AL42" i="3"/>
  <c r="X42" i="3"/>
  <c r="J42" i="3"/>
  <c r="BO42" i="3"/>
  <c r="AW42" i="3"/>
  <c r="AG42" i="3"/>
  <c r="P42" i="3"/>
  <c r="BN42" i="3"/>
  <c r="AV42" i="3"/>
  <c r="AF42" i="3"/>
  <c r="N42" i="3"/>
  <c r="CA42" i="3"/>
  <c r="BI42" i="3"/>
  <c r="AB42" i="3"/>
  <c r="I42" i="3"/>
  <c r="CC42" i="3"/>
  <c r="BL42" i="3"/>
  <c r="AU42" i="3"/>
  <c r="AE42" i="3"/>
  <c r="M42" i="3"/>
  <c r="CB42" i="3"/>
  <c r="BJ42" i="3"/>
  <c r="AT42" i="3"/>
  <c r="AD42" i="3"/>
  <c r="L42" i="3"/>
  <c r="AS42" i="3"/>
  <c r="AJ42" i="3"/>
  <c r="BR42" i="3"/>
  <c r="F44" i="3"/>
  <c r="AP44" i="3"/>
  <c r="BX44" i="3"/>
  <c r="V45" i="3"/>
  <c r="BG45" i="3"/>
  <c r="V49" i="3"/>
  <c r="BN49" i="3"/>
  <c r="Y50" i="3"/>
  <c r="BE50" i="3"/>
  <c r="AA60" i="3"/>
  <c r="BP60" i="3"/>
  <c r="G62" i="3"/>
  <c r="AZ62" i="3"/>
  <c r="AN70" i="3"/>
  <c r="F1" i="3"/>
  <c r="U1" i="3"/>
  <c r="AO1" i="3"/>
  <c r="BE1" i="3"/>
  <c r="X2" i="3"/>
  <c r="AN2" i="3"/>
  <c r="BH2" i="3"/>
  <c r="BX2" i="3"/>
  <c r="M5" i="3"/>
  <c r="AC5" i="3"/>
  <c r="AW5" i="3"/>
  <c r="BM5" i="3"/>
  <c r="J9" i="3"/>
  <c r="AE9" i="3"/>
  <c r="AW9" i="3"/>
  <c r="BS9" i="3"/>
  <c r="Y11" i="3"/>
  <c r="AQ11" i="3"/>
  <c r="BM11" i="3"/>
  <c r="W12" i="3"/>
  <c r="AN12" i="3"/>
  <c r="BJ12" i="3"/>
  <c r="CB12" i="3"/>
  <c r="U14" i="3"/>
  <c r="AS14" i="3"/>
  <c r="F15" i="3"/>
  <c r="AC15" i="3"/>
  <c r="AU15" i="3"/>
  <c r="N16" i="3"/>
  <c r="AF16" i="3"/>
  <c r="BD16" i="3"/>
  <c r="CB16" i="3"/>
  <c r="W17" i="3"/>
  <c r="AO17" i="3"/>
  <c r="G19" i="3"/>
  <c r="AE19" i="3"/>
  <c r="AW19" i="3"/>
  <c r="S20" i="3"/>
  <c r="AN20" i="3"/>
  <c r="J21" i="3"/>
  <c r="AD21" i="3"/>
  <c r="BD21" i="3"/>
  <c r="S23" i="3"/>
  <c r="AL23" i="3"/>
  <c r="BL23" i="3"/>
  <c r="I24" i="3"/>
  <c r="AC24" i="3"/>
  <c r="BC24" i="3"/>
  <c r="CD24" i="3"/>
  <c r="U25" i="3"/>
  <c r="AU25" i="3"/>
  <c r="BV25" i="3"/>
  <c r="K26" i="3"/>
  <c r="AK26" i="3"/>
  <c r="BL26" i="3"/>
  <c r="Y30" i="3"/>
  <c r="AZ30" i="3"/>
  <c r="P31" i="3"/>
  <c r="AQ31" i="3"/>
  <c r="BQ31" i="3"/>
  <c r="K33" i="3"/>
  <c r="AG33" i="3"/>
  <c r="BK33" i="3"/>
  <c r="AF41" i="3"/>
  <c r="G42" i="3"/>
  <c r="AK42" i="3"/>
  <c r="BS42" i="3"/>
  <c r="J44" i="3"/>
  <c r="AQ44" i="3"/>
  <c r="BY44" i="3"/>
  <c r="W45" i="3"/>
  <c r="BI45" i="3"/>
  <c r="AL48" i="3"/>
  <c r="BZ48" i="3"/>
  <c r="W49" i="3"/>
  <c r="Z50" i="3"/>
  <c r="BV53" i="3"/>
  <c r="BJ53" i="3"/>
  <c r="AX53" i="3"/>
  <c r="AL53" i="3"/>
  <c r="Z53" i="3"/>
  <c r="BZ53" i="3"/>
  <c r="BM53" i="3"/>
  <c r="AZ53" i="3"/>
  <c r="AM53" i="3"/>
  <c r="Y53" i="3"/>
  <c r="M53" i="3"/>
  <c r="BS53" i="3"/>
  <c r="BE53" i="3"/>
  <c r="AQ53" i="3"/>
  <c r="AC53" i="3"/>
  <c r="O53" i="3"/>
  <c r="BR53" i="3"/>
  <c r="BD53" i="3"/>
  <c r="AP53" i="3"/>
  <c r="AB53" i="3"/>
  <c r="N53" i="3"/>
  <c r="CE53" i="3"/>
  <c r="BQ53" i="3"/>
  <c r="BC53" i="3"/>
  <c r="AO53" i="3"/>
  <c r="AA53" i="3"/>
  <c r="L53" i="3"/>
  <c r="CD53" i="3"/>
  <c r="BP53" i="3"/>
  <c r="BB53" i="3"/>
  <c r="AN53" i="3"/>
  <c r="X53" i="3"/>
  <c r="K53" i="3"/>
  <c r="BY53" i="3"/>
  <c r="BF53" i="3"/>
  <c r="AH53" i="3"/>
  <c r="P53" i="3"/>
  <c r="BX53" i="3"/>
  <c r="BA53" i="3"/>
  <c r="AG53" i="3"/>
  <c r="J53" i="3"/>
  <c r="BW53" i="3"/>
  <c r="AY53" i="3"/>
  <c r="AF53" i="3"/>
  <c r="I53" i="3"/>
  <c r="BI53" i="3"/>
  <c r="AE53" i="3"/>
  <c r="F53" i="3"/>
  <c r="BH53" i="3"/>
  <c r="AD53" i="3"/>
  <c r="CB53" i="3"/>
  <c r="AV53" i="3"/>
  <c r="U53" i="3"/>
  <c r="BG53" i="3"/>
  <c r="W53" i="3"/>
  <c r="CC53" i="3"/>
  <c r="AW53" i="3"/>
  <c r="V53" i="3"/>
  <c r="AT53" i="3"/>
  <c r="AF60" i="3"/>
  <c r="BV61" i="3"/>
  <c r="BJ61" i="3"/>
  <c r="AX61" i="3"/>
  <c r="AL61" i="3"/>
  <c r="Z61" i="3"/>
  <c r="N61" i="3"/>
  <c r="BS61" i="3"/>
  <c r="BF61" i="3"/>
  <c r="AS61" i="3"/>
  <c r="AF61" i="3"/>
  <c r="S61" i="3"/>
  <c r="CA61" i="3"/>
  <c r="BM61" i="3"/>
  <c r="AY61" i="3"/>
  <c r="AJ61" i="3"/>
  <c r="V61" i="3"/>
  <c r="H61" i="3"/>
  <c r="BZ61" i="3"/>
  <c r="BL61" i="3"/>
  <c r="AW61" i="3"/>
  <c r="AI61" i="3"/>
  <c r="U61" i="3"/>
  <c r="G61" i="3"/>
  <c r="BY61" i="3"/>
  <c r="BK61" i="3"/>
  <c r="AV61" i="3"/>
  <c r="AH61" i="3"/>
  <c r="T61" i="3"/>
  <c r="F61" i="3"/>
  <c r="BX61" i="3"/>
  <c r="BI61" i="3"/>
  <c r="AU61" i="3"/>
  <c r="AG61" i="3"/>
  <c r="R61" i="3"/>
  <c r="BO61" i="3"/>
  <c r="AQ61" i="3"/>
  <c r="X61" i="3"/>
  <c r="BN61" i="3"/>
  <c r="AP61" i="3"/>
  <c r="W61" i="3"/>
  <c r="CE61" i="3"/>
  <c r="BH61" i="3"/>
  <c r="AO61" i="3"/>
  <c r="Q61" i="3"/>
  <c r="BD61" i="3"/>
  <c r="AC61" i="3"/>
  <c r="BW61" i="3"/>
  <c r="AZ61" i="3"/>
  <c r="P61" i="3"/>
  <c r="CD61" i="3"/>
  <c r="BC61" i="3"/>
  <c r="AB61" i="3"/>
  <c r="CC61" i="3"/>
  <c r="BB61" i="3"/>
  <c r="AA61" i="3"/>
  <c r="CB61" i="3"/>
  <c r="BA61" i="3"/>
  <c r="Y61" i="3"/>
  <c r="AR61" i="3"/>
  <c r="M62" i="3"/>
  <c r="BM62" i="3"/>
  <c r="AO70" i="3"/>
  <c r="CC17" i="3"/>
  <c r="BQ17" i="3"/>
  <c r="BE17" i="3"/>
  <c r="AS17" i="3"/>
  <c r="AG17" i="3"/>
  <c r="U17" i="3"/>
  <c r="I17" i="3"/>
  <c r="BV17" i="3"/>
  <c r="BI17" i="3"/>
  <c r="AV17" i="3"/>
  <c r="AI17" i="3"/>
  <c r="V17" i="3"/>
  <c r="H17" i="3"/>
  <c r="BR17" i="3"/>
  <c r="BD17" i="3"/>
  <c r="AQ17" i="3"/>
  <c r="AD17" i="3"/>
  <c r="Q17" i="3"/>
  <c r="BU17" i="3"/>
  <c r="BH17" i="3"/>
  <c r="AU17" i="3"/>
  <c r="AH17" i="3"/>
  <c r="T17" i="3"/>
  <c r="G17" i="3"/>
  <c r="BT17" i="3"/>
  <c r="BG17" i="3"/>
  <c r="AT17" i="3"/>
  <c r="AF17" i="3"/>
  <c r="S17" i="3"/>
  <c r="CE17" i="3"/>
  <c r="BS17" i="3"/>
  <c r="BF17" i="3"/>
  <c r="AR17" i="3"/>
  <c r="AE17" i="3"/>
  <c r="R17" i="3"/>
  <c r="F17" i="3"/>
  <c r="AA17" i="3"/>
  <c r="AY17" i="3"/>
  <c r="BW17" i="3"/>
  <c r="AF25" i="3"/>
  <c r="BF25" i="3"/>
  <c r="BX50" i="3"/>
  <c r="BL50" i="3"/>
  <c r="AZ50" i="3"/>
  <c r="AN50" i="3"/>
  <c r="AB50" i="3"/>
  <c r="P50" i="3"/>
  <c r="BU50" i="3"/>
  <c r="BH50" i="3"/>
  <c r="AU50" i="3"/>
  <c r="AH50" i="3"/>
  <c r="U50" i="3"/>
  <c r="H50" i="3"/>
  <c r="BT50" i="3"/>
  <c r="BG50" i="3"/>
  <c r="AT50" i="3"/>
  <c r="AG50" i="3"/>
  <c r="T50" i="3"/>
  <c r="G50" i="3"/>
  <c r="BS50" i="3"/>
  <c r="BF50" i="3"/>
  <c r="AS50" i="3"/>
  <c r="AF50" i="3"/>
  <c r="S50" i="3"/>
  <c r="CE50" i="3"/>
  <c r="BO50" i="3"/>
  <c r="AX50" i="3"/>
  <c r="AE50" i="3"/>
  <c r="N50" i="3"/>
  <c r="CD50" i="3"/>
  <c r="BN50" i="3"/>
  <c r="AW50" i="3"/>
  <c r="AD50" i="3"/>
  <c r="M50" i="3"/>
  <c r="CC50" i="3"/>
  <c r="BM50" i="3"/>
  <c r="AV50" i="3"/>
  <c r="AC50" i="3"/>
  <c r="L50" i="3"/>
  <c r="BR50" i="3"/>
  <c r="AR50" i="3"/>
  <c r="X50" i="3"/>
  <c r="BQ50" i="3"/>
  <c r="AQ50" i="3"/>
  <c r="W50" i="3"/>
  <c r="BJ50" i="3"/>
  <c r="AM50" i="3"/>
  <c r="Q50" i="3"/>
  <c r="BP50" i="3"/>
  <c r="AP50" i="3"/>
  <c r="V50" i="3"/>
  <c r="BK50" i="3"/>
  <c r="AO50" i="3"/>
  <c r="R50" i="3"/>
  <c r="AL50" i="3"/>
  <c r="CA50" i="3"/>
  <c r="CB20" i="3"/>
  <c r="BP20" i="3"/>
  <c r="BD20" i="3"/>
  <c r="AR20" i="3"/>
  <c r="AF20" i="3"/>
  <c r="T20" i="3"/>
  <c r="H20" i="3"/>
  <c r="BW20" i="3"/>
  <c r="BJ20" i="3"/>
  <c r="AW20" i="3"/>
  <c r="AJ20" i="3"/>
  <c r="W20" i="3"/>
  <c r="J20" i="3"/>
  <c r="BV20" i="3"/>
  <c r="BH20" i="3"/>
  <c r="AT20" i="3"/>
  <c r="AE20" i="3"/>
  <c r="Q20" i="3"/>
  <c r="BC20" i="3"/>
  <c r="AA20" i="3"/>
  <c r="M20" i="3"/>
  <c r="BU20" i="3"/>
  <c r="BG20" i="3"/>
  <c r="AS20" i="3"/>
  <c r="AD20" i="3"/>
  <c r="P20" i="3"/>
  <c r="BR20" i="3"/>
  <c r="BT20" i="3"/>
  <c r="BF20" i="3"/>
  <c r="AQ20" i="3"/>
  <c r="AC20" i="3"/>
  <c r="O20" i="3"/>
  <c r="AO20" i="3"/>
  <c r="BS20" i="3"/>
  <c r="BE20" i="3"/>
  <c r="AP20" i="3"/>
  <c r="AB20" i="3"/>
  <c r="N20" i="3"/>
  <c r="BZ23" i="3"/>
  <c r="BU49" i="3"/>
  <c r="BI49" i="3"/>
  <c r="BX49" i="3"/>
  <c r="BK49" i="3"/>
  <c r="AX49" i="3"/>
  <c r="AL49" i="3"/>
  <c r="Z49" i="3"/>
  <c r="N49" i="3"/>
  <c r="BW49" i="3"/>
  <c r="BJ49" i="3"/>
  <c r="AW49" i="3"/>
  <c r="AK49" i="3"/>
  <c r="Y49" i="3"/>
  <c r="M49" i="3"/>
  <c r="BV49" i="3"/>
  <c r="BH49" i="3"/>
  <c r="AV49" i="3"/>
  <c r="AJ49" i="3"/>
  <c r="X49" i="3"/>
  <c r="L49" i="3"/>
  <c r="CA49" i="3"/>
  <c r="BG49" i="3"/>
  <c r="AR49" i="3"/>
  <c r="AC49" i="3"/>
  <c r="K49" i="3"/>
  <c r="BZ49" i="3"/>
  <c r="BF49" i="3"/>
  <c r="AQ49" i="3"/>
  <c r="AB49" i="3"/>
  <c r="J49" i="3"/>
  <c r="BY49" i="3"/>
  <c r="BE49" i="3"/>
  <c r="AP49" i="3"/>
  <c r="AA49" i="3"/>
  <c r="I49" i="3"/>
  <c r="CD49" i="3"/>
  <c r="BD49" i="3"/>
  <c r="AI49" i="3"/>
  <c r="Q49" i="3"/>
  <c r="CC49" i="3"/>
  <c r="BC49" i="3"/>
  <c r="AH49" i="3"/>
  <c r="P49" i="3"/>
  <c r="BS49" i="3"/>
  <c r="AZ49" i="3"/>
  <c r="AE49" i="3"/>
  <c r="G49" i="3"/>
  <c r="CB49" i="3"/>
  <c r="BB49" i="3"/>
  <c r="AG49" i="3"/>
  <c r="O49" i="3"/>
  <c r="BT49" i="3"/>
  <c r="BA49" i="3"/>
  <c r="AF49" i="3"/>
  <c r="H49" i="3"/>
  <c r="BB60" i="3"/>
  <c r="X5" i="3"/>
  <c r="AN5" i="3"/>
  <c r="BH5" i="3"/>
  <c r="BX5" i="3"/>
  <c r="Z16" i="3"/>
  <c r="AS16" i="3"/>
  <c r="BQ16" i="3"/>
  <c r="L17" i="3"/>
  <c r="AJ17" i="3"/>
  <c r="BB17" i="3"/>
  <c r="BZ17" i="3"/>
  <c r="G20" i="3"/>
  <c r="BB20" i="3"/>
  <c r="CC20" i="3"/>
  <c r="G23" i="3"/>
  <c r="AG23" i="3"/>
  <c r="AZ23" i="3"/>
  <c r="P25" i="3"/>
  <c r="AI25" i="3"/>
  <c r="BJ25" i="3"/>
  <c r="K31" i="3"/>
  <c r="AE31" i="3"/>
  <c r="BE31" i="3"/>
  <c r="CA45" i="3"/>
  <c r="I50" i="3"/>
  <c r="BL60" i="3"/>
  <c r="F5" i="3"/>
  <c r="Y5" i="3"/>
  <c r="AO5" i="3"/>
  <c r="BI5" i="3"/>
  <c r="BY5" i="3"/>
  <c r="M17" i="3"/>
  <c r="Q25" i="3"/>
  <c r="S45" i="3"/>
  <c r="J60" i="3"/>
  <c r="BN60" i="3"/>
  <c r="AL70" i="3"/>
  <c r="CE21" i="3"/>
  <c r="BS21" i="3"/>
  <c r="BG21" i="3"/>
  <c r="AU21" i="3"/>
  <c r="AI21" i="3"/>
  <c r="W21" i="3"/>
  <c r="K21" i="3"/>
  <c r="BU21" i="3"/>
  <c r="BH21" i="3"/>
  <c r="AT21" i="3"/>
  <c r="AG21" i="3"/>
  <c r="T21" i="3"/>
  <c r="G21" i="3"/>
  <c r="CA21" i="3"/>
  <c r="BM21" i="3"/>
  <c r="AY21" i="3"/>
  <c r="AK21" i="3"/>
  <c r="V21" i="3"/>
  <c r="H21" i="3"/>
  <c r="AE21" i="3"/>
  <c r="BZ21" i="3"/>
  <c r="BL21" i="3"/>
  <c r="AX21" i="3"/>
  <c r="AJ21" i="3"/>
  <c r="U21" i="3"/>
  <c r="BY21" i="3"/>
  <c r="BK21" i="3"/>
  <c r="AW21" i="3"/>
  <c r="AH21" i="3"/>
  <c r="S21" i="3"/>
  <c r="F21" i="3"/>
  <c r="BX21" i="3"/>
  <c r="BJ21" i="3"/>
  <c r="AV21" i="3"/>
  <c r="AF21" i="3"/>
  <c r="R21" i="3"/>
  <c r="BW21" i="3"/>
  <c r="BI21" i="3"/>
  <c r="AS21" i="3"/>
  <c r="Q21" i="3"/>
  <c r="AB21" i="3"/>
  <c r="CB21" i="3"/>
  <c r="J23" i="3"/>
  <c r="AJ23" i="3"/>
  <c r="CE23" i="3"/>
  <c r="S25" i="3"/>
  <c r="AS25" i="3"/>
  <c r="BS25" i="3"/>
  <c r="AI26" i="3"/>
  <c r="BI26" i="3"/>
  <c r="CC26" i="3"/>
  <c r="AN31" i="3"/>
  <c r="BI31" i="3"/>
  <c r="BG33" i="3"/>
  <c r="BF45" i="3"/>
  <c r="U49" i="3"/>
  <c r="BO60" i="3"/>
  <c r="N5" i="1"/>
  <c r="N3" i="1"/>
  <c r="AB5" i="3"/>
  <c r="BL5" i="3"/>
  <c r="BY19" i="3"/>
  <c r="BM19" i="3"/>
  <c r="BA19" i="3"/>
  <c r="BZ19" i="3"/>
  <c r="BL19" i="3"/>
  <c r="AY19" i="3"/>
  <c r="AM19" i="3"/>
  <c r="AA19" i="3"/>
  <c r="O19" i="3"/>
  <c r="BR19" i="3"/>
  <c r="BD19" i="3"/>
  <c r="AP19" i="3"/>
  <c r="AC19" i="3"/>
  <c r="P19" i="3"/>
  <c r="CB19" i="3"/>
  <c r="BN19" i="3"/>
  <c r="AX19" i="3"/>
  <c r="AK19" i="3"/>
  <c r="X19" i="3"/>
  <c r="K19" i="3"/>
  <c r="CE19" i="3"/>
  <c r="BQ19" i="3"/>
  <c r="BC19" i="3"/>
  <c r="AO19" i="3"/>
  <c r="AB19" i="3"/>
  <c r="N19" i="3"/>
  <c r="CD19" i="3"/>
  <c r="BP19" i="3"/>
  <c r="BB19" i="3"/>
  <c r="AN19" i="3"/>
  <c r="Z19" i="3"/>
  <c r="M19" i="3"/>
  <c r="CC19" i="3"/>
  <c r="BO19" i="3"/>
  <c r="AZ19" i="3"/>
  <c r="AL19" i="3"/>
  <c r="Y19" i="3"/>
  <c r="L19" i="3"/>
  <c r="AV19" i="3"/>
  <c r="R20" i="3"/>
  <c r="BM20" i="3"/>
  <c r="AC21" i="3"/>
  <c r="K23" i="3"/>
  <c r="BW1" i="3"/>
  <c r="BK1" i="3"/>
  <c r="AY1" i="3"/>
  <c r="AM1" i="3"/>
  <c r="AA1" i="3"/>
  <c r="O1" i="3"/>
  <c r="BV1" i="3"/>
  <c r="BJ1" i="3"/>
  <c r="AX1" i="3"/>
  <c r="AL1" i="3"/>
  <c r="Z1" i="3"/>
  <c r="N1" i="3"/>
  <c r="BU1" i="3"/>
  <c r="BI1" i="3"/>
  <c r="AW1" i="3"/>
  <c r="AK1" i="3"/>
  <c r="Y1" i="3"/>
  <c r="M1" i="3"/>
  <c r="BT1" i="3"/>
  <c r="BH1" i="3"/>
  <c r="AV1" i="3"/>
  <c r="AJ1" i="3"/>
  <c r="X1" i="3"/>
  <c r="L1" i="3"/>
  <c r="V1" i="3"/>
  <c r="AP1" i="3"/>
  <c r="BF1" i="3"/>
  <c r="BZ1" i="3"/>
  <c r="F2" i="3"/>
  <c r="Y2" i="3"/>
  <c r="AO2" i="3"/>
  <c r="BI2" i="3"/>
  <c r="N5" i="3"/>
  <c r="N80" i="3" s="1"/>
  <c r="AH5" i="3"/>
  <c r="AX5" i="3"/>
  <c r="K9" i="3"/>
  <c r="AF9" i="3"/>
  <c r="AX9" i="3"/>
  <c r="BT9" i="3"/>
  <c r="BT80" i="3" s="1"/>
  <c r="BK12" i="3"/>
  <c r="BW15" i="3"/>
  <c r="BK15" i="3"/>
  <c r="AY15" i="3"/>
  <c r="AM15" i="3"/>
  <c r="AA15" i="3"/>
  <c r="O15" i="3"/>
  <c r="CA15" i="3"/>
  <c r="BN15" i="3"/>
  <c r="BA15" i="3"/>
  <c r="AN15" i="3"/>
  <c r="Z15" i="3"/>
  <c r="M15" i="3"/>
  <c r="BV15" i="3"/>
  <c r="BI15" i="3"/>
  <c r="AV15" i="3"/>
  <c r="AI15" i="3"/>
  <c r="V15" i="3"/>
  <c r="I15" i="3"/>
  <c r="BZ15" i="3"/>
  <c r="BM15" i="3"/>
  <c r="AZ15" i="3"/>
  <c r="AL15" i="3"/>
  <c r="Y15" i="3"/>
  <c r="L15" i="3"/>
  <c r="BY15" i="3"/>
  <c r="BL15" i="3"/>
  <c r="AX15" i="3"/>
  <c r="AK15" i="3"/>
  <c r="X15" i="3"/>
  <c r="K15" i="3"/>
  <c r="BX15" i="3"/>
  <c r="BJ15" i="3"/>
  <c r="AW15" i="3"/>
  <c r="AJ15" i="3"/>
  <c r="W15" i="3"/>
  <c r="J15" i="3"/>
  <c r="AD15" i="3"/>
  <c r="BB15" i="3"/>
  <c r="BT15" i="3"/>
  <c r="O16" i="3"/>
  <c r="AL16" i="3"/>
  <c r="BE16" i="3"/>
  <c r="CC16" i="3"/>
  <c r="X17" i="3"/>
  <c r="AP17" i="3"/>
  <c r="BN17" i="3"/>
  <c r="H19" i="3"/>
  <c r="AF19" i="3"/>
  <c r="BE19" i="3"/>
  <c r="BX19" i="3"/>
  <c r="U20" i="3"/>
  <c r="AU20" i="3"/>
  <c r="BO20" i="3"/>
  <c r="L21" i="3"/>
  <c r="AL21" i="3"/>
  <c r="BE21" i="3"/>
  <c r="T23" i="3"/>
  <c r="AM23" i="3"/>
  <c r="BN23" i="3"/>
  <c r="J24" i="3"/>
  <c r="AD24" i="3"/>
  <c r="BE24" i="3"/>
  <c r="CE24" i="3"/>
  <c r="AC25" i="3"/>
  <c r="AW25" i="3"/>
  <c r="AW80" i="3" s="1"/>
  <c r="R26" i="3"/>
  <c r="AL26" i="3"/>
  <c r="BM26" i="3"/>
  <c r="BW30" i="3"/>
  <c r="BK30" i="3"/>
  <c r="AY30" i="3"/>
  <c r="AM30" i="3"/>
  <c r="AA30" i="3"/>
  <c r="O30" i="3"/>
  <c r="BX30" i="3"/>
  <c r="BJ30" i="3"/>
  <c r="AW30" i="3"/>
  <c r="AJ30" i="3"/>
  <c r="W30" i="3"/>
  <c r="J30" i="3"/>
  <c r="BY30" i="3"/>
  <c r="BI30" i="3"/>
  <c r="AU30" i="3"/>
  <c r="AG30" i="3"/>
  <c r="S30" i="3"/>
  <c r="F30" i="3"/>
  <c r="BV30" i="3"/>
  <c r="BH30" i="3"/>
  <c r="AT30" i="3"/>
  <c r="AF30" i="3"/>
  <c r="R30" i="3"/>
  <c r="BS30" i="3"/>
  <c r="BE30" i="3"/>
  <c r="AQ30" i="3"/>
  <c r="AC30" i="3"/>
  <c r="N30" i="3"/>
  <c r="BU30" i="3"/>
  <c r="BG30" i="3"/>
  <c r="AS30" i="3"/>
  <c r="AE30" i="3"/>
  <c r="Q30" i="3"/>
  <c r="BT30" i="3"/>
  <c r="BF30" i="3"/>
  <c r="AR30" i="3"/>
  <c r="AD30" i="3"/>
  <c r="P30" i="3"/>
  <c r="Z30" i="3"/>
  <c r="BA30" i="3"/>
  <c r="CA30" i="3"/>
  <c r="Q31" i="3"/>
  <c r="AR31" i="3"/>
  <c r="BR31" i="3"/>
  <c r="M33" i="3"/>
  <c r="AH33" i="3"/>
  <c r="BL33" i="3"/>
  <c r="BV41" i="3"/>
  <c r="BJ41" i="3"/>
  <c r="AX41" i="3"/>
  <c r="AL41" i="3"/>
  <c r="Z41" i="3"/>
  <c r="N41" i="3"/>
  <c r="BT41" i="3"/>
  <c r="BH41" i="3"/>
  <c r="AV41" i="3"/>
  <c r="AJ41" i="3"/>
  <c r="X41" i="3"/>
  <c r="L41" i="3"/>
  <c r="CA41" i="3"/>
  <c r="BM41" i="3"/>
  <c r="AY41" i="3"/>
  <c r="AI41" i="3"/>
  <c r="U41" i="3"/>
  <c r="G41" i="3"/>
  <c r="BZ41" i="3"/>
  <c r="BL41" i="3"/>
  <c r="AW41" i="3"/>
  <c r="AH41" i="3"/>
  <c r="T41" i="3"/>
  <c r="CC41" i="3"/>
  <c r="BK41" i="3"/>
  <c r="AS41" i="3"/>
  <c r="AC41" i="3"/>
  <c r="K41" i="3"/>
  <c r="CB41" i="3"/>
  <c r="BI41" i="3"/>
  <c r="AR41" i="3"/>
  <c r="AB41" i="3"/>
  <c r="J41" i="3"/>
  <c r="BW41" i="3"/>
  <c r="AO41" i="3"/>
  <c r="W41" i="3"/>
  <c r="BY41" i="3"/>
  <c r="BG41" i="3"/>
  <c r="AQ41" i="3"/>
  <c r="AA41" i="3"/>
  <c r="I41" i="3"/>
  <c r="F41" i="3"/>
  <c r="BX41" i="3"/>
  <c r="BF41" i="3"/>
  <c r="AP41" i="3"/>
  <c r="Y41" i="3"/>
  <c r="H41" i="3"/>
  <c r="BE41" i="3"/>
  <c r="AG41" i="3"/>
  <c r="BO41" i="3"/>
  <c r="H42" i="3"/>
  <c r="AP42" i="3"/>
  <c r="BT42" i="3"/>
  <c r="L44" i="3"/>
  <c r="AR44" i="3"/>
  <c r="AH45" i="3"/>
  <c r="BK45" i="3"/>
  <c r="AM48" i="3"/>
  <c r="AD49" i="3"/>
  <c r="BP49" i="3"/>
  <c r="AA50" i="3"/>
  <c r="BV50" i="3"/>
  <c r="N62" i="3"/>
  <c r="BN62" i="3"/>
  <c r="AP70" i="3"/>
  <c r="BT25" i="3"/>
  <c r="BH25" i="3"/>
  <c r="AV25" i="3"/>
  <c r="AJ25" i="3"/>
  <c r="X25" i="3"/>
  <c r="L25" i="3"/>
  <c r="BY25" i="3"/>
  <c r="BL25" i="3"/>
  <c r="AY25" i="3"/>
  <c r="AL25" i="3"/>
  <c r="Y25" i="3"/>
  <c r="K25" i="3"/>
  <c r="BR25" i="3"/>
  <c r="BD25" i="3"/>
  <c r="AP25" i="3"/>
  <c r="AB25" i="3"/>
  <c r="N25" i="3"/>
  <c r="CE25" i="3"/>
  <c r="BQ25" i="3"/>
  <c r="BC25" i="3"/>
  <c r="AO25" i="3"/>
  <c r="AA25" i="3"/>
  <c r="M25" i="3"/>
  <c r="CD25" i="3"/>
  <c r="BP25" i="3"/>
  <c r="BB25" i="3"/>
  <c r="AN25" i="3"/>
  <c r="Z25" i="3"/>
  <c r="J25" i="3"/>
  <c r="CB25" i="3"/>
  <c r="BN25" i="3"/>
  <c r="AZ25" i="3"/>
  <c r="AK25" i="3"/>
  <c r="V25" i="3"/>
  <c r="H25" i="3"/>
  <c r="CC25" i="3"/>
  <c r="BO25" i="3"/>
  <c r="BA25" i="3"/>
  <c r="AM25" i="3"/>
  <c r="W25" i="3"/>
  <c r="I25" i="3"/>
  <c r="J17" i="3"/>
  <c r="AB17" i="3"/>
  <c r="AZ17" i="3"/>
  <c r="BX17" i="3"/>
  <c r="G25" i="3"/>
  <c r="BG25" i="3"/>
  <c r="CC5" i="3"/>
  <c r="BQ5" i="3"/>
  <c r="BE5" i="3"/>
  <c r="AS5" i="3"/>
  <c r="AG5" i="3"/>
  <c r="U5" i="3"/>
  <c r="I5" i="3"/>
  <c r="CB5" i="3"/>
  <c r="BP5" i="3"/>
  <c r="BD5" i="3"/>
  <c r="AR5" i="3"/>
  <c r="AF5" i="3"/>
  <c r="T5" i="3"/>
  <c r="H5" i="3"/>
  <c r="CA5" i="3"/>
  <c r="BO5" i="3"/>
  <c r="BC5" i="3"/>
  <c r="AQ5" i="3"/>
  <c r="AE5" i="3"/>
  <c r="S5" i="3"/>
  <c r="G5" i="3"/>
  <c r="BZ5" i="3"/>
  <c r="BN5" i="3"/>
  <c r="BB5" i="3"/>
  <c r="AP5" i="3"/>
  <c r="AD5" i="3"/>
  <c r="R5" i="3"/>
  <c r="W5" i="3"/>
  <c r="AM5" i="3"/>
  <c r="BG5" i="3"/>
  <c r="BW5" i="3"/>
  <c r="AC17" i="3"/>
  <c r="BA17" i="3"/>
  <c r="BY17" i="3"/>
  <c r="AG20" i="3"/>
  <c r="BA20" i="3"/>
  <c r="CA20" i="3"/>
  <c r="AY23" i="3"/>
  <c r="AH25" i="3"/>
  <c r="CE60" i="3"/>
  <c r="BS60" i="3"/>
  <c r="BG60" i="3"/>
  <c r="AU60" i="3"/>
  <c r="AI60" i="3"/>
  <c r="W60" i="3"/>
  <c r="K60" i="3"/>
  <c r="BV60" i="3"/>
  <c r="BI60" i="3"/>
  <c r="AV60" i="3"/>
  <c r="AH60" i="3"/>
  <c r="U60" i="3"/>
  <c r="H60" i="3"/>
  <c r="BW60" i="3"/>
  <c r="BH60" i="3"/>
  <c r="AS60" i="3"/>
  <c r="AE60" i="3"/>
  <c r="Q60" i="3"/>
  <c r="BU60" i="3"/>
  <c r="BF60" i="3"/>
  <c r="AR60" i="3"/>
  <c r="AD60" i="3"/>
  <c r="P60" i="3"/>
  <c r="BT60" i="3"/>
  <c r="BE60" i="3"/>
  <c r="AQ60" i="3"/>
  <c r="AC60" i="3"/>
  <c r="O60" i="3"/>
  <c r="BR60" i="3"/>
  <c r="BD60" i="3"/>
  <c r="AP60" i="3"/>
  <c r="AB60" i="3"/>
  <c r="N60" i="3"/>
  <c r="CC60" i="3"/>
  <c r="BK60" i="3"/>
  <c r="AM60" i="3"/>
  <c r="S60" i="3"/>
  <c r="CB60" i="3"/>
  <c r="BJ60" i="3"/>
  <c r="AL60" i="3"/>
  <c r="R60" i="3"/>
  <c r="CA60" i="3"/>
  <c r="BC60" i="3"/>
  <c r="AK60" i="3"/>
  <c r="M60" i="3"/>
  <c r="CD60" i="3"/>
  <c r="AZ60" i="3"/>
  <c r="Y60" i="3"/>
  <c r="BQ60" i="3"/>
  <c r="AT60" i="3"/>
  <c r="BZ60" i="3"/>
  <c r="AY60" i="3"/>
  <c r="X60" i="3"/>
  <c r="BY60" i="3"/>
  <c r="AX60" i="3"/>
  <c r="V60" i="3"/>
  <c r="L60" i="3"/>
  <c r="BX60" i="3"/>
  <c r="AW60" i="3"/>
  <c r="T60" i="3"/>
  <c r="AU49" i="3"/>
  <c r="AA16" i="3"/>
  <c r="AY16" i="3"/>
  <c r="BR16" i="3"/>
  <c r="AK17" i="3"/>
  <c r="BC17" i="3"/>
  <c r="CA17" i="3"/>
  <c r="AI20" i="3"/>
  <c r="BI20" i="3"/>
  <c r="CD20" i="3"/>
  <c r="H23" i="3"/>
  <c r="AH23" i="3"/>
  <c r="BB23" i="3"/>
  <c r="CB23" i="3"/>
  <c r="AQ25" i="3"/>
  <c r="BK25" i="3"/>
  <c r="CA26" i="3"/>
  <c r="L31" i="3"/>
  <c r="S49" i="3"/>
  <c r="AK70" i="3"/>
  <c r="CE44" i="3"/>
  <c r="BS44" i="3"/>
  <c r="BG44" i="3"/>
  <c r="AU44" i="3"/>
  <c r="AI44" i="3"/>
  <c r="W44" i="3"/>
  <c r="K44" i="3"/>
  <c r="CC44" i="3"/>
  <c r="BQ44" i="3"/>
  <c r="BE44" i="3"/>
  <c r="AS44" i="3"/>
  <c r="AG44" i="3"/>
  <c r="U44" i="3"/>
  <c r="I44" i="3"/>
  <c r="CB44" i="3"/>
  <c r="BN44" i="3"/>
  <c r="AZ44" i="3"/>
  <c r="AL44" i="3"/>
  <c r="X44" i="3"/>
  <c r="H44" i="3"/>
  <c r="CA44" i="3"/>
  <c r="BM44" i="3"/>
  <c r="AY44" i="3"/>
  <c r="AK44" i="3"/>
  <c r="V44" i="3"/>
  <c r="G44" i="3"/>
  <c r="BZ44" i="3"/>
  <c r="BL44" i="3"/>
  <c r="AX44" i="3"/>
  <c r="AJ44" i="3"/>
  <c r="T44" i="3"/>
  <c r="BW44" i="3"/>
  <c r="BD44" i="3"/>
  <c r="AM44" i="3"/>
  <c r="Q44" i="3"/>
  <c r="BV44" i="3"/>
  <c r="BC44" i="3"/>
  <c r="AH44" i="3"/>
  <c r="P44" i="3"/>
  <c r="AW44" i="3"/>
  <c r="AD44" i="3"/>
  <c r="M44" i="3"/>
  <c r="BU44" i="3"/>
  <c r="BB44" i="3"/>
  <c r="AF44" i="3"/>
  <c r="O44" i="3"/>
  <c r="BT44" i="3"/>
  <c r="BA44" i="3"/>
  <c r="AE44" i="3"/>
  <c r="N44" i="3"/>
  <c r="BR44" i="3"/>
  <c r="AN44" i="3"/>
  <c r="BO44" i="3"/>
  <c r="BB45" i="3"/>
  <c r="T49" i="3"/>
  <c r="K50" i="3"/>
  <c r="K5" i="3"/>
  <c r="AA5" i="3"/>
  <c r="AU5" i="3"/>
  <c r="BK5" i="3"/>
  <c r="CE5" i="3"/>
  <c r="Y9" i="3"/>
  <c r="AU9" i="3"/>
  <c r="BL9" i="3"/>
  <c r="L16" i="3"/>
  <c r="AC16" i="3"/>
  <c r="BA16" i="3"/>
  <c r="O17" i="3"/>
  <c r="AM17" i="3"/>
  <c r="BK17" i="3"/>
  <c r="CD17" i="3"/>
  <c r="L20" i="3"/>
  <c r="AL20" i="3"/>
  <c r="BL20" i="3"/>
  <c r="BB21" i="3"/>
  <c r="BJ23" i="3"/>
  <c r="I26" i="3"/>
  <c r="N31" i="3"/>
  <c r="AE33" i="3"/>
  <c r="CD33" i="3"/>
  <c r="AO44" i="3"/>
  <c r="U45" i="3"/>
  <c r="BM49" i="3"/>
  <c r="O50" i="3"/>
  <c r="Z60" i="3"/>
  <c r="L5" i="3"/>
  <c r="AK23" i="3"/>
  <c r="CE2" i="3"/>
  <c r="BS2" i="3"/>
  <c r="BG2" i="3"/>
  <c r="AU2" i="3"/>
  <c r="AI2" i="3"/>
  <c r="W2" i="3"/>
  <c r="K2" i="3"/>
  <c r="CD2" i="3"/>
  <c r="BR2" i="3"/>
  <c r="BF2" i="3"/>
  <c r="AT2" i="3"/>
  <c r="AH2" i="3"/>
  <c r="V2" i="3"/>
  <c r="J2" i="3"/>
  <c r="CC2" i="3"/>
  <c r="BQ2" i="3"/>
  <c r="BE2" i="3"/>
  <c r="AS2" i="3"/>
  <c r="AG2" i="3"/>
  <c r="U2" i="3"/>
  <c r="I2" i="3"/>
  <c r="CB2" i="3"/>
  <c r="BP2" i="3"/>
  <c r="BD2" i="3"/>
  <c r="AR2" i="3"/>
  <c r="AF2" i="3"/>
  <c r="T2" i="3"/>
  <c r="H2" i="3"/>
  <c r="Z2" i="3"/>
  <c r="AP2" i="3"/>
  <c r="BJ2" i="3"/>
  <c r="BZ2" i="3"/>
  <c r="O5" i="3"/>
  <c r="AI5" i="3"/>
  <c r="AY5" i="3"/>
  <c r="BS5" i="3"/>
  <c r="L9" i="3"/>
  <c r="AH9" i="3"/>
  <c r="AY9" i="3"/>
  <c r="BU9" i="3"/>
  <c r="BW11" i="3"/>
  <c r="BK11" i="3"/>
  <c r="AY11" i="3"/>
  <c r="AM11" i="3"/>
  <c r="AA11" i="3"/>
  <c r="O11" i="3"/>
  <c r="BY11" i="3"/>
  <c r="BL11" i="3"/>
  <c r="AX11" i="3"/>
  <c r="AK11" i="3"/>
  <c r="X11" i="3"/>
  <c r="K11" i="3"/>
  <c r="BX11" i="3"/>
  <c r="BJ11" i="3"/>
  <c r="AW11" i="3"/>
  <c r="AJ11" i="3"/>
  <c r="W11" i="3"/>
  <c r="J11" i="3"/>
  <c r="BV11" i="3"/>
  <c r="BI11" i="3"/>
  <c r="AV11" i="3"/>
  <c r="AI11" i="3"/>
  <c r="V11" i="3"/>
  <c r="I11" i="3"/>
  <c r="H11" i="3"/>
  <c r="BU11" i="3"/>
  <c r="BH11" i="3"/>
  <c r="AU11" i="3"/>
  <c r="AH11" i="3"/>
  <c r="U11" i="3"/>
  <c r="AB11" i="3"/>
  <c r="AS11" i="3"/>
  <c r="BO11" i="3"/>
  <c r="BT14" i="3"/>
  <c r="BH14" i="3"/>
  <c r="AV14" i="3"/>
  <c r="AJ14" i="3"/>
  <c r="X14" i="3"/>
  <c r="L14" i="3"/>
  <c r="CD14" i="3"/>
  <c r="BQ14" i="3"/>
  <c r="BD14" i="3"/>
  <c r="AQ14" i="3"/>
  <c r="AD14" i="3"/>
  <c r="Q14" i="3"/>
  <c r="BM14" i="3"/>
  <c r="AZ14" i="3"/>
  <c r="AM14" i="3"/>
  <c r="Z14" i="3"/>
  <c r="CC14" i="3"/>
  <c r="BP14" i="3"/>
  <c r="BC14" i="3"/>
  <c r="AP14" i="3"/>
  <c r="AC14" i="3"/>
  <c r="P14" i="3"/>
  <c r="CB14" i="3"/>
  <c r="BO14" i="3"/>
  <c r="BB14" i="3"/>
  <c r="AO14" i="3"/>
  <c r="AB14" i="3"/>
  <c r="O14" i="3"/>
  <c r="CA14" i="3"/>
  <c r="BN14" i="3"/>
  <c r="BA14" i="3"/>
  <c r="AN14" i="3"/>
  <c r="AA14" i="3"/>
  <c r="N14" i="3"/>
  <c r="W14" i="3"/>
  <c r="AU14" i="3"/>
  <c r="BS14" i="3"/>
  <c r="G15" i="3"/>
  <c r="AE15" i="3"/>
  <c r="BC15" i="3"/>
  <c r="BU15" i="3"/>
  <c r="P16" i="3"/>
  <c r="AM16" i="3"/>
  <c r="BF16" i="3"/>
  <c r="AW17" i="3"/>
  <c r="BO17" i="3"/>
  <c r="I19" i="3"/>
  <c r="AG19" i="3"/>
  <c r="BF19" i="3"/>
  <c r="CA19" i="3"/>
  <c r="V20" i="3"/>
  <c r="AV20" i="3"/>
  <c r="BQ20" i="3"/>
  <c r="M21" i="3"/>
  <c r="AM21" i="3"/>
  <c r="BF21" i="3"/>
  <c r="U23" i="3"/>
  <c r="AU23" i="3"/>
  <c r="BO23" i="3"/>
  <c r="K24" i="3"/>
  <c r="AK24" i="3"/>
  <c r="BF24" i="3"/>
  <c r="AD25" i="3"/>
  <c r="AX25" i="3"/>
  <c r="BX25" i="3"/>
  <c r="S26" i="3"/>
  <c r="AN26" i="3"/>
  <c r="BN26" i="3"/>
  <c r="G30" i="3"/>
  <c r="AB30" i="3"/>
  <c r="BB30" i="3"/>
  <c r="CB30" i="3"/>
  <c r="Y31" i="3"/>
  <c r="AS31" i="3"/>
  <c r="O33" i="3"/>
  <c r="AQ33" i="3"/>
  <c r="R42" i="3"/>
  <c r="AQ42" i="3"/>
  <c r="BU42" i="3"/>
  <c r="R44" i="3"/>
  <c r="AT44" i="3"/>
  <c r="AI45" i="3"/>
  <c r="BL45" i="3"/>
  <c r="CE48" i="3"/>
  <c r="BS48" i="3"/>
  <c r="BG48" i="3"/>
  <c r="AU48" i="3"/>
  <c r="AI48" i="3"/>
  <c r="W48" i="3"/>
  <c r="K48" i="3"/>
  <c r="CD48" i="3"/>
  <c r="BR48" i="3"/>
  <c r="BF48" i="3"/>
  <c r="AT48" i="3"/>
  <c r="AH48" i="3"/>
  <c r="V48" i="3"/>
  <c r="J48" i="3"/>
  <c r="CC48" i="3"/>
  <c r="BQ48" i="3"/>
  <c r="BE48" i="3"/>
  <c r="AS48" i="3"/>
  <c r="AG48" i="3"/>
  <c r="U48" i="3"/>
  <c r="I48" i="3"/>
  <c r="BY48" i="3"/>
  <c r="BJ48" i="3"/>
  <c r="AR48" i="3"/>
  <c r="AC48" i="3"/>
  <c r="N48" i="3"/>
  <c r="BX48" i="3"/>
  <c r="BI48" i="3"/>
  <c r="AQ48" i="3"/>
  <c r="AB48" i="3"/>
  <c r="M48" i="3"/>
  <c r="BW48" i="3"/>
  <c r="BH48" i="3"/>
  <c r="AP48" i="3"/>
  <c r="AA48" i="3"/>
  <c r="L48" i="3"/>
  <c r="BV48" i="3"/>
  <c r="BA48" i="3"/>
  <c r="AF48" i="3"/>
  <c r="H48" i="3"/>
  <c r="BU48" i="3"/>
  <c r="AZ48" i="3"/>
  <c r="AE48" i="3"/>
  <c r="G48" i="3"/>
  <c r="BO48" i="3"/>
  <c r="AW48" i="3"/>
  <c r="Y48" i="3"/>
  <c r="BT48" i="3"/>
  <c r="AY48" i="3"/>
  <c r="AD48" i="3"/>
  <c r="BP48" i="3"/>
  <c r="AX48" i="3"/>
  <c r="Z48" i="3"/>
  <c r="F48" i="3"/>
  <c r="AN48" i="3"/>
  <c r="CB48" i="3"/>
  <c r="AM49" i="3"/>
  <c r="BQ49" i="3"/>
  <c r="AI50" i="3"/>
  <c r="BW50" i="3"/>
  <c r="AJ60" i="3"/>
  <c r="O62" i="3"/>
  <c r="BO62" i="3"/>
  <c r="CB65" i="3"/>
  <c r="BP65" i="3"/>
  <c r="BD65" i="3"/>
  <c r="AR65" i="3"/>
  <c r="AF65" i="3"/>
  <c r="T65" i="3"/>
  <c r="H65" i="3"/>
  <c r="BX65" i="3"/>
  <c r="BK65" i="3"/>
  <c r="AX65" i="3"/>
  <c r="AK65" i="3"/>
  <c r="X65" i="3"/>
  <c r="K65" i="3"/>
  <c r="BU65" i="3"/>
  <c r="BG65" i="3"/>
  <c r="AS65" i="3"/>
  <c r="AD65" i="3"/>
  <c r="P65" i="3"/>
  <c r="BT65" i="3"/>
  <c r="BF65" i="3"/>
  <c r="AQ65" i="3"/>
  <c r="AC65" i="3"/>
  <c r="O65" i="3"/>
  <c r="BR65" i="3"/>
  <c r="BA65" i="3"/>
  <c r="AJ65" i="3"/>
  <c r="S65" i="3"/>
  <c r="BQ65" i="3"/>
  <c r="AZ65" i="3"/>
  <c r="AI65" i="3"/>
  <c r="R65" i="3"/>
  <c r="BO65" i="3"/>
  <c r="AY65" i="3"/>
  <c r="AH65" i="3"/>
  <c r="Q65" i="3"/>
  <c r="CE65" i="3"/>
  <c r="BN65" i="3"/>
  <c r="AW65" i="3"/>
  <c r="AG65" i="3"/>
  <c r="N65" i="3"/>
  <c r="BM65" i="3"/>
  <c r="AO65" i="3"/>
  <c r="M65" i="3"/>
  <c r="BL65" i="3"/>
  <c r="AN65" i="3"/>
  <c r="L65" i="3"/>
  <c r="BJ65" i="3"/>
  <c r="AM65" i="3"/>
  <c r="J65" i="3"/>
  <c r="BI65" i="3"/>
  <c r="AA65" i="3"/>
  <c r="CD65" i="3"/>
  <c r="BB65" i="3"/>
  <c r="V65" i="3"/>
  <c r="BH65" i="3"/>
  <c r="Z65" i="3"/>
  <c r="BE65" i="3"/>
  <c r="Y65" i="3"/>
  <c r="BC65" i="3"/>
  <c r="W65" i="3"/>
  <c r="BV65" i="3"/>
  <c r="CA25" i="3"/>
  <c r="AG25" i="3"/>
  <c r="BT70" i="3"/>
  <c r="CE70" i="3"/>
  <c r="BS70" i="3"/>
  <c r="BG70" i="3"/>
  <c r="AU70" i="3"/>
  <c r="AI70" i="3"/>
  <c r="W70" i="3"/>
  <c r="K70" i="3"/>
  <c r="BV70" i="3"/>
  <c r="BH70" i="3"/>
  <c r="AT70" i="3"/>
  <c r="AG70" i="3"/>
  <c r="T70" i="3"/>
  <c r="G70" i="3"/>
  <c r="BU70" i="3"/>
  <c r="BF70" i="3"/>
  <c r="AS70" i="3"/>
  <c r="AF70" i="3"/>
  <c r="S70" i="3"/>
  <c r="CB70" i="3"/>
  <c r="BL70" i="3"/>
  <c r="AW70" i="3"/>
  <c r="AE70" i="3"/>
  <c r="P70" i="3"/>
  <c r="CC70" i="3"/>
  <c r="BK70" i="3"/>
  <c r="AR70" i="3"/>
  <c r="AB70" i="3"/>
  <c r="L70" i="3"/>
  <c r="CA70" i="3"/>
  <c r="BJ70" i="3"/>
  <c r="AQ70" i="3"/>
  <c r="AA70" i="3"/>
  <c r="J70" i="3"/>
  <c r="BW70" i="3"/>
  <c r="BA70" i="3"/>
  <c r="AH70" i="3"/>
  <c r="M70" i="3"/>
  <c r="BR70" i="3"/>
  <c r="AZ70" i="3"/>
  <c r="AD70" i="3"/>
  <c r="I70" i="3"/>
  <c r="BQ70" i="3"/>
  <c r="AY70" i="3"/>
  <c r="AC70" i="3"/>
  <c r="H70" i="3"/>
  <c r="BP70" i="3"/>
  <c r="AX70" i="3"/>
  <c r="Z70" i="3"/>
  <c r="F70" i="3"/>
  <c r="BI70" i="3"/>
  <c r="AJ70" i="3"/>
  <c r="BE70" i="3"/>
  <c r="Y70" i="3"/>
  <c r="BD70" i="3"/>
  <c r="X70" i="3"/>
  <c r="BN70" i="3"/>
  <c r="U70" i="3"/>
  <c r="AV70" i="3"/>
  <c r="N70" i="3"/>
  <c r="BM70" i="3"/>
  <c r="R70" i="3"/>
  <c r="BC70" i="3"/>
  <c r="Q70" i="3"/>
  <c r="BB70" i="3"/>
  <c r="O70" i="3"/>
  <c r="BZ70" i="3"/>
  <c r="K17" i="3"/>
  <c r="BZ31" i="3"/>
  <c r="BN31" i="3"/>
  <c r="BB31" i="3"/>
  <c r="AP31" i="3"/>
  <c r="AD31" i="3"/>
  <c r="R31" i="3"/>
  <c r="BU31" i="3"/>
  <c r="BH31" i="3"/>
  <c r="AU31" i="3"/>
  <c r="AH31" i="3"/>
  <c r="U31" i="3"/>
  <c r="H31" i="3"/>
  <c r="CC31" i="3"/>
  <c r="BO31" i="3"/>
  <c r="AZ31" i="3"/>
  <c r="AL31" i="3"/>
  <c r="X31" i="3"/>
  <c r="J31" i="3"/>
  <c r="CB31" i="3"/>
  <c r="BM31" i="3"/>
  <c r="AY31" i="3"/>
  <c r="AK31" i="3"/>
  <c r="W31" i="3"/>
  <c r="I31" i="3"/>
  <c r="BX31" i="3"/>
  <c r="BJ31" i="3"/>
  <c r="AV31" i="3"/>
  <c r="AG31" i="3"/>
  <c r="S31" i="3"/>
  <c r="CA31" i="3"/>
  <c r="BL31" i="3"/>
  <c r="AX31" i="3"/>
  <c r="AJ31" i="3"/>
  <c r="V31" i="3"/>
  <c r="G31" i="3"/>
  <c r="BY31" i="3"/>
  <c r="BK31" i="3"/>
  <c r="AW31" i="3"/>
  <c r="AI31" i="3"/>
  <c r="T31" i="3"/>
  <c r="F31" i="3"/>
  <c r="AC31" i="3"/>
  <c r="BD31" i="3"/>
  <c r="CD31" i="3"/>
  <c r="Q45" i="3"/>
  <c r="AR45" i="3"/>
  <c r="BZ45" i="3"/>
  <c r="AT49" i="3"/>
  <c r="F50" i="3"/>
  <c r="AY50" i="3"/>
  <c r="CB50" i="3"/>
  <c r="CD70" i="3"/>
  <c r="BZ16" i="3"/>
  <c r="BN16" i="3"/>
  <c r="BB16" i="3"/>
  <c r="AP16" i="3"/>
  <c r="AD16" i="3"/>
  <c r="R16" i="3"/>
  <c r="BX16" i="3"/>
  <c r="BK16" i="3"/>
  <c r="AX16" i="3"/>
  <c r="AK16" i="3"/>
  <c r="X16" i="3"/>
  <c r="K16" i="3"/>
  <c r="BT16" i="3"/>
  <c r="BG16" i="3"/>
  <c r="AT16" i="3"/>
  <c r="G16" i="3"/>
  <c r="BW16" i="3"/>
  <c r="BJ16" i="3"/>
  <c r="AW16" i="3"/>
  <c r="AJ16" i="3"/>
  <c r="W16" i="3"/>
  <c r="J16" i="3"/>
  <c r="BV16" i="3"/>
  <c r="BI16" i="3"/>
  <c r="AV16" i="3"/>
  <c r="AI16" i="3"/>
  <c r="V16" i="3"/>
  <c r="I16" i="3"/>
  <c r="H16" i="3"/>
  <c r="AG16" i="3"/>
  <c r="BU16" i="3"/>
  <c r="BH16" i="3"/>
  <c r="AU16" i="3"/>
  <c r="AH16" i="3"/>
  <c r="U16" i="3"/>
  <c r="AH20" i="3"/>
  <c r="CA23" i="3"/>
  <c r="CE31" i="3"/>
  <c r="I20" i="3"/>
  <c r="BA45" i="3"/>
  <c r="CB45" i="3"/>
  <c r="AY49" i="3"/>
  <c r="J50" i="3"/>
  <c r="BB50" i="3"/>
  <c r="I60" i="3"/>
  <c r="J5" i="3"/>
  <c r="Z5" i="3"/>
  <c r="AT5" i="3"/>
  <c r="BJ5" i="3"/>
  <c r="CD5" i="3"/>
  <c r="X9" i="3"/>
  <c r="BK9" i="3"/>
  <c r="F16" i="3"/>
  <c r="N17" i="3"/>
  <c r="AK20" i="3"/>
  <c r="AK80" i="3" s="1"/>
  <c r="CE20" i="3"/>
  <c r="I23" i="3"/>
  <c r="BI23" i="3"/>
  <c r="BM25" i="3"/>
  <c r="CB26" i="3"/>
  <c r="M31" i="3"/>
  <c r="BG31" i="3"/>
  <c r="CC45" i="3"/>
  <c r="BC50" i="3"/>
  <c r="BV33" i="3"/>
  <c r="BJ33" i="3"/>
  <c r="AX33" i="3"/>
  <c r="AL33" i="3"/>
  <c r="Z33" i="3"/>
  <c r="N33" i="3"/>
  <c r="BT33" i="3"/>
  <c r="BH33" i="3"/>
  <c r="AV33" i="3"/>
  <c r="AJ33" i="3"/>
  <c r="X33" i="3"/>
  <c r="L33" i="3"/>
  <c r="CB33" i="3"/>
  <c r="BN33" i="3"/>
  <c r="AZ33" i="3"/>
  <c r="AK33" i="3"/>
  <c r="V33" i="3"/>
  <c r="H33" i="3"/>
  <c r="BU33" i="3"/>
  <c r="BE33" i="3"/>
  <c r="AP33" i="3"/>
  <c r="AA33" i="3"/>
  <c r="J33" i="3"/>
  <c r="BS33" i="3"/>
  <c r="BD33" i="3"/>
  <c r="AO33" i="3"/>
  <c r="Y33" i="3"/>
  <c r="I33" i="3"/>
  <c r="CE33" i="3"/>
  <c r="BP33" i="3"/>
  <c r="BA33" i="3"/>
  <c r="AI33" i="3"/>
  <c r="T33" i="3"/>
  <c r="F33" i="3"/>
  <c r="BR33" i="3"/>
  <c r="BC33" i="3"/>
  <c r="AN33" i="3"/>
  <c r="W33" i="3"/>
  <c r="G33" i="3"/>
  <c r="BQ33" i="3"/>
  <c r="BB33" i="3"/>
  <c r="AM33" i="3"/>
  <c r="U33" i="3"/>
  <c r="BP44" i="3"/>
  <c r="BD50" i="3"/>
  <c r="AV5" i="3"/>
  <c r="AV80" i="3" s="1"/>
  <c r="BK23" i="3"/>
  <c r="G1" i="3"/>
  <c r="W1" i="3"/>
  <c r="AQ1" i="3"/>
  <c r="BG1" i="3"/>
  <c r="CA1" i="3"/>
  <c r="BZ12" i="3"/>
  <c r="BN12" i="3"/>
  <c r="BB12" i="3"/>
  <c r="AP12" i="3"/>
  <c r="AD12" i="3"/>
  <c r="R12" i="3"/>
  <c r="BV12" i="3"/>
  <c r="BI12" i="3"/>
  <c r="AV12" i="3"/>
  <c r="AI12" i="3"/>
  <c r="V12" i="3"/>
  <c r="I12" i="3"/>
  <c r="BU12" i="3"/>
  <c r="BH12" i="3"/>
  <c r="AU12" i="3"/>
  <c r="AH12" i="3"/>
  <c r="U12" i="3"/>
  <c r="H12" i="3"/>
  <c r="BT12" i="3"/>
  <c r="BG12" i="3"/>
  <c r="AT12" i="3"/>
  <c r="AG12" i="3"/>
  <c r="T12" i="3"/>
  <c r="G12" i="3"/>
  <c r="BS12" i="3"/>
  <c r="F12" i="3"/>
  <c r="BF12" i="3"/>
  <c r="AS12" i="3"/>
  <c r="AF12" i="3"/>
  <c r="S12" i="3"/>
  <c r="Y12" i="3"/>
  <c r="AQ12" i="3"/>
  <c r="BL12" i="3"/>
  <c r="CD12" i="3"/>
  <c r="Y17" i="3"/>
  <c r="H1" i="3"/>
  <c r="AB1" i="3"/>
  <c r="AR1" i="3"/>
  <c r="BL1" i="3"/>
  <c r="CB1" i="3"/>
  <c r="G2" i="3"/>
  <c r="AA2" i="3"/>
  <c r="AQ2" i="3"/>
  <c r="BK2" i="3"/>
  <c r="CA2" i="3"/>
  <c r="P5" i="3"/>
  <c r="AJ5" i="3"/>
  <c r="AZ5" i="3"/>
  <c r="BT5" i="3"/>
  <c r="M9" i="3"/>
  <c r="AI9" i="3"/>
  <c r="AZ9" i="3"/>
  <c r="BV9" i="3"/>
  <c r="BV80" i="3" s="1"/>
  <c r="G11" i="3"/>
  <c r="AC11" i="3"/>
  <c r="AT11" i="3"/>
  <c r="BP11" i="3"/>
  <c r="Z12" i="3"/>
  <c r="AR12" i="3"/>
  <c r="BM12" i="3"/>
  <c r="CE12" i="3"/>
  <c r="G14" i="3"/>
  <c r="Y14" i="3"/>
  <c r="AW14" i="3"/>
  <c r="BU14" i="3"/>
  <c r="H15" i="3"/>
  <c r="AF15" i="3"/>
  <c r="BD15" i="3"/>
  <c r="CB15" i="3"/>
  <c r="Q16" i="3"/>
  <c r="AN16" i="3"/>
  <c r="BL16" i="3"/>
  <c r="CE16" i="3"/>
  <c r="Z17" i="3"/>
  <c r="AX17" i="3"/>
  <c r="BP17" i="3"/>
  <c r="J19" i="3"/>
  <c r="AH19" i="3"/>
  <c r="BG19" i="3"/>
  <c r="X20" i="3"/>
  <c r="AX20" i="3"/>
  <c r="BX20" i="3"/>
  <c r="N21" i="3"/>
  <c r="AN21" i="3"/>
  <c r="BN21" i="3"/>
  <c r="V23" i="3"/>
  <c r="AV23" i="3"/>
  <c r="BQ23" i="3"/>
  <c r="L24" i="3"/>
  <c r="AL24" i="3"/>
  <c r="BG24" i="3"/>
  <c r="F25" i="3"/>
  <c r="AE25" i="3"/>
  <c r="BE25" i="3"/>
  <c r="BZ25" i="3"/>
  <c r="T26" i="3"/>
  <c r="AT26" i="3"/>
  <c r="BO26" i="3"/>
  <c r="H30" i="3"/>
  <c r="AH30" i="3"/>
  <c r="BC30" i="3"/>
  <c r="CC30" i="3"/>
  <c r="Z31" i="3"/>
  <c r="AT31" i="3"/>
  <c r="BT31" i="3"/>
  <c r="P33" i="3"/>
  <c r="AR33" i="3"/>
  <c r="BO33" i="3"/>
  <c r="M41" i="3"/>
  <c r="AM41" i="3"/>
  <c r="BQ41" i="3"/>
  <c r="S42" i="3"/>
  <c r="AR42" i="3"/>
  <c r="BV42" i="3"/>
  <c r="S44" i="3"/>
  <c r="AV44" i="3"/>
  <c r="AK45" i="3"/>
  <c r="BW45" i="3"/>
  <c r="O48" i="3"/>
  <c r="AO48" i="3"/>
  <c r="AN49" i="3"/>
  <c r="BR49" i="3"/>
  <c r="AJ50" i="3"/>
  <c r="BY50" i="3"/>
  <c r="AN60" i="3"/>
  <c r="P62" i="3"/>
  <c r="BZ62" i="3"/>
  <c r="G65" i="3"/>
  <c r="BW65" i="3"/>
  <c r="BX70" i="3"/>
  <c r="CC77" i="3"/>
  <c r="BQ77" i="3"/>
  <c r="BE77" i="3"/>
  <c r="AS77" i="3"/>
  <c r="AG77" i="3"/>
  <c r="U77" i="3"/>
  <c r="I77" i="3"/>
  <c r="CB77" i="3"/>
  <c r="BP77" i="3"/>
  <c r="BD77" i="3"/>
  <c r="AR77" i="3"/>
  <c r="AF77" i="3"/>
  <c r="T77" i="3"/>
  <c r="H77" i="3"/>
  <c r="CA77" i="3"/>
  <c r="BM77" i="3"/>
  <c r="AY77" i="3"/>
  <c r="AK77" i="3"/>
  <c r="W77" i="3"/>
  <c r="G77" i="3"/>
  <c r="BZ77" i="3"/>
  <c r="BL77" i="3"/>
  <c r="AX77" i="3"/>
  <c r="AJ77" i="3"/>
  <c r="V77" i="3"/>
  <c r="BU77" i="3"/>
  <c r="BG77" i="3"/>
  <c r="AQ77" i="3"/>
  <c r="AC77" i="3"/>
  <c r="O77" i="3"/>
  <c r="BN77" i="3"/>
  <c r="AU77" i="3"/>
  <c r="AA77" i="3"/>
  <c r="J77" i="3"/>
  <c r="CD77" i="3"/>
  <c r="BH77" i="3"/>
  <c r="AM77" i="3"/>
  <c r="Q77" i="3"/>
  <c r="BY77" i="3"/>
  <c r="BF77" i="3"/>
  <c r="AL77" i="3"/>
  <c r="P77" i="3"/>
  <c r="BK77" i="3"/>
  <c r="AN77" i="3"/>
  <c r="M77" i="3"/>
  <c r="BJ77" i="3"/>
  <c r="AI77" i="3"/>
  <c r="L77" i="3"/>
  <c r="BI77" i="3"/>
  <c r="AH77" i="3"/>
  <c r="K77" i="3"/>
  <c r="BC77" i="3"/>
  <c r="AE77" i="3"/>
  <c r="F77" i="3"/>
  <c r="BV77" i="3"/>
  <c r="AO77" i="3"/>
  <c r="BT77" i="3"/>
  <c r="AD77" i="3"/>
  <c r="BS77" i="3"/>
  <c r="AB77" i="3"/>
  <c r="AV77" i="3"/>
  <c r="BX77" i="3"/>
  <c r="Y77" i="3"/>
  <c r="AT77" i="3"/>
  <c r="AP77" i="3"/>
  <c r="CE77" i="3"/>
  <c r="Z77" i="3"/>
  <c r="BW77" i="3"/>
  <c r="BY38" i="3"/>
  <c r="BM38" i="3"/>
  <c r="BA38" i="3"/>
  <c r="AO38" i="3"/>
  <c r="AC38" i="3"/>
  <c r="Q38" i="3"/>
  <c r="F38" i="3"/>
  <c r="BW38" i="3"/>
  <c r="BK38" i="3"/>
  <c r="AY38" i="3"/>
  <c r="AM38" i="3"/>
  <c r="AA38" i="3"/>
  <c r="O38" i="3"/>
  <c r="BX38" i="3"/>
  <c r="BI38" i="3"/>
  <c r="AU38" i="3"/>
  <c r="AG38" i="3"/>
  <c r="S38" i="3"/>
  <c r="U38" i="3"/>
  <c r="AJ38" i="3"/>
  <c r="AZ38" i="3"/>
  <c r="CE38" i="3"/>
  <c r="BW79" i="3"/>
  <c r="BK79" i="3"/>
  <c r="AY79" i="3"/>
  <c r="AM79" i="3"/>
  <c r="AA79" i="3"/>
  <c r="O79" i="3"/>
  <c r="BV79" i="3"/>
  <c r="BJ79" i="3"/>
  <c r="AX79" i="3"/>
  <c r="AL79" i="3"/>
  <c r="Z79" i="3"/>
  <c r="N79" i="3"/>
  <c r="BX79" i="3"/>
  <c r="BH79" i="3"/>
  <c r="AT79" i="3"/>
  <c r="AF79" i="3"/>
  <c r="R79" i="3"/>
  <c r="BU79" i="3"/>
  <c r="BG79" i="3"/>
  <c r="AS79" i="3"/>
  <c r="AE79" i="3"/>
  <c r="Q79" i="3"/>
  <c r="CD79" i="3"/>
  <c r="BP79" i="3"/>
  <c r="BB79" i="3"/>
  <c r="AN79" i="3"/>
  <c r="X79" i="3"/>
  <c r="J79" i="3"/>
  <c r="BT79" i="3"/>
  <c r="BC79" i="3"/>
  <c r="AI79" i="3"/>
  <c r="P79" i="3"/>
  <c r="CE79" i="3"/>
  <c r="BL79" i="3"/>
  <c r="AP79" i="3"/>
  <c r="U79" i="3"/>
  <c r="CC79" i="3"/>
  <c r="BI79" i="3"/>
  <c r="AO79" i="3"/>
  <c r="T79" i="3"/>
  <c r="BY79" i="3"/>
  <c r="AW79" i="3"/>
  <c r="Y79" i="3"/>
  <c r="BS79" i="3"/>
  <c r="AV79" i="3"/>
  <c r="W79" i="3"/>
  <c r="BR79" i="3"/>
  <c r="AU79" i="3"/>
  <c r="V79" i="3"/>
  <c r="BQ79" i="3"/>
  <c r="AR79" i="3"/>
  <c r="S79" i="3"/>
  <c r="BO79" i="3"/>
  <c r="AG79" i="3"/>
  <c r="BN79" i="3"/>
  <c r="AD79" i="3"/>
  <c r="BM79" i="3"/>
  <c r="AC79" i="3"/>
  <c r="O4" i="3"/>
  <c r="AA4" i="3"/>
  <c r="AM4" i="3"/>
  <c r="AM80" i="3" s="1"/>
  <c r="AY4" i="3"/>
  <c r="BK4" i="3"/>
  <c r="BW4" i="3"/>
  <c r="BW80" i="3" s="1"/>
  <c r="BW7" i="3"/>
  <c r="BK7" i="3"/>
  <c r="AY7" i="3"/>
  <c r="AM7" i="3"/>
  <c r="AA7" i="3"/>
  <c r="O7" i="3"/>
  <c r="S7" i="3"/>
  <c r="AF7" i="3"/>
  <c r="AS7" i="3"/>
  <c r="BF7" i="3"/>
  <c r="BS7" i="3"/>
  <c r="P13" i="3"/>
  <c r="AC13" i="3"/>
  <c r="AP13" i="3"/>
  <c r="BC13" i="3"/>
  <c r="BP13" i="3"/>
  <c r="CD13" i="3"/>
  <c r="P18" i="3"/>
  <c r="AC18" i="3"/>
  <c r="AP18" i="3"/>
  <c r="BC18" i="3"/>
  <c r="BP18" i="3"/>
  <c r="CC18" i="3"/>
  <c r="BZ27" i="3"/>
  <c r="BN27" i="3"/>
  <c r="BB27" i="3"/>
  <c r="AP27" i="3"/>
  <c r="AD27" i="3"/>
  <c r="R27" i="3"/>
  <c r="BS27" i="3"/>
  <c r="BF27" i="3"/>
  <c r="AS27" i="3"/>
  <c r="AF27" i="3"/>
  <c r="S27" i="3"/>
  <c r="F27" i="3"/>
  <c r="Q27" i="3"/>
  <c r="AG27" i="3"/>
  <c r="AU27" i="3"/>
  <c r="BI27" i="3"/>
  <c r="BW27" i="3"/>
  <c r="G28" i="3"/>
  <c r="V28" i="3"/>
  <c r="AJ28" i="3"/>
  <c r="AX28" i="3"/>
  <c r="BL28" i="3"/>
  <c r="BZ28" i="3"/>
  <c r="S34" i="3"/>
  <c r="AH34" i="3"/>
  <c r="AW34" i="3"/>
  <c r="BN34" i="3"/>
  <c r="CC34" i="3"/>
  <c r="G38" i="3"/>
  <c r="V38" i="3"/>
  <c r="AK38" i="3"/>
  <c r="BB38" i="3"/>
  <c r="BQ38" i="3"/>
  <c r="CB39" i="3"/>
  <c r="BP39" i="3"/>
  <c r="BD39" i="3"/>
  <c r="AR39" i="3"/>
  <c r="AF39" i="3"/>
  <c r="T39" i="3"/>
  <c r="H39" i="3"/>
  <c r="BZ39" i="3"/>
  <c r="BN39" i="3"/>
  <c r="BB39" i="3"/>
  <c r="AP39" i="3"/>
  <c r="AD39" i="3"/>
  <c r="R39" i="3"/>
  <c r="CE39" i="3"/>
  <c r="CD39" i="3"/>
  <c r="BO39" i="3"/>
  <c r="AZ39" i="3"/>
  <c r="AL39" i="3"/>
  <c r="X39" i="3"/>
  <c r="J39" i="3"/>
  <c r="S39" i="3"/>
  <c r="AI39" i="3"/>
  <c r="AX39" i="3"/>
  <c r="BM39" i="3"/>
  <c r="S40" i="3"/>
  <c r="AK40" i="3"/>
  <c r="BA40" i="3"/>
  <c r="BR40" i="3"/>
  <c r="V46" i="3"/>
  <c r="AN46" i="3"/>
  <c r="BG46" i="3"/>
  <c r="W47" i="3"/>
  <c r="AO47" i="3"/>
  <c r="Y52" i="3"/>
  <c r="AX52" i="3"/>
  <c r="BZ52" i="3"/>
  <c r="Z54" i="3"/>
  <c r="BB54" i="3"/>
  <c r="CB55" i="3"/>
  <c r="BP55" i="3"/>
  <c r="BD55" i="3"/>
  <c r="AR55" i="3"/>
  <c r="AF55" i="3"/>
  <c r="T55" i="3"/>
  <c r="H55" i="3"/>
  <c r="BU55" i="3"/>
  <c r="BH55" i="3"/>
  <c r="AU55" i="3"/>
  <c r="AH55" i="3"/>
  <c r="U55" i="3"/>
  <c r="G55" i="3"/>
  <c r="CC55" i="3"/>
  <c r="BN55" i="3"/>
  <c r="AZ55" i="3"/>
  <c r="AL55" i="3"/>
  <c r="X55" i="3"/>
  <c r="J55" i="3"/>
  <c r="CA55" i="3"/>
  <c r="BM55" i="3"/>
  <c r="AY55" i="3"/>
  <c r="AK55" i="3"/>
  <c r="W55" i="3"/>
  <c r="I55" i="3"/>
  <c r="BZ55" i="3"/>
  <c r="BL55" i="3"/>
  <c r="AX55" i="3"/>
  <c r="AJ55" i="3"/>
  <c r="V55" i="3"/>
  <c r="BY55" i="3"/>
  <c r="BK55" i="3"/>
  <c r="AW55" i="3"/>
  <c r="AI55" i="3"/>
  <c r="S55" i="3"/>
  <c r="F55" i="3"/>
  <c r="BJ55" i="3"/>
  <c r="AP55" i="3"/>
  <c r="R55" i="3"/>
  <c r="BI55" i="3"/>
  <c r="AO55" i="3"/>
  <c r="Q55" i="3"/>
  <c r="CE55" i="3"/>
  <c r="BG55" i="3"/>
  <c r="AN55" i="3"/>
  <c r="P55" i="3"/>
  <c r="AD55" i="3"/>
  <c r="BF55" i="3"/>
  <c r="G56" i="3"/>
  <c r="AH56" i="3"/>
  <c r="L58" i="3"/>
  <c r="AN58" i="3"/>
  <c r="BP58" i="3"/>
  <c r="G79" i="3"/>
  <c r="BA79" i="3"/>
  <c r="CE56" i="3"/>
  <c r="BS56" i="3"/>
  <c r="BG56" i="3"/>
  <c r="AU56" i="3"/>
  <c r="AI56" i="3"/>
  <c r="W56" i="3"/>
  <c r="K56" i="3"/>
  <c r="BR56" i="3"/>
  <c r="BE56" i="3"/>
  <c r="AR56" i="3"/>
  <c r="AE56" i="3"/>
  <c r="R56" i="3"/>
  <c r="F56" i="3"/>
  <c r="BT56" i="3"/>
  <c r="BD56" i="3"/>
  <c r="AP56" i="3"/>
  <c r="AB56" i="3"/>
  <c r="N56" i="3"/>
  <c r="BQ56" i="3"/>
  <c r="BC56" i="3"/>
  <c r="AO56" i="3"/>
  <c r="AA56" i="3"/>
  <c r="M56" i="3"/>
  <c r="CD56" i="3"/>
  <c r="BP56" i="3"/>
  <c r="BB56" i="3"/>
  <c r="AN56" i="3"/>
  <c r="Z56" i="3"/>
  <c r="L56" i="3"/>
  <c r="CC56" i="3"/>
  <c r="BO56" i="3"/>
  <c r="BA56" i="3"/>
  <c r="AM56" i="3"/>
  <c r="Y56" i="3"/>
  <c r="J56" i="3"/>
  <c r="BN56" i="3"/>
  <c r="AV56" i="3"/>
  <c r="X56" i="3"/>
  <c r="BM56" i="3"/>
  <c r="AT56" i="3"/>
  <c r="V56" i="3"/>
  <c r="BL56" i="3"/>
  <c r="AS56" i="3"/>
  <c r="U56" i="3"/>
  <c r="AG56" i="3"/>
  <c r="BI56" i="3"/>
  <c r="BZ8" i="3"/>
  <c r="BN8" i="3"/>
  <c r="BB8" i="3"/>
  <c r="AP8" i="3"/>
  <c r="AD8" i="3"/>
  <c r="R8" i="3"/>
  <c r="P8" i="3"/>
  <c r="AC8" i="3"/>
  <c r="AQ8" i="3"/>
  <c r="BD8" i="3"/>
  <c r="CD8" i="3"/>
  <c r="L3" i="1"/>
  <c r="P4" i="3"/>
  <c r="AB4" i="3"/>
  <c r="AN4" i="3"/>
  <c r="AZ4" i="3"/>
  <c r="AZ80" i="3" s="1"/>
  <c r="BL4" i="3"/>
  <c r="BX4" i="3"/>
  <c r="G7" i="3"/>
  <c r="T7" i="3"/>
  <c r="AG7" i="3"/>
  <c r="AT7" i="3"/>
  <c r="BG7" i="3"/>
  <c r="BT7" i="3"/>
  <c r="Q8" i="3"/>
  <c r="AE8" i="3"/>
  <c r="AR8" i="3"/>
  <c r="BE8" i="3"/>
  <c r="BR8" i="3"/>
  <c r="CE8" i="3"/>
  <c r="Q13" i="3"/>
  <c r="AD13" i="3"/>
  <c r="AQ13" i="3"/>
  <c r="BD13" i="3"/>
  <c r="BR13" i="3"/>
  <c r="Q18" i="3"/>
  <c r="AD18" i="3"/>
  <c r="AQ18" i="3"/>
  <c r="BD18" i="3"/>
  <c r="BQ18" i="3"/>
  <c r="T27" i="3"/>
  <c r="AH27" i="3"/>
  <c r="AV27" i="3"/>
  <c r="BJ27" i="3"/>
  <c r="BX27" i="3"/>
  <c r="H28" i="3"/>
  <c r="W28" i="3"/>
  <c r="AK28" i="3"/>
  <c r="AY28" i="3"/>
  <c r="BM28" i="3"/>
  <c r="T34" i="3"/>
  <c r="AI34" i="3"/>
  <c r="AX34" i="3"/>
  <c r="BO34" i="3"/>
  <c r="H38" i="3"/>
  <c r="W38" i="3"/>
  <c r="AL38" i="3"/>
  <c r="BC38" i="3"/>
  <c r="BR38" i="3"/>
  <c r="BQ39" i="3"/>
  <c r="T40" i="3"/>
  <c r="AL40" i="3"/>
  <c r="BB40" i="3"/>
  <c r="BY46" i="3"/>
  <c r="BM46" i="3"/>
  <c r="BA46" i="3"/>
  <c r="AO46" i="3"/>
  <c r="AC46" i="3"/>
  <c r="Q46" i="3"/>
  <c r="F46" i="3"/>
  <c r="BX46" i="3"/>
  <c r="BL46" i="3"/>
  <c r="AZ46" i="3"/>
  <c r="BW46" i="3"/>
  <c r="BK46" i="3"/>
  <c r="AY46" i="3"/>
  <c r="AM46" i="3"/>
  <c r="AA46" i="3"/>
  <c r="O46" i="3"/>
  <c r="CB46" i="3"/>
  <c r="BJ46" i="3"/>
  <c r="AU46" i="3"/>
  <c r="AG46" i="3"/>
  <c r="S46" i="3"/>
  <c r="CA46" i="3"/>
  <c r="BI46" i="3"/>
  <c r="AT46" i="3"/>
  <c r="AF46" i="3"/>
  <c r="R46" i="3"/>
  <c r="BZ46" i="3"/>
  <c r="BH46" i="3"/>
  <c r="AS46" i="3"/>
  <c r="AE46" i="3"/>
  <c r="P46" i="3"/>
  <c r="W46" i="3"/>
  <c r="AP46" i="3"/>
  <c r="BN46" i="3"/>
  <c r="CB47" i="3"/>
  <c r="BP47" i="3"/>
  <c r="BD47" i="3"/>
  <c r="AR47" i="3"/>
  <c r="AF47" i="3"/>
  <c r="T47" i="3"/>
  <c r="H47" i="3"/>
  <c r="CA47" i="3"/>
  <c r="BO47" i="3"/>
  <c r="BC47" i="3"/>
  <c r="AQ47" i="3"/>
  <c r="AE47" i="3"/>
  <c r="S47" i="3"/>
  <c r="G47" i="3"/>
  <c r="BZ47" i="3"/>
  <c r="BN47" i="3"/>
  <c r="BB47" i="3"/>
  <c r="AP47" i="3"/>
  <c r="AD47" i="3"/>
  <c r="R47" i="3"/>
  <c r="BY47" i="3"/>
  <c r="BJ47" i="3"/>
  <c r="AU47" i="3"/>
  <c r="AC47" i="3"/>
  <c r="N47" i="3"/>
  <c r="BX47" i="3"/>
  <c r="BI47" i="3"/>
  <c r="AT47" i="3"/>
  <c r="AB47" i="3"/>
  <c r="M47" i="3"/>
  <c r="BW47" i="3"/>
  <c r="BH47" i="3"/>
  <c r="AS47" i="3"/>
  <c r="AA47" i="3"/>
  <c r="L47" i="3"/>
  <c r="X47" i="3"/>
  <c r="AV47" i="3"/>
  <c r="BQ47" i="3"/>
  <c r="F52" i="3"/>
  <c r="Z52" i="3"/>
  <c r="AA54" i="3"/>
  <c r="AE55" i="3"/>
  <c r="BO55" i="3"/>
  <c r="H56" i="3"/>
  <c r="AJ56" i="3"/>
  <c r="BK56" i="3"/>
  <c r="N58" i="3"/>
  <c r="AP58" i="3"/>
  <c r="BQ58" i="3"/>
  <c r="H79" i="3"/>
  <c r="BD79" i="3"/>
  <c r="CC28" i="3"/>
  <c r="BQ28" i="3"/>
  <c r="BE28" i="3"/>
  <c r="AS28" i="3"/>
  <c r="AG28" i="3"/>
  <c r="U28" i="3"/>
  <c r="I28" i="3"/>
  <c r="CD28" i="3"/>
  <c r="BP28" i="3"/>
  <c r="BC28" i="3"/>
  <c r="AP28" i="3"/>
  <c r="AC28" i="3"/>
  <c r="P28" i="3"/>
  <c r="T28" i="3"/>
  <c r="AI28" i="3"/>
  <c r="AW28" i="3"/>
  <c r="BK28" i="3"/>
  <c r="BY28" i="3"/>
  <c r="BP38" i="3"/>
  <c r="F4" i="3"/>
  <c r="Q4" i="3"/>
  <c r="AC4" i="3"/>
  <c r="AO4" i="3"/>
  <c r="BA4" i="3"/>
  <c r="BM4" i="3"/>
  <c r="BY4" i="3"/>
  <c r="J28" i="3"/>
  <c r="X28" i="3"/>
  <c r="AL28" i="3"/>
  <c r="AZ28" i="3"/>
  <c r="BN28" i="3"/>
  <c r="CB28" i="3"/>
  <c r="BY34" i="3"/>
  <c r="BM34" i="3"/>
  <c r="BA34" i="3"/>
  <c r="AO34" i="3"/>
  <c r="AC34" i="3"/>
  <c r="Q34" i="3"/>
  <c r="F34" i="3"/>
  <c r="BW34" i="3"/>
  <c r="BK34" i="3"/>
  <c r="AY34" i="3"/>
  <c r="AM34" i="3"/>
  <c r="AA34" i="3"/>
  <c r="O34" i="3"/>
  <c r="BR34" i="3"/>
  <c r="BD34" i="3"/>
  <c r="AP34" i="3"/>
  <c r="Z34" i="3"/>
  <c r="L34" i="3"/>
  <c r="U34" i="3"/>
  <c r="AJ34" i="3"/>
  <c r="AZ34" i="3"/>
  <c r="BP34" i="3"/>
  <c r="CE34" i="3"/>
  <c r="I38" i="3"/>
  <c r="X38" i="3"/>
  <c r="AN38" i="3"/>
  <c r="BD38" i="3"/>
  <c r="BS38" i="3"/>
  <c r="CD52" i="3"/>
  <c r="BR52" i="3"/>
  <c r="BF52" i="3"/>
  <c r="AT52" i="3"/>
  <c r="AH52" i="3"/>
  <c r="V52" i="3"/>
  <c r="J52" i="3"/>
  <c r="CE52" i="3"/>
  <c r="BQ52" i="3"/>
  <c r="BD52" i="3"/>
  <c r="AQ52" i="3"/>
  <c r="AD52" i="3"/>
  <c r="Q52" i="3"/>
  <c r="CC52" i="3"/>
  <c r="BP52" i="3"/>
  <c r="BC52" i="3"/>
  <c r="AP52" i="3"/>
  <c r="AC52" i="3"/>
  <c r="P52" i="3"/>
  <c r="CB52" i="3"/>
  <c r="BO52" i="3"/>
  <c r="BB52" i="3"/>
  <c r="AO52" i="3"/>
  <c r="AB52" i="3"/>
  <c r="O52" i="3"/>
  <c r="CA52" i="3"/>
  <c r="BN52" i="3"/>
  <c r="BA52" i="3"/>
  <c r="AN52" i="3"/>
  <c r="AA52" i="3"/>
  <c r="N52" i="3"/>
  <c r="BW52" i="3"/>
  <c r="BE52" i="3"/>
  <c r="AJ52" i="3"/>
  <c r="R52" i="3"/>
  <c r="BV52" i="3"/>
  <c r="AZ52" i="3"/>
  <c r="AI52" i="3"/>
  <c r="M52" i="3"/>
  <c r="BU52" i="3"/>
  <c r="AY52" i="3"/>
  <c r="AG52" i="3"/>
  <c r="L52" i="3"/>
  <c r="AE52" i="3"/>
  <c r="BH52" i="3"/>
  <c r="BY54" i="3"/>
  <c r="BM54" i="3"/>
  <c r="BA54" i="3"/>
  <c r="AO54" i="3"/>
  <c r="AC54" i="3"/>
  <c r="Q54" i="3"/>
  <c r="F54" i="3"/>
  <c r="BW54" i="3"/>
  <c r="BJ54" i="3"/>
  <c r="AW54" i="3"/>
  <c r="AJ54" i="3"/>
  <c r="W54" i="3"/>
  <c r="J54" i="3"/>
  <c r="BX54" i="3"/>
  <c r="BI54" i="3"/>
  <c r="AU54" i="3"/>
  <c r="AG54" i="3"/>
  <c r="S54" i="3"/>
  <c r="BV54" i="3"/>
  <c r="BH54" i="3"/>
  <c r="AT54" i="3"/>
  <c r="AF54" i="3"/>
  <c r="R54" i="3"/>
  <c r="BU54" i="3"/>
  <c r="BG54" i="3"/>
  <c r="AS54" i="3"/>
  <c r="AE54" i="3"/>
  <c r="P54" i="3"/>
  <c r="BT54" i="3"/>
  <c r="BF54" i="3"/>
  <c r="AR54" i="3"/>
  <c r="AD54" i="3"/>
  <c r="O54" i="3"/>
  <c r="CC54" i="3"/>
  <c r="BE54" i="3"/>
  <c r="AL54" i="3"/>
  <c r="N54" i="3"/>
  <c r="CB54" i="3"/>
  <c r="BD54" i="3"/>
  <c r="AK54" i="3"/>
  <c r="M54" i="3"/>
  <c r="CA54" i="3"/>
  <c r="BC54" i="3"/>
  <c r="AI54" i="3"/>
  <c r="L54" i="3"/>
  <c r="AB54" i="3"/>
  <c r="BL54" i="3"/>
  <c r="I56" i="3"/>
  <c r="AK56" i="3"/>
  <c r="BU56" i="3"/>
  <c r="O58" i="3"/>
  <c r="AQ58" i="3"/>
  <c r="I79" i="3"/>
  <c r="BE79" i="3"/>
  <c r="BY58" i="3"/>
  <c r="BM58" i="3"/>
  <c r="BA58" i="3"/>
  <c r="AO58" i="3"/>
  <c r="AC58" i="3"/>
  <c r="Q58" i="3"/>
  <c r="F58" i="3"/>
  <c r="CA58" i="3"/>
  <c r="BN58" i="3"/>
  <c r="AZ58" i="3"/>
  <c r="AM58" i="3"/>
  <c r="Z58" i="3"/>
  <c r="M58" i="3"/>
  <c r="CB58" i="3"/>
  <c r="BL58" i="3"/>
  <c r="AX58" i="3"/>
  <c r="AJ58" i="3"/>
  <c r="V58" i="3"/>
  <c r="H58" i="3"/>
  <c r="BZ58" i="3"/>
  <c r="BK58" i="3"/>
  <c r="AW58" i="3"/>
  <c r="AI58" i="3"/>
  <c r="U58" i="3"/>
  <c r="G58" i="3"/>
  <c r="BX58" i="3"/>
  <c r="BJ58" i="3"/>
  <c r="AV58" i="3"/>
  <c r="AH58" i="3"/>
  <c r="T58" i="3"/>
  <c r="BW58" i="3"/>
  <c r="BI58" i="3"/>
  <c r="AU58" i="3"/>
  <c r="AG58" i="3"/>
  <c r="S58" i="3"/>
  <c r="BU58" i="3"/>
  <c r="BC58" i="3"/>
  <c r="AE58" i="3"/>
  <c r="K58" i="3"/>
  <c r="BT58" i="3"/>
  <c r="BB58" i="3"/>
  <c r="AD58" i="3"/>
  <c r="J58" i="3"/>
  <c r="BS58" i="3"/>
  <c r="AY58" i="3"/>
  <c r="AB58" i="3"/>
  <c r="I58" i="3"/>
  <c r="AL58" i="3"/>
  <c r="BO58" i="3"/>
  <c r="AZ79" i="3"/>
  <c r="R4" i="3"/>
  <c r="R80" i="3" s="1"/>
  <c r="AD4" i="3"/>
  <c r="AD80" i="3" s="1"/>
  <c r="AP4" i="3"/>
  <c r="BB4" i="3"/>
  <c r="BN4" i="3"/>
  <c r="CC13" i="3"/>
  <c r="BQ13" i="3"/>
  <c r="BE13" i="3"/>
  <c r="AS13" i="3"/>
  <c r="AG13" i="3"/>
  <c r="U13" i="3"/>
  <c r="I13" i="3"/>
  <c r="S13" i="3"/>
  <c r="S80" i="3" s="1"/>
  <c r="AF13" i="3"/>
  <c r="AT13" i="3"/>
  <c r="BG13" i="3"/>
  <c r="BT13" i="3"/>
  <c r="BT18" i="3"/>
  <c r="BH18" i="3"/>
  <c r="AV18" i="3"/>
  <c r="AJ18" i="3"/>
  <c r="X18" i="3"/>
  <c r="L18" i="3"/>
  <c r="S18" i="3"/>
  <c r="AF18" i="3"/>
  <c r="AS18" i="3"/>
  <c r="BF18" i="3"/>
  <c r="BS18" i="3"/>
  <c r="H27" i="3"/>
  <c r="V27" i="3"/>
  <c r="AJ27" i="3"/>
  <c r="AX27" i="3"/>
  <c r="BL27" i="3"/>
  <c r="CA27" i="3"/>
  <c r="K28" i="3"/>
  <c r="Y28" i="3"/>
  <c r="AM28" i="3"/>
  <c r="BA28" i="3"/>
  <c r="BO28" i="3"/>
  <c r="CE28" i="3"/>
  <c r="G34" i="3"/>
  <c r="V34" i="3"/>
  <c r="AK34" i="3"/>
  <c r="BB34" i="3"/>
  <c r="BQ34" i="3"/>
  <c r="J38" i="3"/>
  <c r="Y38" i="3"/>
  <c r="AP38" i="3"/>
  <c r="BE38" i="3"/>
  <c r="BT38" i="3"/>
  <c r="CE40" i="3"/>
  <c r="BS40" i="3"/>
  <c r="BG40" i="3"/>
  <c r="AU40" i="3"/>
  <c r="AI40" i="3"/>
  <c r="W40" i="3"/>
  <c r="K40" i="3"/>
  <c r="CC40" i="3"/>
  <c r="BQ40" i="3"/>
  <c r="BE40" i="3"/>
  <c r="AS40" i="3"/>
  <c r="AG40" i="3"/>
  <c r="U40" i="3"/>
  <c r="I40" i="3"/>
  <c r="BV40" i="3"/>
  <c r="BH40" i="3"/>
  <c r="AR40" i="3"/>
  <c r="AD40" i="3"/>
  <c r="P40" i="3"/>
  <c r="BU40" i="3"/>
  <c r="BF40" i="3"/>
  <c r="AQ40" i="3"/>
  <c r="AC40" i="3"/>
  <c r="O40" i="3"/>
  <c r="X40" i="3"/>
  <c r="AN40" i="3"/>
  <c r="BD40" i="3"/>
  <c r="BX40" i="3"/>
  <c r="H46" i="3"/>
  <c r="Y46" i="3"/>
  <c r="AR46" i="3"/>
  <c r="BP46" i="3"/>
  <c r="G52" i="3"/>
  <c r="AF52" i="3"/>
  <c r="BI52" i="3"/>
  <c r="G54" i="3"/>
  <c r="AH54" i="3"/>
  <c r="BN54" i="3"/>
  <c r="O56" i="3"/>
  <c r="AL56" i="3"/>
  <c r="BV56" i="3"/>
  <c r="P58" i="3"/>
  <c r="AR58" i="3"/>
  <c r="BV58" i="3"/>
  <c r="K79" i="3"/>
  <c r="BF79" i="3"/>
  <c r="CB35" i="3"/>
  <c r="BP35" i="3"/>
  <c r="BD35" i="3"/>
  <c r="AR35" i="3"/>
  <c r="AF35" i="3"/>
  <c r="T35" i="3"/>
  <c r="H35" i="3"/>
  <c r="BZ35" i="3"/>
  <c r="BN35" i="3"/>
  <c r="BB35" i="3"/>
  <c r="AP35" i="3"/>
  <c r="AD35" i="3"/>
  <c r="R35" i="3"/>
  <c r="Q35" i="3"/>
  <c r="AG35" i="3"/>
  <c r="AU35" i="3"/>
  <c r="BI35" i="3"/>
  <c r="BW35" i="3"/>
  <c r="O43" i="3"/>
  <c r="AC43" i="3"/>
  <c r="AS43" i="3"/>
  <c r="BG43" i="3"/>
  <c r="BU43" i="3"/>
  <c r="F57" i="3"/>
  <c r="W57" i="3"/>
  <c r="AU57" i="3"/>
  <c r="W64" i="3"/>
  <c r="AS64" i="3"/>
  <c r="AF67" i="3"/>
  <c r="BW75" i="3"/>
  <c r="BK75" i="3"/>
  <c r="AY75" i="3"/>
  <c r="AM75" i="3"/>
  <c r="AA75" i="3"/>
  <c r="O75" i="3"/>
  <c r="BV75" i="3"/>
  <c r="BJ75" i="3"/>
  <c r="AX75" i="3"/>
  <c r="AL75" i="3"/>
  <c r="Z75" i="3"/>
  <c r="N75" i="3"/>
  <c r="CE75" i="3"/>
  <c r="BQ75" i="3"/>
  <c r="BC75" i="3"/>
  <c r="AO75" i="3"/>
  <c r="Y75" i="3"/>
  <c r="K75" i="3"/>
  <c r="CD75" i="3"/>
  <c r="BP75" i="3"/>
  <c r="BB75" i="3"/>
  <c r="AN75" i="3"/>
  <c r="X75" i="3"/>
  <c r="J75" i="3"/>
  <c r="BY75" i="3"/>
  <c r="BI75" i="3"/>
  <c r="AU75" i="3"/>
  <c r="AG75" i="3"/>
  <c r="S75" i="3"/>
  <c r="F75" i="3"/>
  <c r="BU75" i="3"/>
  <c r="BD75" i="3"/>
  <c r="AI75" i="3"/>
  <c r="Q75" i="3"/>
  <c r="BX75" i="3"/>
  <c r="BA75" i="3"/>
  <c r="AF75" i="3"/>
  <c r="L75" i="3"/>
  <c r="BT75" i="3"/>
  <c r="AZ75" i="3"/>
  <c r="AE75" i="3"/>
  <c r="I75" i="3"/>
  <c r="BZ75" i="3"/>
  <c r="AV75" i="3"/>
  <c r="W75" i="3"/>
  <c r="BS75" i="3"/>
  <c r="AT75" i="3"/>
  <c r="V75" i="3"/>
  <c r="BR75" i="3"/>
  <c r="AS75" i="3"/>
  <c r="U75" i="3"/>
  <c r="BO75" i="3"/>
  <c r="AR75" i="3"/>
  <c r="T75" i="3"/>
  <c r="AP75" i="3"/>
  <c r="CC75" i="3"/>
  <c r="AH76" i="3"/>
  <c r="P43" i="3"/>
  <c r="AE43" i="3"/>
  <c r="AT43" i="3"/>
  <c r="BH43" i="3"/>
  <c r="BV57" i="3"/>
  <c r="BJ57" i="3"/>
  <c r="AX57" i="3"/>
  <c r="AL57" i="3"/>
  <c r="Z57" i="3"/>
  <c r="N57" i="3"/>
  <c r="CC57" i="3"/>
  <c r="BP57" i="3"/>
  <c r="BC57" i="3"/>
  <c r="AP57" i="3"/>
  <c r="AC57" i="3"/>
  <c r="P57" i="3"/>
  <c r="BW57" i="3"/>
  <c r="BH57" i="3"/>
  <c r="AT57" i="3"/>
  <c r="AF57" i="3"/>
  <c r="R57" i="3"/>
  <c r="BU57" i="3"/>
  <c r="BG57" i="3"/>
  <c r="AS57" i="3"/>
  <c r="AE57" i="3"/>
  <c r="Q57" i="3"/>
  <c r="BT57" i="3"/>
  <c r="BF57" i="3"/>
  <c r="AR57" i="3"/>
  <c r="AD57" i="3"/>
  <c r="O57" i="3"/>
  <c r="BS57" i="3"/>
  <c r="BE57" i="3"/>
  <c r="AQ57" i="3"/>
  <c r="AB57" i="3"/>
  <c r="M57" i="3"/>
  <c r="X57" i="3"/>
  <c r="AV57" i="3"/>
  <c r="BO57" i="3"/>
  <c r="BV67" i="3"/>
  <c r="BJ67" i="3"/>
  <c r="AX67" i="3"/>
  <c r="AL67" i="3"/>
  <c r="Z67" i="3"/>
  <c r="N67" i="3"/>
  <c r="BU67" i="3"/>
  <c r="BI67" i="3"/>
  <c r="AW67" i="3"/>
  <c r="AK67" i="3"/>
  <c r="Y67" i="3"/>
  <c r="M67" i="3"/>
  <c r="BZ67" i="3"/>
  <c r="BL67" i="3"/>
  <c r="AV67" i="3"/>
  <c r="AH67" i="3"/>
  <c r="T67" i="3"/>
  <c r="BW67" i="3"/>
  <c r="BF67" i="3"/>
  <c r="AQ67" i="3"/>
  <c r="AB67" i="3"/>
  <c r="K67" i="3"/>
  <c r="BT67" i="3"/>
  <c r="BE67" i="3"/>
  <c r="AP67" i="3"/>
  <c r="AA67" i="3"/>
  <c r="J67" i="3"/>
  <c r="BP67" i="3"/>
  <c r="AY67" i="3"/>
  <c r="AE67" i="3"/>
  <c r="L67" i="3"/>
  <c r="BO67" i="3"/>
  <c r="AU67" i="3"/>
  <c r="AD67" i="3"/>
  <c r="I67" i="3"/>
  <c r="CE67" i="3"/>
  <c r="BN67" i="3"/>
  <c r="AT67" i="3"/>
  <c r="AC67" i="3"/>
  <c r="H67" i="3"/>
  <c r="CD67" i="3"/>
  <c r="BM67" i="3"/>
  <c r="AS67" i="3"/>
  <c r="X67" i="3"/>
  <c r="G67" i="3"/>
  <c r="AG67" i="3"/>
  <c r="BG67" i="3"/>
  <c r="BZ76" i="3"/>
  <c r="BN76" i="3"/>
  <c r="BB76" i="3"/>
  <c r="AP76" i="3"/>
  <c r="AD76" i="3"/>
  <c r="R76" i="3"/>
  <c r="BY76" i="3"/>
  <c r="BM76" i="3"/>
  <c r="BA76" i="3"/>
  <c r="AO76" i="3"/>
  <c r="AC76" i="3"/>
  <c r="Q76" i="3"/>
  <c r="F76" i="3"/>
  <c r="BV76" i="3"/>
  <c r="BH76" i="3"/>
  <c r="AT76" i="3"/>
  <c r="AF76" i="3"/>
  <c r="P76" i="3"/>
  <c r="BU76" i="3"/>
  <c r="BG76" i="3"/>
  <c r="AS76" i="3"/>
  <c r="AE76" i="3"/>
  <c r="O76" i="3"/>
  <c r="CD76" i="3"/>
  <c r="BP76" i="3"/>
  <c r="AZ76" i="3"/>
  <c r="AL76" i="3"/>
  <c r="X76" i="3"/>
  <c r="J76" i="3"/>
  <c r="BR76" i="3"/>
  <c r="AX76" i="3"/>
  <c r="AG76" i="3"/>
  <c r="L76" i="3"/>
  <c r="CA76" i="3"/>
  <c r="BE76" i="3"/>
  <c r="AJ76" i="3"/>
  <c r="N76" i="3"/>
  <c r="BX76" i="3"/>
  <c r="BD76" i="3"/>
  <c r="AI76" i="3"/>
  <c r="M76" i="3"/>
  <c r="BQ76" i="3"/>
  <c r="AR76" i="3"/>
  <c r="U76" i="3"/>
  <c r="BO76" i="3"/>
  <c r="AQ76" i="3"/>
  <c r="T76" i="3"/>
  <c r="BL76" i="3"/>
  <c r="AN76" i="3"/>
  <c r="S76" i="3"/>
  <c r="BK76" i="3"/>
  <c r="AM76" i="3"/>
  <c r="K76" i="3"/>
  <c r="AK76" i="3"/>
  <c r="CB76" i="3"/>
  <c r="CB43" i="3"/>
  <c r="BP43" i="3"/>
  <c r="BD43" i="3"/>
  <c r="AR43" i="3"/>
  <c r="AF43" i="3"/>
  <c r="T43" i="3"/>
  <c r="H43" i="3"/>
  <c r="BZ43" i="3"/>
  <c r="BN43" i="3"/>
  <c r="BB43" i="3"/>
  <c r="AP43" i="3"/>
  <c r="AD43" i="3"/>
  <c r="R43" i="3"/>
  <c r="Q43" i="3"/>
  <c r="AG43" i="3"/>
  <c r="AU43" i="3"/>
  <c r="BI43" i="3"/>
  <c r="BW43" i="3"/>
  <c r="G57" i="3"/>
  <c r="Y57" i="3"/>
  <c r="AW57" i="3"/>
  <c r="BQ57" i="3"/>
  <c r="BY64" i="3"/>
  <c r="BM64" i="3"/>
  <c r="BA64" i="3"/>
  <c r="AO64" i="3"/>
  <c r="AC64" i="3"/>
  <c r="Q64" i="3"/>
  <c r="F64" i="3"/>
  <c r="CA64" i="3"/>
  <c r="BN64" i="3"/>
  <c r="AZ64" i="3"/>
  <c r="AM64" i="3"/>
  <c r="Z64" i="3"/>
  <c r="M64" i="3"/>
  <c r="CE64" i="3"/>
  <c r="BQ64" i="3"/>
  <c r="BC64" i="3"/>
  <c r="AN64" i="3"/>
  <c r="Y64" i="3"/>
  <c r="K64" i="3"/>
  <c r="CD64" i="3"/>
  <c r="BO64" i="3"/>
  <c r="AX64" i="3"/>
  <c r="AI64" i="3"/>
  <c r="T64" i="3"/>
  <c r="CC64" i="3"/>
  <c r="BL64" i="3"/>
  <c r="AW64" i="3"/>
  <c r="AH64" i="3"/>
  <c r="S64" i="3"/>
  <c r="CB64" i="3"/>
  <c r="BK64" i="3"/>
  <c r="AV64" i="3"/>
  <c r="AG64" i="3"/>
  <c r="R64" i="3"/>
  <c r="BZ64" i="3"/>
  <c r="BJ64" i="3"/>
  <c r="AU64" i="3"/>
  <c r="AF64" i="3"/>
  <c r="P64" i="3"/>
  <c r="AA64" i="3"/>
  <c r="AY64" i="3"/>
  <c r="BU64" i="3"/>
  <c r="AI67" i="3"/>
  <c r="BH67" i="3"/>
  <c r="AU76" i="3"/>
  <c r="CC76" i="3"/>
  <c r="P51" i="3"/>
  <c r="AC51" i="3"/>
  <c r="AP51" i="3"/>
  <c r="BD51" i="3"/>
  <c r="BQ51" i="3"/>
  <c r="CD51" i="3"/>
  <c r="S63" i="3"/>
  <c r="AH63" i="3"/>
  <c r="AY63" i="3"/>
  <c r="BN63" i="3"/>
  <c r="R66" i="3"/>
  <c r="AL66" i="3"/>
  <c r="BB66" i="3"/>
  <c r="T68" i="3"/>
  <c r="AK68" i="3"/>
  <c r="BG68" i="3"/>
  <c r="CA68" i="3"/>
  <c r="W73" i="3"/>
  <c r="AW73" i="3"/>
  <c r="BT78" i="3"/>
  <c r="BH78" i="3"/>
  <c r="AV78" i="3"/>
  <c r="AJ78" i="3"/>
  <c r="X78" i="3"/>
  <c r="L78" i="3"/>
  <c r="CE78" i="3"/>
  <c r="BS78" i="3"/>
  <c r="BG78" i="3"/>
  <c r="AU78" i="3"/>
  <c r="AI78" i="3"/>
  <c r="W78" i="3"/>
  <c r="K78" i="3"/>
  <c r="BR78" i="3"/>
  <c r="BD78" i="3"/>
  <c r="AP78" i="3"/>
  <c r="AB78" i="3"/>
  <c r="N78" i="3"/>
  <c r="BQ78" i="3"/>
  <c r="BC78" i="3"/>
  <c r="AO78" i="3"/>
  <c r="AA78" i="3"/>
  <c r="M78" i="3"/>
  <c r="BZ78" i="3"/>
  <c r="BL78" i="3"/>
  <c r="AX78" i="3"/>
  <c r="AH78" i="3"/>
  <c r="T78" i="3"/>
  <c r="CB78" i="3"/>
  <c r="BJ78" i="3"/>
  <c r="AQ78" i="3"/>
  <c r="V78" i="3"/>
  <c r="CD78" i="3"/>
  <c r="BK78" i="3"/>
  <c r="AN78" i="3"/>
  <c r="S78" i="3"/>
  <c r="CC78" i="3"/>
  <c r="BI78" i="3"/>
  <c r="AM78" i="3"/>
  <c r="R78" i="3"/>
  <c r="AC78" i="3"/>
  <c r="AZ78" i="3"/>
  <c r="BX78" i="3"/>
  <c r="Q51" i="3"/>
  <c r="AD51" i="3"/>
  <c r="AR51" i="3"/>
  <c r="BE51" i="3"/>
  <c r="BR51" i="3"/>
  <c r="CE51" i="3"/>
  <c r="CE66" i="3"/>
  <c r="BS66" i="3"/>
  <c r="BG66" i="3"/>
  <c r="AU66" i="3"/>
  <c r="AI66" i="3"/>
  <c r="W66" i="3"/>
  <c r="K66" i="3"/>
  <c r="BV66" i="3"/>
  <c r="BI66" i="3"/>
  <c r="AV66" i="3"/>
  <c r="AH66" i="3"/>
  <c r="U66" i="3"/>
  <c r="H66" i="3"/>
  <c r="BZ66" i="3"/>
  <c r="BL66" i="3"/>
  <c r="AX66" i="3"/>
  <c r="AJ66" i="3"/>
  <c r="T66" i="3"/>
  <c r="BY66" i="3"/>
  <c r="BK66" i="3"/>
  <c r="AW66" i="3"/>
  <c r="AG66" i="3"/>
  <c r="S66" i="3"/>
  <c r="F66" i="3"/>
  <c r="V66" i="3"/>
  <c r="AM66" i="3"/>
  <c r="BC66" i="3"/>
  <c r="BT66" i="3"/>
  <c r="U68" i="3"/>
  <c r="AQ68" i="3"/>
  <c r="BH68" i="3"/>
  <c r="CB68" i="3"/>
  <c r="F51" i="3"/>
  <c r="R51" i="3"/>
  <c r="AF51" i="3"/>
  <c r="AS51" i="3"/>
  <c r="BF51" i="3"/>
  <c r="BV63" i="3"/>
  <c r="BJ63" i="3"/>
  <c r="AX63" i="3"/>
  <c r="AL63" i="3"/>
  <c r="Z63" i="3"/>
  <c r="N63" i="3"/>
  <c r="CC63" i="3"/>
  <c r="BP63" i="3"/>
  <c r="BC63" i="3"/>
  <c r="AP63" i="3"/>
  <c r="AC63" i="3"/>
  <c r="P63" i="3"/>
  <c r="BZ63" i="3"/>
  <c r="BL63" i="3"/>
  <c r="AW63" i="3"/>
  <c r="AI63" i="3"/>
  <c r="U63" i="3"/>
  <c r="G63" i="3"/>
  <c r="V63" i="3"/>
  <c r="AK63" i="3"/>
  <c r="BA63" i="3"/>
  <c r="BQ63" i="3"/>
  <c r="X66" i="3"/>
  <c r="AN66" i="3"/>
  <c r="BD66" i="3"/>
  <c r="BU66" i="3"/>
  <c r="V68" i="3"/>
  <c r="AR68" i="3"/>
  <c r="BI68" i="3"/>
  <c r="CC73" i="3"/>
  <c r="BQ73" i="3"/>
  <c r="BE73" i="3"/>
  <c r="AS73" i="3"/>
  <c r="AG73" i="3"/>
  <c r="U73" i="3"/>
  <c r="I73" i="3"/>
  <c r="CB73" i="3"/>
  <c r="BP73" i="3"/>
  <c r="BD73" i="3"/>
  <c r="AR73" i="3"/>
  <c r="AF73" i="3"/>
  <c r="T73" i="3"/>
  <c r="H73" i="3"/>
  <c r="BV73" i="3"/>
  <c r="BH73" i="3"/>
  <c r="AT73" i="3"/>
  <c r="AD73" i="3"/>
  <c r="P73" i="3"/>
  <c r="BU73" i="3"/>
  <c r="BG73" i="3"/>
  <c r="AQ73" i="3"/>
  <c r="AC73" i="3"/>
  <c r="O73" i="3"/>
  <c r="CD73" i="3"/>
  <c r="BN73" i="3"/>
  <c r="AZ73" i="3"/>
  <c r="AL73" i="3"/>
  <c r="X73" i="3"/>
  <c r="J73" i="3"/>
  <c r="BL73" i="3"/>
  <c r="AU73" i="3"/>
  <c r="Z73" i="3"/>
  <c r="BT73" i="3"/>
  <c r="AY73" i="3"/>
  <c r="AE73" i="3"/>
  <c r="K73" i="3"/>
  <c r="BS73" i="3"/>
  <c r="AX73" i="3"/>
  <c r="AB73" i="3"/>
  <c r="G73" i="3"/>
  <c r="AA73" i="3"/>
  <c r="BB73" i="3"/>
  <c r="BZ73" i="3"/>
  <c r="G78" i="3"/>
  <c r="AE78" i="3"/>
  <c r="BB78" i="3"/>
  <c r="CA78" i="3"/>
  <c r="CA51" i="3"/>
  <c r="BO51" i="3"/>
  <c r="BC51" i="3"/>
  <c r="AQ51" i="3"/>
  <c r="AE51" i="3"/>
  <c r="AE80" i="3" s="1"/>
  <c r="S51" i="3"/>
  <c r="G51" i="3"/>
  <c r="T51" i="3"/>
  <c r="AG51" i="3"/>
  <c r="AT51" i="3"/>
  <c r="BG51" i="3"/>
  <c r="BT51" i="3"/>
  <c r="G66" i="3"/>
  <c r="Y66" i="3"/>
  <c r="AO66" i="3"/>
  <c r="BE66" i="3"/>
  <c r="BW66" i="3"/>
  <c r="BY68" i="3"/>
  <c r="BZ68" i="3"/>
  <c r="BM68" i="3"/>
  <c r="BA68" i="3"/>
  <c r="AO68" i="3"/>
  <c r="AC68" i="3"/>
  <c r="Q68" i="3"/>
  <c r="F68" i="3"/>
  <c r="BX68" i="3"/>
  <c r="BL68" i="3"/>
  <c r="AZ68" i="3"/>
  <c r="AN68" i="3"/>
  <c r="AB68" i="3"/>
  <c r="P68" i="3"/>
  <c r="BQ68" i="3"/>
  <c r="BC68" i="3"/>
  <c r="AM68" i="3"/>
  <c r="Y68" i="3"/>
  <c r="K68" i="3"/>
  <c r="BT68" i="3"/>
  <c r="BE68" i="3"/>
  <c r="AP68" i="3"/>
  <c r="X68" i="3"/>
  <c r="I68" i="3"/>
  <c r="BS68" i="3"/>
  <c r="BD68" i="3"/>
  <c r="AL68" i="3"/>
  <c r="W68" i="3"/>
  <c r="H68" i="3"/>
  <c r="Z68" i="3"/>
  <c r="AS68" i="3"/>
  <c r="BJ68" i="3"/>
  <c r="CD68" i="3"/>
  <c r="CB69" i="3"/>
  <c r="BP69" i="3"/>
  <c r="BD69" i="3"/>
  <c r="AR69" i="3"/>
  <c r="AF69" i="3"/>
  <c r="T69" i="3"/>
  <c r="H69" i="3"/>
  <c r="BW69" i="3"/>
  <c r="BJ69" i="3"/>
  <c r="AW69" i="3"/>
  <c r="AJ69" i="3"/>
  <c r="W69" i="3"/>
  <c r="J69" i="3"/>
  <c r="BV69" i="3"/>
  <c r="BI69" i="3"/>
  <c r="AV69" i="3"/>
  <c r="AI69" i="3"/>
  <c r="V69" i="3"/>
  <c r="I69" i="3"/>
  <c r="CD69" i="3"/>
  <c r="BN69" i="3"/>
  <c r="AY69" i="3"/>
  <c r="AH69" i="3"/>
  <c r="R69" i="3"/>
  <c r="Y69" i="3"/>
  <c r="AO69" i="3"/>
  <c r="BF69" i="3"/>
  <c r="BX69" i="3"/>
  <c r="BT74" i="3"/>
  <c r="BH74" i="3"/>
  <c r="AV74" i="3"/>
  <c r="AJ74" i="3"/>
  <c r="X74" i="3"/>
  <c r="L74" i="3"/>
  <c r="CE74" i="3"/>
  <c r="BS74" i="3"/>
  <c r="BG74" i="3"/>
  <c r="AU74" i="3"/>
  <c r="AI74" i="3"/>
  <c r="W74" i="3"/>
  <c r="K74" i="3"/>
  <c r="CA74" i="3"/>
  <c r="BM74" i="3"/>
  <c r="AY74" i="3"/>
  <c r="AK74" i="3"/>
  <c r="U74" i="3"/>
  <c r="G74" i="3"/>
  <c r="BZ74" i="3"/>
  <c r="BL74" i="3"/>
  <c r="AX74" i="3"/>
  <c r="AH74" i="3"/>
  <c r="T74" i="3"/>
  <c r="BU74" i="3"/>
  <c r="BE74" i="3"/>
  <c r="AQ74" i="3"/>
  <c r="AC74" i="3"/>
  <c r="O74" i="3"/>
  <c r="V74" i="3"/>
  <c r="AO74" i="3"/>
  <c r="BI74" i="3"/>
  <c r="CB74" i="3"/>
  <c r="BZ72" i="3"/>
  <c r="BN72" i="3"/>
  <c r="BB72" i="3"/>
  <c r="AP72" i="3"/>
  <c r="AD72" i="3"/>
  <c r="R72" i="3"/>
  <c r="BY72" i="3"/>
  <c r="BM72" i="3"/>
  <c r="BA72" i="3"/>
  <c r="AO72" i="3"/>
  <c r="AC72" i="3"/>
  <c r="Q72" i="3"/>
  <c r="F72" i="3"/>
  <c r="S72" i="3"/>
  <c r="AG72" i="3"/>
  <c r="AU72" i="3"/>
  <c r="BI72" i="3"/>
  <c r="BW72" i="3"/>
  <c r="J72" i="3"/>
  <c r="X72" i="3"/>
  <c r="AL72" i="3"/>
  <c r="AZ72" i="3"/>
  <c r="BP72" i="3"/>
  <c r="CD72" i="3"/>
  <c r="BW71" i="3"/>
  <c r="BK71" i="3"/>
  <c r="AY71" i="3"/>
  <c r="AM71" i="3"/>
  <c r="AA71" i="3"/>
  <c r="O71" i="3"/>
  <c r="BV71" i="3"/>
  <c r="BJ71" i="3"/>
  <c r="AX71" i="3"/>
  <c r="AL71" i="3"/>
  <c r="Z71" i="3"/>
  <c r="N71" i="3"/>
  <c r="T71" i="3"/>
  <c r="AH71" i="3"/>
  <c r="AV71" i="3"/>
  <c r="BL71" i="3"/>
  <c r="BZ71" i="3"/>
  <c r="K72" i="3"/>
  <c r="Y72" i="3"/>
  <c r="AM72" i="3"/>
  <c r="BC72" i="3"/>
  <c r="BQ72" i="3"/>
  <c r="CE72" i="3"/>
  <c r="CA80" i="3" l="1"/>
  <c r="BK80" i="3"/>
  <c r="I80" i="3"/>
  <c r="BR80" i="3"/>
  <c r="AO80" i="3"/>
  <c r="U80" i="3"/>
  <c r="CD80" i="3"/>
  <c r="Y80" i="3"/>
  <c r="X80" i="3"/>
  <c r="AA80" i="3"/>
  <c r="AG80" i="3"/>
  <c r="K80" i="3"/>
  <c r="F80" i="3"/>
  <c r="AP80" i="3"/>
  <c r="AL80" i="3"/>
  <c r="T80" i="3"/>
  <c r="CC80" i="3"/>
  <c r="BG80" i="3"/>
  <c r="BX80" i="3"/>
  <c r="BF80" i="3"/>
  <c r="BI80" i="3"/>
  <c r="BH80" i="3"/>
  <c r="G80" i="3"/>
  <c r="W80" i="3"/>
  <c r="Z80" i="3"/>
  <c r="BE80" i="3"/>
  <c r="AI80" i="3"/>
  <c r="AU80" i="3"/>
  <c r="AF80" i="3"/>
  <c r="J80" i="3"/>
  <c r="BS80" i="3"/>
  <c r="BP80" i="3"/>
  <c r="CB80" i="3"/>
  <c r="AN80" i="3"/>
  <c r="AQ80" i="3"/>
  <c r="AS80" i="3"/>
  <c r="BC80" i="3"/>
  <c r="H80" i="3"/>
  <c r="AR80" i="3"/>
  <c r="V80" i="3"/>
  <c r="CE80" i="3"/>
  <c r="M80" i="3"/>
  <c r="AT80" i="3"/>
  <c r="BZ80" i="3"/>
  <c r="BJ80" i="3"/>
  <c r="BQ80" i="3"/>
  <c r="BD80" i="3"/>
  <c r="AH80" i="3"/>
  <c r="C2" i="3" l="1" a="1"/>
  <c r="C75" i="3" l="1"/>
  <c r="C63" i="3"/>
  <c r="C51" i="3"/>
  <c r="C39" i="3"/>
  <c r="C27" i="3"/>
  <c r="C15" i="3"/>
  <c r="C3" i="3"/>
  <c r="C74" i="3"/>
  <c r="C62" i="3"/>
  <c r="C50" i="3"/>
  <c r="C38" i="3"/>
  <c r="C26" i="3"/>
  <c r="C14" i="3"/>
  <c r="C73" i="3"/>
  <c r="C61" i="3"/>
  <c r="C49" i="3"/>
  <c r="C37" i="3"/>
  <c r="C25" i="3"/>
  <c r="C13" i="3"/>
  <c r="C2" i="3"/>
  <c r="C72" i="3"/>
  <c r="C60" i="3"/>
  <c r="C48" i="3"/>
  <c r="C36" i="3"/>
  <c r="C24" i="3"/>
  <c r="C12" i="3"/>
  <c r="C67" i="3"/>
  <c r="C47" i="3"/>
  <c r="C31" i="3"/>
  <c r="C11" i="3"/>
  <c r="C66" i="3"/>
  <c r="C46" i="3"/>
  <c r="C30" i="3"/>
  <c r="C10" i="3"/>
  <c r="C79" i="3"/>
  <c r="C43" i="3"/>
  <c r="C7" i="3"/>
  <c r="C77" i="3"/>
  <c r="C57" i="3"/>
  <c r="C41" i="3"/>
  <c r="C21" i="3"/>
  <c r="C5" i="3"/>
  <c r="C54" i="3"/>
  <c r="C18" i="3"/>
  <c r="C68" i="3"/>
  <c r="C52" i="3"/>
  <c r="C32" i="3"/>
  <c r="C16" i="3"/>
  <c r="C78" i="3"/>
  <c r="C58" i="3"/>
  <c r="C42" i="3"/>
  <c r="C22" i="3"/>
  <c r="C6" i="3"/>
  <c r="C69" i="3"/>
  <c r="C53" i="3"/>
  <c r="C33" i="3"/>
  <c r="C17" i="3"/>
  <c r="C65" i="3"/>
  <c r="C45" i="3"/>
  <c r="C29" i="3"/>
  <c r="D29" i="3" s="1"/>
  <c r="C9" i="3"/>
  <c r="C23" i="3"/>
  <c r="C76" i="3"/>
  <c r="C56" i="3"/>
  <c r="C40" i="3"/>
  <c r="C20" i="3"/>
  <c r="C4" i="3"/>
  <c r="C71" i="3"/>
  <c r="C55" i="3"/>
  <c r="C35" i="3"/>
  <c r="C19" i="3"/>
  <c r="C34" i="3"/>
  <c r="D34" i="3" s="1"/>
  <c r="C64" i="3"/>
  <c r="C44" i="3"/>
  <c r="C28" i="3"/>
  <c r="C8" i="3"/>
  <c r="C59" i="3"/>
  <c r="C70" i="3"/>
  <c r="D16" i="3" l="1"/>
  <c r="D45" i="3"/>
  <c r="D48" i="3"/>
  <c r="D65" i="3"/>
  <c r="D52" i="3"/>
  <c r="D55" i="3"/>
  <c r="D68" i="3"/>
  <c r="D30" i="3"/>
  <c r="D72" i="3"/>
  <c r="D62" i="3"/>
  <c r="D71" i="3"/>
  <c r="D33" i="3"/>
  <c r="D18" i="3"/>
  <c r="D46" i="3"/>
  <c r="J4" i="1" s="1"/>
  <c r="O4" i="1" s="1"/>
  <c r="D2" i="3"/>
  <c r="D74" i="3"/>
  <c r="D4" i="3"/>
  <c r="J3" i="1" s="1"/>
  <c r="O3" i="1" s="1"/>
  <c r="D53" i="3"/>
  <c r="D54" i="3"/>
  <c r="J6" i="1" s="1"/>
  <c r="O6" i="1" s="1"/>
  <c r="D66" i="3"/>
  <c r="D13" i="3"/>
  <c r="D3" i="3"/>
  <c r="D26" i="3"/>
  <c r="D32" i="3"/>
  <c r="D35" i="3"/>
  <c r="D10" i="3"/>
  <c r="D17" i="3"/>
  <c r="D69" i="3"/>
  <c r="D15" i="3"/>
  <c r="D40" i="3"/>
  <c r="D31" i="3"/>
  <c r="D8" i="3"/>
  <c r="D41" i="3"/>
  <c r="D39" i="3"/>
  <c r="D28" i="3"/>
  <c r="D76" i="3"/>
  <c r="D42" i="3"/>
  <c r="D57" i="3"/>
  <c r="D67" i="3"/>
  <c r="D61" i="3"/>
  <c r="D51" i="3"/>
  <c r="D36" i="3"/>
  <c r="D38" i="3"/>
  <c r="D50" i="3"/>
  <c r="D20" i="3"/>
  <c r="D11" i="3"/>
  <c r="D59" i="3"/>
  <c r="D21" i="3"/>
  <c r="D27" i="3"/>
  <c r="D22" i="3"/>
  <c r="D47" i="3"/>
  <c r="D44" i="3"/>
  <c r="D23" i="3"/>
  <c r="D58" i="3"/>
  <c r="D77" i="3"/>
  <c r="D12" i="3"/>
  <c r="D73" i="3"/>
  <c r="D63" i="3"/>
  <c r="D43" i="3"/>
  <c r="D19" i="3"/>
  <c r="D79" i="3"/>
  <c r="D60" i="3"/>
  <c r="D70" i="3"/>
  <c r="D5" i="3"/>
  <c r="D25" i="3"/>
  <c r="D6" i="3"/>
  <c r="D37" i="3"/>
  <c r="D56" i="3"/>
  <c r="D49" i="3"/>
  <c r="D64" i="3"/>
  <c r="D9" i="3"/>
  <c r="D78" i="3"/>
  <c r="D7" i="3"/>
  <c r="D24" i="3"/>
  <c r="D14" i="3"/>
  <c r="D75" i="3"/>
  <c r="J5" i="1" l="1"/>
  <c r="O5" i="1" s="1"/>
  <c r="J2" i="1"/>
  <c r="O2" i="1" s="1"/>
</calcChain>
</file>

<file path=xl/comments1.xml><?xml version="1.0" encoding="utf-8"?>
<comments xmlns="http://schemas.openxmlformats.org/spreadsheetml/2006/main">
  <authors>
    <author/>
  </authors>
  <commentList>
    <comment ref="D1" authorId="0">
      <text>
        <r>
          <rPr>
            <sz val="10"/>
            <rFont val="Arial"/>
          </rPr>
          <t>This type is only for Matlab import. I added "_" to make it matlab-compatible
	-Lei Zhang</t>
        </r>
      </text>
    </comment>
    <comment ref="E1" authorId="0">
      <text>
        <r>
          <rPr>
            <sz val="10"/>
            <rFont val="Arial"/>
          </rPr>
          <t>The final Cuisine types that excluded subtypes
	-Lei Zhang</t>
        </r>
      </text>
    </comment>
  </commentList>
</comments>
</file>

<file path=xl/sharedStrings.xml><?xml version="1.0" encoding="utf-8"?>
<sst xmlns="http://schemas.openxmlformats.org/spreadsheetml/2006/main" count="1793" uniqueCount="1222">
  <si>
    <t>ID</t>
  </si>
  <si>
    <t>Yelp ID</t>
  </si>
  <si>
    <t>Four Square ID</t>
  </si>
  <si>
    <t>Name</t>
  </si>
  <si>
    <t>Name</t>
  </si>
  <si>
    <t>Cuision</t>
  </si>
  <si>
    <t>Cuision</t>
  </si>
  <si>
    <t>Time</t>
  </si>
  <si>
    <t>Rating</t>
  </si>
  <si>
    <t>Distance</t>
  </si>
  <si>
    <t>Comments</t>
  </si>
  <si>
    <t>Price</t>
  </si>
  <si>
    <t>Distance</t>
  </si>
  <si>
    <t>Rating</t>
  </si>
  <si>
    <t>Price</t>
  </si>
  <si>
    <t>Comments</t>
  </si>
  <si>
    <t>Open</t>
  </si>
  <si>
    <t>Cuisine score</t>
  </si>
  <si>
    <t>vcNAWiLM4dR7D2nwwJ7nCA</t>
  </si>
  <si>
    <t>Eric_Goldberg,_MD</t>
  </si>
  <si>
    <t>chinese</t>
  </si>
  <si>
    <t>Cuisine</t>
  </si>
  <si>
    <t>Rating score</t>
  </si>
  <si>
    <t>Comments score</t>
  </si>
  <si>
    <t>Distance score</t>
  </si>
  <si>
    <t>Price score</t>
  </si>
  <si>
    <t>Total score</t>
  </si>
  <si>
    <t>xxx1</t>
  </si>
  <si>
    <t>abc</t>
  </si>
  <si>
    <t>chinese</t>
  </si>
  <si>
    <t>YES</t>
  </si>
  <si>
    <t>Afghan</t>
  </si>
  <si>
    <t>Review corr</t>
  </si>
  <si>
    <t>Categoty</t>
  </si>
  <si>
    <t>Country</t>
  </si>
  <si>
    <t>Visits</t>
  </si>
  <si>
    <t>Preference</t>
  </si>
  <si>
    <t>Sub-category</t>
  </si>
  <si>
    <t>Server type</t>
  </si>
  <si>
    <t>Adjuested</t>
  </si>
  <si>
    <t>Server type2</t>
  </si>
  <si>
    <t>Food Types</t>
  </si>
  <si>
    <t>African</t>
  </si>
  <si>
    <t>American_(New)</t>
  </si>
  <si>
    <t>American_(Traditional)</t>
  </si>
  <si>
    <t>Arabian</t>
  </si>
  <si>
    <t>Argentine</t>
  </si>
  <si>
    <t>Armenian</t>
  </si>
  <si>
    <t>Asian_Fusion</t>
  </si>
  <si>
    <t>Australian</t>
  </si>
  <si>
    <t>Austrian</t>
  </si>
  <si>
    <t>Bangladeshi</t>
  </si>
  <si>
    <t>Fast_Food</t>
  </si>
  <si>
    <t>Basque</t>
  </si>
  <si>
    <t>Belgian</t>
  </si>
  <si>
    <t>Brazilian</t>
  </si>
  <si>
    <t>Breakfast_&amp;_Brunch</t>
  </si>
  <si>
    <t>British</t>
  </si>
  <si>
    <t>Buffets</t>
  </si>
  <si>
    <t>Burmese</t>
  </si>
  <si>
    <t>Cafes</t>
  </si>
  <si>
    <t>Southern</t>
  </si>
  <si>
    <t>Cambodian</t>
  </si>
  <si>
    <t>Country</t>
  </si>
  <si>
    <t>Catalan</t>
  </si>
  <si>
    <t>Character</t>
  </si>
  <si>
    <t>Chinese</t>
  </si>
  <si>
    <t>Cuisine</t>
  </si>
  <si>
    <t>Region</t>
  </si>
  <si>
    <t>Comfort_Food</t>
  </si>
  <si>
    <t>Religious/Calture</t>
  </si>
  <si>
    <t>Time</t>
  </si>
  <si>
    <t>Cuban</t>
  </si>
  <si>
    <t>Lat</t>
  </si>
  <si>
    <t>Czech</t>
  </si>
  <si>
    <t>Lon</t>
  </si>
  <si>
    <t>Ethiopian</t>
  </si>
  <si>
    <t>Afghan</t>
  </si>
  <si>
    <t>Filipino</t>
  </si>
  <si>
    <t>Fondue</t>
  </si>
  <si>
    <t>French</t>
  </si>
  <si>
    <t>German</t>
  </si>
  <si>
    <t>Gluten-Free</t>
  </si>
  <si>
    <t>Greek</t>
  </si>
  <si>
    <t>Halal</t>
  </si>
  <si>
    <t>Hawaiian</t>
  </si>
  <si>
    <t>Himalayan/Nepalese</t>
  </si>
  <si>
    <t>Hot_Pot</t>
  </si>
  <si>
    <t>Hungarian</t>
  </si>
  <si>
    <t>Spanish</t>
  </si>
  <si>
    <t>xxx2</t>
  </si>
  <si>
    <t>scd</t>
  </si>
  <si>
    <t>american_(new)</t>
  </si>
  <si>
    <t>Indian</t>
  </si>
  <si>
    <t>Indonesian</t>
  </si>
  <si>
    <t>YES</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</si>
  <si>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</si>
  <si>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</si>
  <si>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</si>
  <si>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</si>
  <si>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</si>
  <si>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</si>
  <si>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</si>
  <si>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</si>
  <si>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</si>
  <si>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</si>
  <si>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</si>
  <si>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</si>
  <si>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</si>
  <si>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</si>
  <si>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</si>
  <si>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</si>
  <si>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</si>
  <si>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</si>
  <si>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</si>
  <si>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</si>
  <si>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</si>
  <si>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</si>
  <si>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</si>
  <si>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</si>
  <si>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</si>
  <si>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</si>
  <si>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</si>
  <si>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</si>
  <si>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</si>
  <si>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</si>
  <si>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</si>
  <si>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</si>
  <si>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</si>
  <si>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</si>
  <si>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</si>
  <si>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</si>
  <si>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Afghan</t>
  </si>
  <si>
    <t>afghani</t>
  </si>
  <si>
    <t>xxx3</t>
  </si>
  <si>
    <t>adf</t>
  </si>
  <si>
    <t>japanese</t>
  </si>
  <si>
    <t>YES</t>
  </si>
  <si>
    <t>Afghanistan</t>
  </si>
  <si>
    <t>Islamic</t>
  </si>
  <si>
    <t>African</t>
  </si>
  <si>
    <t>african</t>
  </si>
  <si>
    <t>xxx4</t>
  </si>
  <si>
    <t>asdf</t>
  </si>
  <si>
    <t>chinese</t>
  </si>
  <si>
    <t>YES</t>
  </si>
  <si>
    <t>Capital</t>
  </si>
  <si>
    <t>Latitude</t>
  </si>
  <si>
    <t>Longitude</t>
  </si>
  <si>
    <t>Afghanistan</t>
  </si>
  <si>
    <t>Africa</t>
  </si>
  <si>
    <t>Kabul</t>
  </si>
  <si>
    <t>Senegalese</t>
  </si>
  <si>
    <t>senegalese</t>
  </si>
  <si>
    <t>xxx5</t>
  </si>
  <si>
    <t>United States</t>
  </si>
  <si>
    <t>asdf</t>
  </si>
  <si>
    <t>mexican</t>
  </si>
  <si>
    <t>Northern America</t>
  </si>
  <si>
    <t>YES</t>
  </si>
  <si>
    <t>Albania</t>
  </si>
  <si>
    <t>Tirana</t>
  </si>
  <si>
    <t>Algeria</t>
  </si>
  <si>
    <t>Algiers</t>
  </si>
  <si>
    <t>American Samoa</t>
  </si>
  <si>
    <t>Pago Pago</t>
  </si>
  <si>
    <t>Andorra</t>
  </si>
  <si>
    <t>Andorra la Vella</t>
  </si>
  <si>
    <t>Angola</t>
  </si>
  <si>
    <t>Luanda</t>
  </si>
  <si>
    <t>Anguilla</t>
  </si>
  <si>
    <t>The Valley</t>
  </si>
  <si>
    <t>Antigua and Barbuda</t>
  </si>
  <si>
    <t>St. John's</t>
  </si>
  <si>
    <t>Argentina</t>
  </si>
  <si>
    <t>Buenos Aires</t>
  </si>
  <si>
    <t>Armenia</t>
  </si>
  <si>
    <t>Yerevan</t>
  </si>
  <si>
    <t>Aruba</t>
  </si>
  <si>
    <t>Oranjestad</t>
  </si>
  <si>
    <t>Australia</t>
  </si>
  <si>
    <t>Canberra</t>
  </si>
  <si>
    <t>Austria</t>
  </si>
  <si>
    <t>Vienna</t>
  </si>
  <si>
    <t>Azerbaijan</t>
  </si>
  <si>
    <t>Baku</t>
  </si>
  <si>
    <t>Bahamas</t>
  </si>
  <si>
    <t>Nassau</t>
  </si>
  <si>
    <t>Bahrain</t>
  </si>
  <si>
    <t>Manama</t>
  </si>
  <si>
    <t>Bangladesh</t>
  </si>
  <si>
    <t>Dhaka</t>
  </si>
  <si>
    <t>African</t>
  </si>
  <si>
    <t>American_(New)</t>
  </si>
  <si>
    <t>Barbados</t>
  </si>
  <si>
    <t>Bridgetown</t>
  </si>
  <si>
    <t>American_(Traditional)</t>
  </si>
  <si>
    <t>Arabian</t>
  </si>
  <si>
    <t>Argentine</t>
  </si>
  <si>
    <t>Belarus</t>
  </si>
  <si>
    <t>Armenian</t>
  </si>
  <si>
    <t>Minsk</t>
  </si>
  <si>
    <t>Asian_Fusion</t>
  </si>
  <si>
    <t>Australian</t>
  </si>
  <si>
    <t>Belgium</t>
  </si>
  <si>
    <t>Brussels</t>
  </si>
  <si>
    <t>Austrian</t>
  </si>
  <si>
    <t>Bangladeshi</t>
  </si>
  <si>
    <t>Fast_Food</t>
  </si>
  <si>
    <t>Belize</t>
  </si>
  <si>
    <t>Belmopan</t>
  </si>
  <si>
    <t>Basque</t>
  </si>
  <si>
    <t>Belgian</t>
  </si>
  <si>
    <t>Brazilian</t>
  </si>
  <si>
    <t>Benin</t>
  </si>
  <si>
    <t>Porto-Novo</t>
  </si>
  <si>
    <t>Breakfast_&amp;_Brunch</t>
  </si>
  <si>
    <t>British</t>
  </si>
  <si>
    <t>Buffets</t>
  </si>
  <si>
    <t>Bermuda</t>
  </si>
  <si>
    <t>Hamilton</t>
  </si>
  <si>
    <t>Burmese</t>
  </si>
  <si>
    <t>Cafes</t>
  </si>
  <si>
    <t>Southern</t>
  </si>
  <si>
    <t>Bhutan</t>
  </si>
  <si>
    <t>Cambodian</t>
  </si>
  <si>
    <t>Thimphu</t>
  </si>
  <si>
    <t>Catalan</t>
  </si>
  <si>
    <t>Chinese</t>
  </si>
  <si>
    <t>Bolivia</t>
  </si>
  <si>
    <t>Comfort_Food</t>
  </si>
  <si>
    <t>Sucre</t>
  </si>
  <si>
    <t>Cuban</t>
  </si>
  <si>
    <t>Czech</t>
  </si>
  <si>
    <t>Ethiopian</t>
  </si>
  <si>
    <t>Bosnia and Herzegovina</t>
  </si>
  <si>
    <t>Sarajevo</t>
  </si>
  <si>
    <t>Filipino</t>
  </si>
  <si>
    <t>Fondue</t>
  </si>
  <si>
    <t>French</t>
  </si>
  <si>
    <t>Botswana</t>
  </si>
  <si>
    <t>Gaborone</t>
  </si>
  <si>
    <t>German</t>
  </si>
  <si>
    <t>Gluten-Free</t>
  </si>
  <si>
    <t>Greek</t>
  </si>
  <si>
    <t>Halal</t>
  </si>
  <si>
    <t>Brazil</t>
  </si>
  <si>
    <t>Hawaiian</t>
  </si>
  <si>
    <t>Brasília</t>
  </si>
  <si>
    <t>Himalayan/Nepalese</t>
  </si>
  <si>
    <t>Hot_Pot</t>
  </si>
  <si>
    <t>Hungarian</t>
  </si>
  <si>
    <t>South African</t>
  </si>
  <si>
    <t>Spanish</t>
  </si>
  <si>
    <t>Indian</t>
  </si>
  <si>
    <t>southafrican</t>
  </si>
  <si>
    <t>Indonesian</t>
  </si>
  <si>
    <t>Irish</t>
  </si>
  <si>
    <t>Italian</t>
  </si>
  <si>
    <t>Japanese</t>
  </si>
  <si>
    <t>Korean</t>
  </si>
  <si>
    <t>Kosher</t>
  </si>
  <si>
    <t>Laotian</t>
  </si>
  <si>
    <t>Latin_American</t>
  </si>
  <si>
    <t>Seafood</t>
  </si>
  <si>
    <t>Malaysian</t>
  </si>
  <si>
    <t>Mediterranean</t>
  </si>
  <si>
    <t>Mexican</t>
  </si>
  <si>
    <t>Middle_Eastern</t>
  </si>
  <si>
    <t>British Indian Ocean Territory</t>
  </si>
  <si>
    <t>Mongolian</t>
  </si>
  <si>
    <t>Diego Garcia</t>
  </si>
  <si>
    <t>Moroccan</t>
  </si>
  <si>
    <t>Pakistani</t>
  </si>
  <si>
    <t>Persian/Iranian</t>
  </si>
  <si>
    <t>Peruvian</t>
  </si>
  <si>
    <t>British Virgin Islands</t>
  </si>
  <si>
    <t>Polish</t>
  </si>
  <si>
    <t>Road Town</t>
  </si>
  <si>
    <t>Portuguese</t>
  </si>
  <si>
    <t>Russian</t>
  </si>
  <si>
    <t>Salad</t>
  </si>
  <si>
    <t>Brunei</t>
  </si>
  <si>
    <t>Scandinavian</t>
  </si>
  <si>
    <t>Bandar Seri Begawan</t>
  </si>
  <si>
    <t>Scottish</t>
  </si>
  <si>
    <t>Singaporean</t>
  </si>
  <si>
    <t>Slovakian</t>
  </si>
  <si>
    <t>Bulgaria</t>
  </si>
  <si>
    <t>This chapter is difficult because there are many new concepts in it. Studying this may bring back feelings that you had in the first third of the course, when there were many new concepts each week.</t>
  </si>
  <si>
    <t>Sofia</t>
  </si>
  <si>
    <t>Soul_Food</t>
  </si>
  <si>
    <t>Steakhouses</t>
  </si>
  <si>
    <t>Taiwanese</t>
  </si>
  <si>
    <t>JwUE5GmEO_sH1FuwJgKBlQ</t>
  </si>
  <si>
    <t>Tapas_Bars</t>
  </si>
  <si>
    <t>Thai</t>
  </si>
  <si>
    <t>Turkish</t>
  </si>
  <si>
    <t>Pine_Cone_Restaurant</t>
  </si>
  <si>
    <t>Ukrainian</t>
  </si>
  <si>
    <t>newamerican</t>
  </si>
  <si>
    <t>Uzbek</t>
  </si>
  <si>
    <t>Vegan</t>
  </si>
  <si>
    <t>Vegetarian</t>
  </si>
  <si>
    <t>Vietnamese</t>
  </si>
  <si>
    <t>Burkina Faso</t>
  </si>
  <si>
    <t>Afghan</t>
  </si>
  <si>
    <t>Ouagadougou</t>
  </si>
  <si>
    <t>For this chapter only, we are going to deal with a dependent variable that is binary (a categorical variable that has two values such as "yes" and "no") rather than continuous</t>
  </si>
  <si>
    <t>uGykseHzyS5xAMWoN6YUqA</t>
  </si>
  <si>
    <t>Deforest_Family_Restaurant</t>
  </si>
  <si>
    <t>Burundi</t>
  </si>
  <si>
    <t>japanese</t>
  </si>
  <si>
    <t>Bujumbura</t>
  </si>
  <si>
    <t>Cambodia</t>
  </si>
  <si>
    <t>Logistic regression can also be applied to ordered categories (ordinal data),</t>
  </si>
  <si>
    <t>Phnom Penh</t>
  </si>
  <si>
    <t>LRKJF43s9_3jG9Lgx4zODg</t>
  </si>
  <si>
    <t>Culvers</t>
  </si>
  <si>
    <t>Cameroon</t>
  </si>
  <si>
    <t>chinese</t>
  </si>
  <si>
    <t>Yaoundé</t>
  </si>
  <si>
    <t>It is customary to code a binary DV either 0 or 1.</t>
  </si>
  <si>
    <t>Canada</t>
  </si>
  <si>
    <t>Ottawa</t>
  </si>
  <si>
    <t>RgDg_k9S5YD_BaxMckifkg</t>
  </si>
  <si>
    <t>Chang_Jiang_Chinese_Kitchen</t>
  </si>
  <si>
    <t>asian_fusion</t>
  </si>
  <si>
    <t>Cape Verde</t>
  </si>
  <si>
    <t>Praia</t>
  </si>
  <si>
    <t>We could plot the relations between the two variables as we customarily do in regression.</t>
  </si>
  <si>
    <t>Cayman Islands</t>
  </si>
  <si>
    <t>George Town</t>
  </si>
  <si>
    <t>Central African Republic</t>
  </si>
  <si>
    <t>Bangui</t>
  </si>
  <si>
    <t>User</t>
  </si>
  <si>
    <t>Chad</t>
  </si>
  <si>
    <t>username</t>
  </si>
  <si>
    <t>N'Djamena</t>
  </si>
  <si>
    <t>password</t>
  </si>
  <si>
    <t>Chile</t>
  </si>
  <si>
    <t>Santiago</t>
  </si>
  <si>
    <t>age</t>
  </si>
  <si>
    <t>China</t>
  </si>
  <si>
    <t>Beijing</t>
  </si>
  <si>
    <t>sex</t>
  </si>
  <si>
    <t>hometown</t>
  </si>
  <si>
    <t>Christmas Island</t>
  </si>
  <si>
    <t>The Settlement</t>
  </si>
  <si>
    <t>title</t>
  </si>
  <si>
    <t>American (New)</t>
  </si>
  <si>
    <t>ave price</t>
  </si>
  <si>
    <t>Cocos Islands</t>
  </si>
  <si>
    <t>newamerican</t>
  </si>
  <si>
    <t>West Island</t>
  </si>
  <si>
    <t>ave location</t>
  </si>
  <si>
    <t>yelp ID</t>
  </si>
  <si>
    <t>Colombia</t>
  </si>
  <si>
    <t>4sq ID</t>
  </si>
  <si>
    <t>visitByCuisine[]</t>
  </si>
  <si>
    <t>Bogotá</t>
  </si>
  <si>
    <t>Middle Eastern</t>
  </si>
  <si>
    <t>Arabs</t>
  </si>
  <si>
    <t>Comoros</t>
  </si>
  <si>
    <t>Moroni</t>
  </si>
  <si>
    <t>Cook Islands</t>
  </si>
  <si>
    <t>Avarua</t>
  </si>
  <si>
    <t>Costa Rica</t>
  </si>
  <si>
    <t>San José</t>
  </si>
  <si>
    <t>Croatia</t>
  </si>
  <si>
    <t>Zagreb</t>
  </si>
  <si>
    <t>count of psat dine history by cuisine</t>
  </si>
  <si>
    <t>Cuba</t>
  </si>
  <si>
    <t>preference[]</t>
  </si>
  <si>
    <t>preference of past dine history in percentage by cuisine</t>
  </si>
  <si>
    <t>reviews</t>
  </si>
  <si>
    <t>African</t>
  </si>
  <si>
    <t>Havana</t>
  </si>
  <si>
    <t>American (Traditional)</t>
  </si>
  <si>
    <t>tradamerican</t>
  </si>
  <si>
    <t>American_(New)</t>
  </si>
  <si>
    <t>Cyprus</t>
  </si>
  <si>
    <t>Nicosia</t>
  </si>
  <si>
    <t>Czech Republic</t>
  </si>
  <si>
    <t>Prague</t>
  </si>
  <si>
    <t>Democratic Republic of the Congo</t>
  </si>
  <si>
    <t>Kinshasa</t>
  </si>
  <si>
    <t>Denmark</t>
  </si>
  <si>
    <t>Copenhagen</t>
  </si>
  <si>
    <t>Southern America</t>
  </si>
  <si>
    <t>Djibouti</t>
  </si>
  <si>
    <t>Djibouti</t>
  </si>
  <si>
    <t>reviews abstracted from yelp</t>
  </si>
  <si>
    <t>Dominica</t>
  </si>
  <si>
    <t>Roseau</t>
  </si>
  <si>
    <t>bookmarks</t>
  </si>
  <si>
    <t>bookmarks from yelp</t>
  </si>
  <si>
    <t>Dominican Republic</t>
  </si>
  <si>
    <t>Santo Domingo</t>
  </si>
  <si>
    <t>history</t>
  </si>
  <si>
    <t>East Timor</t>
  </si>
  <si>
    <t>Dili</t>
  </si>
  <si>
    <t>Ecuador</t>
  </si>
  <si>
    <t>Quito</t>
  </si>
  <si>
    <t>Egypt</t>
  </si>
  <si>
    <t>American_(Traditional)</t>
  </si>
  <si>
    <t>Cairo</t>
  </si>
  <si>
    <t>dine history</t>
  </si>
  <si>
    <t>El Salvador</t>
  </si>
  <si>
    <t>San Salvador</t>
  </si>
  <si>
    <t>Equatorial Guinea</t>
  </si>
  <si>
    <t>Malabo</t>
  </si>
  <si>
    <t>Eritrea</t>
  </si>
  <si>
    <t>Asmara</t>
  </si>
  <si>
    <t>Estonia</t>
  </si>
  <si>
    <t>Tallinn</t>
  </si>
  <si>
    <t>Ethiopia</t>
  </si>
  <si>
    <t>Addis Ababa</t>
  </si>
  <si>
    <t>Falkland Islands</t>
  </si>
  <si>
    <t>Stanley</t>
  </si>
  <si>
    <t>Arabian</t>
  </si>
  <si>
    <t>Faroe Islands</t>
  </si>
  <si>
    <t>arabian</t>
  </si>
  <si>
    <t>Tórshavn</t>
  </si>
  <si>
    <t>Fiji</t>
  </si>
  <si>
    <t>Suva</t>
  </si>
  <si>
    <t>Finland</t>
  </si>
  <si>
    <t>Helsinki</t>
  </si>
  <si>
    <t>France</t>
  </si>
  <si>
    <t>Paris</t>
  </si>
  <si>
    <t>French Guiana</t>
  </si>
  <si>
    <t>Cayenne</t>
  </si>
  <si>
    <t>African</t>
  </si>
  <si>
    <t>French Polynesia</t>
  </si>
  <si>
    <t>Papeete</t>
  </si>
  <si>
    <t>Gabon</t>
  </si>
  <si>
    <t>Libreville</t>
  </si>
  <si>
    <t>Gambia</t>
  </si>
  <si>
    <t>Banjul</t>
  </si>
  <si>
    <t>Georgia</t>
  </si>
  <si>
    <t>Tbilisi</t>
  </si>
  <si>
    <t>Arabian</t>
  </si>
  <si>
    <t>Germany</t>
  </si>
  <si>
    <t>Berlin</t>
  </si>
  <si>
    <t>Ghana</t>
  </si>
  <si>
    <t>Accra</t>
  </si>
  <si>
    <t>Gibraltar</t>
  </si>
  <si>
    <t>Gibraltar</t>
  </si>
  <si>
    <t>Greece</t>
  </si>
  <si>
    <t>Athens</t>
  </si>
  <si>
    <t>Argentine</t>
  </si>
  <si>
    <t>argentine</t>
  </si>
  <si>
    <t>Greenland</t>
  </si>
  <si>
    <t>Nuuk (Godthåb)</t>
  </si>
  <si>
    <t>Grenada</t>
  </si>
  <si>
    <t>St. George's</t>
  </si>
  <si>
    <t>Guadeloupe</t>
  </si>
  <si>
    <t>Argentine</t>
  </si>
  <si>
    <t>Basse-Terre</t>
  </si>
  <si>
    <t>Guam</t>
  </si>
  <si>
    <t>Hagåtña</t>
  </si>
  <si>
    <t>Guatemala</t>
  </si>
  <si>
    <t>New Guatemala</t>
  </si>
  <si>
    <t>Base</t>
  </si>
  <si>
    <t>Guernsey</t>
  </si>
  <si>
    <t>St Peter Port</t>
  </si>
  <si>
    <t>Guinea</t>
  </si>
  <si>
    <t>rating</t>
  </si>
  <si>
    <t>Conakry</t>
  </si>
  <si>
    <t>Armenian</t>
  </si>
  <si>
    <t>armenian</t>
  </si>
  <si>
    <t>Guinea-Bissau</t>
  </si>
  <si>
    <t>Bissau</t>
  </si>
  <si>
    <t>cuisine</t>
  </si>
  <si>
    <t>Guyana</t>
  </si>
  <si>
    <t>Georgetown</t>
  </si>
  <si>
    <t>Haiti</t>
  </si>
  <si>
    <t>Port-au-Prince</t>
  </si>
  <si>
    <t>comments</t>
  </si>
  <si>
    <t>Honduras</t>
  </si>
  <si>
    <t>Pacific</t>
  </si>
  <si>
    <t>Tegucigalpa</t>
  </si>
  <si>
    <t>Hong Kong</t>
  </si>
  <si>
    <t>Hong Kong</t>
  </si>
  <si>
    <t>distance</t>
  </si>
  <si>
    <t>Hungary</t>
  </si>
  <si>
    <t>Budapest</t>
  </si>
  <si>
    <t>Iceland</t>
  </si>
  <si>
    <t>Reykjavík</t>
  </si>
  <si>
    <t>Armenian</t>
  </si>
  <si>
    <t>price</t>
  </si>
  <si>
    <t>India</t>
  </si>
  <si>
    <t>New Delhi</t>
  </si>
  <si>
    <t>Indonesia</t>
  </si>
  <si>
    <t>Jakarta</t>
  </si>
  <si>
    <t>Iran</t>
  </si>
  <si>
    <t>Tehran</t>
  </si>
  <si>
    <t>User statistics</t>
  </si>
  <si>
    <t>Iraq</t>
  </si>
  <si>
    <t>Baghdad</t>
  </si>
  <si>
    <t>Ireland</t>
  </si>
  <si>
    <t>Dublin</t>
  </si>
  <si>
    <t>Ave. rating</t>
  </si>
  <si>
    <t>Isle of Man</t>
  </si>
  <si>
    <t>Douglas</t>
  </si>
  <si>
    <t>Israel</t>
  </si>
  <si>
    <t>Jerusalem</t>
  </si>
  <si>
    <t>Italy</t>
  </si>
  <si>
    <t>Rome</t>
  </si>
  <si>
    <t>Ivory Coast</t>
  </si>
  <si>
    <t>Yamoussoukro</t>
  </si>
  <si>
    <t>Asian Fusion</t>
  </si>
  <si>
    <t>asian_fusion</t>
  </si>
  <si>
    <t>Jamaica</t>
  </si>
  <si>
    <t>Asian_Fusion</t>
  </si>
  <si>
    <t>Kingston</t>
  </si>
  <si>
    <t>Ave. price</t>
  </si>
  <si>
    <t>Japan</t>
  </si>
  <si>
    <t>Edo</t>
  </si>
  <si>
    <t>Jersey</t>
  </si>
  <si>
    <t>Saint Helier</t>
  </si>
  <si>
    <t>Jordan</t>
  </si>
  <si>
    <t>Amman</t>
  </si>
  <si>
    <t>Kazakhstan</t>
  </si>
  <si>
    <t>Astana</t>
  </si>
  <si>
    <t>Kenya</t>
  </si>
  <si>
    <t>Nairobi</t>
  </si>
  <si>
    <t>Kiribati</t>
  </si>
  <si>
    <t>South Tarawa</t>
  </si>
  <si>
    <t>Kosovo</t>
  </si>
  <si>
    <t>Pristina</t>
  </si>
  <si>
    <t>Kuwait</t>
  </si>
  <si>
    <t>Kuwait City</t>
  </si>
  <si>
    <t>Kyrgyzstan</t>
  </si>
  <si>
    <t>Bishkek</t>
  </si>
  <si>
    <t>Australian</t>
  </si>
  <si>
    <t>Laos</t>
  </si>
  <si>
    <t>Vientiane</t>
  </si>
  <si>
    <t>australian</t>
  </si>
  <si>
    <t>Latvia</t>
  </si>
  <si>
    <t>Riga</t>
  </si>
  <si>
    <t>Lebanon</t>
  </si>
  <si>
    <t>Beirut</t>
  </si>
  <si>
    <t>Lesotho</t>
  </si>
  <si>
    <t>Maseru</t>
  </si>
  <si>
    <t>Liberia</t>
  </si>
  <si>
    <t>Monrovia</t>
  </si>
  <si>
    <t>Australian</t>
  </si>
  <si>
    <t>Libya</t>
  </si>
  <si>
    <t>Tripoli</t>
  </si>
  <si>
    <t>Liechtenstein</t>
  </si>
  <si>
    <t>Vaduz</t>
  </si>
  <si>
    <t>Lithuania</t>
  </si>
  <si>
    <t>Vilnius</t>
  </si>
  <si>
    <t>Luxembourg</t>
  </si>
  <si>
    <t>Luxembourg</t>
  </si>
  <si>
    <t>Macao</t>
  </si>
  <si>
    <t>Macao</t>
  </si>
  <si>
    <t>Macedonia</t>
  </si>
  <si>
    <t>Skopje</t>
  </si>
  <si>
    <t>Madagascar</t>
  </si>
  <si>
    <t>Antananarivo</t>
  </si>
  <si>
    <t>Malawi</t>
  </si>
  <si>
    <t>Austrian</t>
  </si>
  <si>
    <t>Lilongwe</t>
  </si>
  <si>
    <t>Austrian</t>
  </si>
  <si>
    <t>austrian</t>
  </si>
  <si>
    <t>Malaysia</t>
  </si>
  <si>
    <t>Kuala Lumpur</t>
  </si>
  <si>
    <t>Maldives</t>
  </si>
  <si>
    <t>American_(New)</t>
  </si>
  <si>
    <t>Malé</t>
  </si>
  <si>
    <t>Mali</t>
  </si>
  <si>
    <t>Bamako</t>
  </si>
  <si>
    <t>Malta</t>
  </si>
  <si>
    <t>Valletta</t>
  </si>
  <si>
    <t>Marshall Islands</t>
  </si>
  <si>
    <t>Majuro</t>
  </si>
  <si>
    <t>Martinique</t>
  </si>
  <si>
    <t>Fort-de-France</t>
  </si>
  <si>
    <t>Mauritania</t>
  </si>
  <si>
    <t>Nouakchott</t>
  </si>
  <si>
    <t>Bangladeshi</t>
  </si>
  <si>
    <t>Mauritius</t>
  </si>
  <si>
    <t>Port Louis</t>
  </si>
  <si>
    <t>Mayotte</t>
  </si>
  <si>
    <t>Mamoutzou</t>
  </si>
  <si>
    <t>Mexico</t>
  </si>
  <si>
    <t>Mexico City</t>
  </si>
  <si>
    <t>Micronesia</t>
  </si>
  <si>
    <t>Palikir</t>
  </si>
  <si>
    <t>Moldova</t>
  </si>
  <si>
    <t>Chişinău</t>
  </si>
  <si>
    <t>Monaco</t>
  </si>
  <si>
    <t>Monaco</t>
  </si>
  <si>
    <t>Mongolia</t>
  </si>
  <si>
    <t>Ulan Bator</t>
  </si>
  <si>
    <t>Montenegro</t>
  </si>
  <si>
    <t>Podgorica</t>
  </si>
  <si>
    <t>Montserrat</t>
  </si>
  <si>
    <t>Plymouth</t>
  </si>
  <si>
    <t>Morocco</t>
  </si>
  <si>
    <t>Rabat</t>
  </si>
  <si>
    <t>Fast_Food</t>
  </si>
  <si>
    <t>Mozambique</t>
  </si>
  <si>
    <t>Maputo</t>
  </si>
  <si>
    <t>Myanmar</t>
  </si>
  <si>
    <t>Nay Pyi Taw</t>
  </si>
  <si>
    <t>Bangladeshi</t>
  </si>
  <si>
    <t>Namibia</t>
  </si>
  <si>
    <t>Windhoek</t>
  </si>
  <si>
    <t>bangladeshi</t>
  </si>
  <si>
    <t>Nauru</t>
  </si>
  <si>
    <t>Yaren</t>
  </si>
  <si>
    <t>Nepal</t>
  </si>
  <si>
    <t>Kathmandu</t>
  </si>
  <si>
    <t>Netherlands</t>
  </si>
  <si>
    <t>Amsterdam</t>
  </si>
  <si>
    <t>Netherlands Antilles</t>
  </si>
  <si>
    <t>Willemstad</t>
  </si>
  <si>
    <t>New Caledonia</t>
  </si>
  <si>
    <t>Noumea</t>
  </si>
  <si>
    <t>Spain</t>
  </si>
  <si>
    <t>New Zealand</t>
  </si>
  <si>
    <t>Wellington</t>
  </si>
  <si>
    <t>Nicaragua</t>
  </si>
  <si>
    <t>Managua</t>
  </si>
  <si>
    <t>Niger</t>
  </si>
  <si>
    <t>Niamey</t>
  </si>
  <si>
    <t>Nigeria</t>
  </si>
  <si>
    <t>Abuja</t>
  </si>
  <si>
    <t>Niue</t>
  </si>
  <si>
    <t>Alofi</t>
  </si>
  <si>
    <t>Norfolk Island</t>
  </si>
  <si>
    <t>Kingston</t>
  </si>
  <si>
    <t>North Korea</t>
  </si>
  <si>
    <t>Pyongyang</t>
  </si>
  <si>
    <t>Northern Mariana Islands</t>
  </si>
  <si>
    <t>Saipan</t>
  </si>
  <si>
    <t>Basque</t>
  </si>
  <si>
    <t>Norway</t>
  </si>
  <si>
    <t>Oslo</t>
  </si>
  <si>
    <t>Oman</t>
  </si>
  <si>
    <t>Muscat</t>
  </si>
  <si>
    <t>Pakistan</t>
  </si>
  <si>
    <t>Islamabad</t>
  </si>
  <si>
    <t>Barbeque</t>
  </si>
  <si>
    <t>bbq</t>
  </si>
  <si>
    <t>Palau</t>
  </si>
  <si>
    <t>Melekeok</t>
  </si>
  <si>
    <t>Palestinian Territory</t>
  </si>
  <si>
    <t>East Jerusalem</t>
  </si>
  <si>
    <t>Fast_Food</t>
  </si>
  <si>
    <t>Panama</t>
  </si>
  <si>
    <t>Panama City</t>
  </si>
  <si>
    <t>Low-end</t>
  </si>
  <si>
    <t>Papua New Guinea</t>
  </si>
  <si>
    <t>Port Moresby</t>
  </si>
  <si>
    <t>Paraguay</t>
  </si>
  <si>
    <t>Asunción</t>
  </si>
  <si>
    <t>Peru</t>
  </si>
  <si>
    <t>Lima</t>
  </si>
  <si>
    <t>Philippines</t>
  </si>
  <si>
    <t>Manila</t>
  </si>
  <si>
    <t>Pitcairn</t>
  </si>
  <si>
    <t>Adamstown</t>
  </si>
  <si>
    <t>Belgian</t>
  </si>
  <si>
    <t>Poland</t>
  </si>
  <si>
    <t>Warsaw</t>
  </si>
  <si>
    <t>Portugal</t>
  </si>
  <si>
    <t>Lisbon</t>
  </si>
  <si>
    <t>Puerto Rico</t>
  </si>
  <si>
    <t>San Juan</t>
  </si>
  <si>
    <t>Qatar</t>
  </si>
  <si>
    <t>Doha</t>
  </si>
  <si>
    <t>American_(Traditional)</t>
  </si>
  <si>
    <t>Republic of the Congo</t>
  </si>
  <si>
    <t>Brazzaville</t>
  </si>
  <si>
    <t>Reunion</t>
  </si>
  <si>
    <t>Saint-Denis</t>
  </si>
  <si>
    <t>Romania</t>
  </si>
  <si>
    <t>Bucharest</t>
  </si>
  <si>
    <t>Russia</t>
  </si>
  <si>
    <t>Moscow</t>
  </si>
  <si>
    <t>Rwanda</t>
  </si>
  <si>
    <t>Kigali</t>
  </si>
  <si>
    <t>Basque</t>
  </si>
  <si>
    <t>Saint Barthélemy</t>
  </si>
  <si>
    <t>Gustavia</t>
  </si>
  <si>
    <t>Saint Helena</t>
  </si>
  <si>
    <t>Jamestown</t>
  </si>
  <si>
    <t>basque</t>
  </si>
  <si>
    <t>Saint Kitts and Nevis</t>
  </si>
  <si>
    <t>Basseterre</t>
  </si>
  <si>
    <t>Brazilian</t>
  </si>
  <si>
    <t>Saint Lucia</t>
  </si>
  <si>
    <t>Castries</t>
  </si>
  <si>
    <t>Saint Martin</t>
  </si>
  <si>
    <t>Marigot</t>
  </si>
  <si>
    <t>Saint Pierre and Miquelon</t>
  </si>
  <si>
    <t>Saint-Pierre</t>
  </si>
  <si>
    <t>Saint Vincent and the Grenadines</t>
  </si>
  <si>
    <t>Kingstown</t>
  </si>
  <si>
    <t>Samoa</t>
  </si>
  <si>
    <t>Apia</t>
  </si>
  <si>
    <t>San Marino</t>
  </si>
  <si>
    <t>San Marino</t>
  </si>
  <si>
    <t>Sao Tome and Principe</t>
  </si>
  <si>
    <t>São Tomé</t>
  </si>
  <si>
    <t>Saudi Arabia</t>
  </si>
  <si>
    <t>Riyadh</t>
  </si>
  <si>
    <t>Senegal</t>
  </si>
  <si>
    <t>Dakar</t>
  </si>
  <si>
    <t>Serbia</t>
  </si>
  <si>
    <t>Belgrade</t>
  </si>
  <si>
    <t>Seychelles</t>
  </si>
  <si>
    <t>Victoria</t>
  </si>
  <si>
    <t>Sierra Leone</t>
  </si>
  <si>
    <t>Freetown</t>
  </si>
  <si>
    <t>Singapore</t>
  </si>
  <si>
    <t>Singapore</t>
  </si>
  <si>
    <t>Slovakia</t>
  </si>
  <si>
    <t>Bratislava</t>
  </si>
  <si>
    <t>Slovenia</t>
  </si>
  <si>
    <t>Ljubljana</t>
  </si>
  <si>
    <t>Solomon Islands</t>
  </si>
  <si>
    <t>Honiara</t>
  </si>
  <si>
    <t>Somalia</t>
  </si>
  <si>
    <t>Mogadishu</t>
  </si>
  <si>
    <t>South Africa</t>
  </si>
  <si>
    <t>Pretoria</t>
  </si>
  <si>
    <t>South Georgia and the South Sandwich Islands</t>
  </si>
  <si>
    <t>Grytviken</t>
  </si>
  <si>
    <t>South Korea</t>
  </si>
  <si>
    <t>Seoul</t>
  </si>
  <si>
    <t>Breakfast_&amp;_Brunch</t>
  </si>
  <si>
    <t>Spain</t>
  </si>
  <si>
    <t>Madrid</t>
  </si>
  <si>
    <t>Sri Lanka</t>
  </si>
  <si>
    <t>Colombo</t>
  </si>
  <si>
    <t>Sudan</t>
  </si>
  <si>
    <t>Khartoum</t>
  </si>
  <si>
    <t>Suriname</t>
  </si>
  <si>
    <t>Paramaribo</t>
  </si>
  <si>
    <t>Svalbard and Jan Mayen</t>
  </si>
  <si>
    <t>Longyearbyen</t>
  </si>
  <si>
    <t>Swaziland</t>
  </si>
  <si>
    <t>Mbabane</t>
  </si>
  <si>
    <t>Sweden</t>
  </si>
  <si>
    <t>Stockholm</t>
  </si>
  <si>
    <t>Switzerland</t>
  </si>
  <si>
    <t>Berne</t>
  </si>
  <si>
    <t>Syria</t>
  </si>
  <si>
    <t>Damascus</t>
  </si>
  <si>
    <t>Belgian</t>
  </si>
  <si>
    <t>belgian</t>
  </si>
  <si>
    <t>Taiwan</t>
  </si>
  <si>
    <t>Taipei</t>
  </si>
  <si>
    <t>Tajikistan</t>
  </si>
  <si>
    <t>Dushanbe</t>
  </si>
  <si>
    <t>Tanzania</t>
  </si>
  <si>
    <t>Dodoma</t>
  </si>
  <si>
    <t>Thailand</t>
  </si>
  <si>
    <t>Bangkok</t>
  </si>
  <si>
    <t>Togo</t>
  </si>
  <si>
    <t>Lomé</t>
  </si>
  <si>
    <t>Tokelau</t>
  </si>
  <si>
    <t>Nukunonu</t>
  </si>
  <si>
    <t>Tonga</t>
  </si>
  <si>
    <t>British</t>
  </si>
  <si>
    <t>Nuku'alofa</t>
  </si>
  <si>
    <t>Brasseries</t>
  </si>
  <si>
    <t>brasseries</t>
  </si>
  <si>
    <t>Trinidad and Tobago</t>
  </si>
  <si>
    <t>Port of Spain</t>
  </si>
  <si>
    <t>Tunisia</t>
  </si>
  <si>
    <t>Tunis</t>
  </si>
  <si>
    <t>American_(New)</t>
  </si>
  <si>
    <t>Turkey</t>
  </si>
  <si>
    <t>Ankara</t>
  </si>
  <si>
    <t>High-end</t>
  </si>
  <si>
    <t>Turkmenistan</t>
  </si>
  <si>
    <t>Ashkhabad</t>
  </si>
  <si>
    <t>Buffets</t>
  </si>
  <si>
    <t>Turks and Caicos Islands</t>
  </si>
  <si>
    <t>Cockburn Town</t>
  </si>
  <si>
    <t>Tuvalu</t>
  </si>
  <si>
    <t>Funafuti</t>
  </si>
  <si>
    <t>U.S. Virgin Islands</t>
  </si>
  <si>
    <t>Charlotte Amalie</t>
  </si>
  <si>
    <t>Uganda</t>
  </si>
  <si>
    <t>Kampala</t>
  </si>
  <si>
    <t>Ukraine</t>
  </si>
  <si>
    <t>Kiev</t>
  </si>
  <si>
    <t>United Arab Emirates</t>
  </si>
  <si>
    <t>Abu Dhabi</t>
  </si>
  <si>
    <t>United Kingdom</t>
  </si>
  <si>
    <t>London</t>
  </si>
  <si>
    <t>United States</t>
  </si>
  <si>
    <t>Washington</t>
  </si>
  <si>
    <t>Uruguay</t>
  </si>
  <si>
    <t>Montevideo</t>
  </si>
  <si>
    <t>Uzbekistan</t>
  </si>
  <si>
    <t>Tashkent</t>
  </si>
  <si>
    <t>Vanuatu</t>
  </si>
  <si>
    <t>Port Vila</t>
  </si>
  <si>
    <t>Brazilian</t>
  </si>
  <si>
    <t>brazilian</t>
  </si>
  <si>
    <t>Vatican</t>
  </si>
  <si>
    <t>Vatican</t>
  </si>
  <si>
    <t>Venezuela</t>
  </si>
  <si>
    <t>Caracas</t>
  </si>
  <si>
    <t>Vietnam</t>
  </si>
  <si>
    <t>Hanoi</t>
  </si>
  <si>
    <t>Burmese</t>
  </si>
  <si>
    <t>Wallis and Futuna</t>
  </si>
  <si>
    <t>Mata-Utu</t>
  </si>
  <si>
    <t>Western Sahara</t>
  </si>
  <si>
    <t>El Aaiún</t>
  </si>
  <si>
    <t>Yemen</t>
  </si>
  <si>
    <t>Sanaa</t>
  </si>
  <si>
    <t>Zambia</t>
  </si>
  <si>
    <t>Lusaka</t>
  </si>
  <si>
    <t>Zimbabwe</t>
  </si>
  <si>
    <t>Harare</t>
  </si>
  <si>
    <t>Arabian</t>
  </si>
  <si>
    <t>Breakfast &amp; Brunch</t>
  </si>
  <si>
    <t>breakfast_brunch</t>
  </si>
  <si>
    <t>Cafes</t>
  </si>
  <si>
    <t>Lunch</t>
  </si>
  <si>
    <t>Southern</t>
  </si>
  <si>
    <t>British</t>
  </si>
  <si>
    <t>british</t>
  </si>
  <si>
    <t>Cambodian</t>
  </si>
  <si>
    <t>Simple</t>
  </si>
  <si>
    <t>Buffets</t>
  </si>
  <si>
    <t>buffets</t>
  </si>
  <si>
    <t>Catalan</t>
  </si>
  <si>
    <t>Argentine</t>
  </si>
  <si>
    <t>Chinese</t>
  </si>
  <si>
    <t>Burgers</t>
  </si>
  <si>
    <t>burgers</t>
  </si>
  <si>
    <t>Fast_Food</t>
  </si>
  <si>
    <t>Southern Asia</t>
  </si>
  <si>
    <t>Comfort_Food</t>
  </si>
  <si>
    <t>Cuban</t>
  </si>
  <si>
    <t>Burmese</t>
  </si>
  <si>
    <t>burmese</t>
  </si>
  <si>
    <t>Czech</t>
  </si>
  <si>
    <t>Ethiopian</t>
  </si>
  <si>
    <t>Armenian</t>
  </si>
  <si>
    <t>Cafes</t>
  </si>
  <si>
    <t>cafes</t>
  </si>
  <si>
    <t>Filipino</t>
  </si>
  <si>
    <t>Eastern Asia</t>
  </si>
  <si>
    <t>Fondue</t>
  </si>
  <si>
    <t>Cafeteria</t>
  </si>
  <si>
    <t>cafeteria</t>
  </si>
  <si>
    <t>French</t>
  </si>
  <si>
    <t>Fast_Food</t>
  </si>
  <si>
    <t>German</t>
  </si>
  <si>
    <t>Asian_Fusion</t>
  </si>
  <si>
    <t>Cajun/Creole</t>
  </si>
  <si>
    <t>cajun</t>
  </si>
  <si>
    <t>Gluten-Free</t>
  </si>
  <si>
    <t>Southern</t>
  </si>
  <si>
    <t>Sweets</t>
  </si>
  <si>
    <t>Greek</t>
  </si>
  <si>
    <t>Halal</t>
  </si>
  <si>
    <t>Cambodian</t>
  </si>
  <si>
    <t>cambodian</t>
  </si>
  <si>
    <t>Hawaiian</t>
  </si>
  <si>
    <t>Eastern Europe</t>
  </si>
  <si>
    <t>Himalayan/Nepalese</t>
  </si>
  <si>
    <t>Australian</t>
  </si>
  <si>
    <t>Caribbean</t>
  </si>
  <si>
    <t>caribbean</t>
  </si>
  <si>
    <t>Hot_Pot</t>
  </si>
  <si>
    <t>Northern Affrica</t>
  </si>
  <si>
    <t>Hungarian</t>
  </si>
  <si>
    <t>Spanish</t>
  </si>
  <si>
    <t>Dominican</t>
  </si>
  <si>
    <t>dominican</t>
  </si>
  <si>
    <t>Indian</t>
  </si>
  <si>
    <t>Indonesian</t>
  </si>
  <si>
    <t>Haitian</t>
  </si>
  <si>
    <t>haitian</t>
  </si>
  <si>
    <t>Irish</t>
  </si>
  <si>
    <t>Austrian</t>
  </si>
  <si>
    <t>Puerto Rican</t>
  </si>
  <si>
    <t>puertorican</t>
  </si>
  <si>
    <t>Italian</t>
  </si>
  <si>
    <t>Trinidadian</t>
  </si>
  <si>
    <t>trinidadian</t>
  </si>
  <si>
    <t>Japanese</t>
  </si>
  <si>
    <t>Catalan</t>
  </si>
  <si>
    <t>catalan</t>
  </si>
  <si>
    <t>Korean</t>
  </si>
  <si>
    <t>Cheesesteaks</t>
  </si>
  <si>
    <t>cheesesteaks</t>
  </si>
  <si>
    <t>Fast_Food</t>
  </si>
  <si>
    <t>Kosher</t>
  </si>
  <si>
    <t>Chicken Wings</t>
  </si>
  <si>
    <t>chicken_wings</t>
  </si>
  <si>
    <t>Fast_Food</t>
  </si>
  <si>
    <t>Laotian</t>
  </si>
  <si>
    <t>Chinese</t>
  </si>
  <si>
    <t>chinese</t>
  </si>
  <si>
    <t>Latin_American</t>
  </si>
  <si>
    <t>Bangladeshi</t>
  </si>
  <si>
    <t>Seafood</t>
  </si>
  <si>
    <t>Cantonese</t>
  </si>
  <si>
    <t>cantonese</t>
  </si>
  <si>
    <t>Malaysian</t>
  </si>
  <si>
    <t>Hawaii</t>
  </si>
  <si>
    <t>Oceanatic</t>
  </si>
  <si>
    <t>Mediterranean</t>
  </si>
  <si>
    <t>Dim Sum</t>
  </si>
  <si>
    <t>dimsum</t>
  </si>
  <si>
    <t>Mexican</t>
  </si>
  <si>
    <t>Fast_Food</t>
  </si>
  <si>
    <t>Shanghainese</t>
  </si>
  <si>
    <t>shanghainese</t>
  </si>
  <si>
    <t>Middle_Eastern</t>
  </si>
  <si>
    <t>Szechuan</t>
  </si>
  <si>
    <t>szechuan</t>
  </si>
  <si>
    <t>Mongolian</t>
  </si>
  <si>
    <t>Moroccan</t>
  </si>
  <si>
    <t>Comfort Food</t>
  </si>
  <si>
    <t>comfortfood</t>
  </si>
  <si>
    <t>Pakistani</t>
  </si>
  <si>
    <t>Basque</t>
  </si>
  <si>
    <t>Persian/Iranian</t>
  </si>
  <si>
    <t>Creperies</t>
  </si>
  <si>
    <t>creperies</t>
  </si>
  <si>
    <t>Fast_Food</t>
  </si>
  <si>
    <t>Peruvian</t>
  </si>
  <si>
    <t>Cuban</t>
  </si>
  <si>
    <t>cuban</t>
  </si>
  <si>
    <t>Distance</t>
  </si>
  <si>
    <t>Polish</t>
  </si>
  <si>
    <t>Czech</t>
  </si>
  <si>
    <t>czech</t>
  </si>
  <si>
    <t>Portuguese</t>
  </si>
  <si>
    <t>Russian</t>
  </si>
  <si>
    <t>Delis</t>
  </si>
  <si>
    <t>delis</t>
  </si>
  <si>
    <t>Fast_Food</t>
  </si>
  <si>
    <t>Salad</t>
  </si>
  <si>
    <t>Belgian</t>
  </si>
  <si>
    <t>Diners</t>
  </si>
  <si>
    <t>diners</t>
  </si>
  <si>
    <t>Fast_Food</t>
  </si>
  <si>
    <t>Scandinavian</t>
  </si>
  <si>
    <t>Scottish</t>
  </si>
  <si>
    <t>Ethiopian</t>
  </si>
  <si>
    <t>ethiopian</t>
  </si>
  <si>
    <t>Singaporean</t>
  </si>
  <si>
    <t>Slovakian</t>
  </si>
  <si>
    <t>Fast Food</t>
  </si>
  <si>
    <t>hotdogs</t>
  </si>
  <si>
    <t>Jewish</t>
  </si>
  <si>
    <t>Soul_Food</t>
  </si>
  <si>
    <t>Filipino</t>
  </si>
  <si>
    <t>filipino</t>
  </si>
  <si>
    <t>Steakhouses</t>
  </si>
  <si>
    <t>Fish &amp; Chips</t>
  </si>
  <si>
    <t>fishnchips</t>
  </si>
  <si>
    <t>Fast_Food</t>
  </si>
  <si>
    <t>Taiwanese</t>
  </si>
  <si>
    <t>Fondue</t>
  </si>
  <si>
    <t>fondue</t>
  </si>
  <si>
    <t>Brazilian</t>
  </si>
  <si>
    <t>Tapas_Bars</t>
  </si>
  <si>
    <t>Scandinavian</t>
  </si>
  <si>
    <t>Thai</t>
  </si>
  <si>
    <t>Food Court</t>
  </si>
  <si>
    <t>food_court</t>
  </si>
  <si>
    <t>Turkish</t>
  </si>
  <si>
    <t>Fast_Food</t>
  </si>
  <si>
    <t>Ukrainian</t>
  </si>
  <si>
    <t>Food Stands</t>
  </si>
  <si>
    <t>foodstands</t>
  </si>
  <si>
    <t>Fast_Food</t>
  </si>
  <si>
    <t>Uzbek</t>
  </si>
  <si>
    <t>French</t>
  </si>
  <si>
    <t>french</t>
  </si>
  <si>
    <t>Vegan</t>
  </si>
  <si>
    <t>Gastropubs</t>
  </si>
  <si>
    <t>gastropubs</t>
  </si>
  <si>
    <t>Fast_Food</t>
  </si>
  <si>
    <t>Vegetarian</t>
  </si>
  <si>
    <t>German</t>
  </si>
  <si>
    <t>german</t>
  </si>
  <si>
    <t>Vietnamese</t>
  </si>
  <si>
    <t>Gluten-Free</t>
  </si>
  <si>
    <t>Breakfast_&amp;_Brunch</t>
  </si>
  <si>
    <t>gluten_free</t>
  </si>
  <si>
    <t>Greek</t>
  </si>
  <si>
    <t>greek</t>
  </si>
  <si>
    <t>Halal</t>
  </si>
  <si>
    <t>halal</t>
  </si>
  <si>
    <t>British</t>
  </si>
  <si>
    <t>Hawaiian</t>
  </si>
  <si>
    <t>hawaiian</t>
  </si>
  <si>
    <t>Buffets</t>
  </si>
  <si>
    <t>Himalayan/Nepalese</t>
  </si>
  <si>
    <t>himalayan</t>
  </si>
  <si>
    <t>Burmese</t>
  </si>
  <si>
    <t>Hot Dogs</t>
  </si>
  <si>
    <t>hotdog</t>
  </si>
  <si>
    <t>Fast_Food</t>
  </si>
  <si>
    <t>Hot Pot</t>
  </si>
  <si>
    <t>hotpot</t>
  </si>
  <si>
    <t>East Europe</t>
  </si>
  <si>
    <t>Cafes</t>
  </si>
  <si>
    <t>Hungarian</t>
  </si>
  <si>
    <t>hungarian</t>
  </si>
  <si>
    <t>fast_Food</t>
  </si>
  <si>
    <t>Healthy</t>
  </si>
  <si>
    <t>Iberian</t>
  </si>
  <si>
    <t>iberian</t>
  </si>
  <si>
    <t>Spanish</t>
  </si>
  <si>
    <t>West Europe</t>
  </si>
  <si>
    <t>Indian</t>
  </si>
  <si>
    <t>indpak</t>
  </si>
  <si>
    <t>Indonesian</t>
  </si>
  <si>
    <t>indonesian</t>
  </si>
  <si>
    <t>Irish</t>
  </si>
  <si>
    <t>irish</t>
  </si>
  <si>
    <t>Italian</t>
  </si>
  <si>
    <t>italian</t>
  </si>
  <si>
    <t>Japanese</t>
  </si>
  <si>
    <t>japanese</t>
  </si>
  <si>
    <t>Ramen</t>
  </si>
  <si>
    <t>ramen</t>
  </si>
  <si>
    <t>Southern</t>
  </si>
  <si>
    <t>Teppanyaki</t>
  </si>
  <si>
    <t>teppanyaki</t>
  </si>
  <si>
    <t>South Asia</t>
  </si>
  <si>
    <t>Korean</t>
  </si>
  <si>
    <t>korean</t>
  </si>
  <si>
    <t>Western Asia</t>
  </si>
  <si>
    <t>Turkic</t>
  </si>
  <si>
    <t>Kosher</t>
  </si>
  <si>
    <t>kosher</t>
  </si>
  <si>
    <t>Cambodian</t>
  </si>
  <si>
    <t>Eastern Orthodoxy</t>
  </si>
  <si>
    <t>Laotian</t>
  </si>
  <si>
    <t>laotian</t>
  </si>
  <si>
    <t>Central Asia</t>
  </si>
  <si>
    <t>Latin American</t>
  </si>
  <si>
    <t>latin</t>
  </si>
  <si>
    <t>Catalan</t>
  </si>
  <si>
    <t>Colombian</t>
  </si>
  <si>
    <t>colombian</t>
  </si>
  <si>
    <t>Salvadoran</t>
  </si>
  <si>
    <t>salvadoran</t>
  </si>
  <si>
    <t>Chinese</t>
  </si>
  <si>
    <t>Venezuelan</t>
  </si>
  <si>
    <t>venezuelan</t>
  </si>
  <si>
    <t>Live/Raw Food</t>
  </si>
  <si>
    <t>raw_food</t>
  </si>
  <si>
    <t>Seafood</t>
  </si>
  <si>
    <t>Malaysian</t>
  </si>
  <si>
    <t>malaysian</t>
  </si>
  <si>
    <t>Mediterranean</t>
  </si>
  <si>
    <t>mediterranean</t>
  </si>
  <si>
    <t>Falafel</t>
  </si>
  <si>
    <t>falafel</t>
  </si>
  <si>
    <t>Mexican</t>
  </si>
  <si>
    <t>mexican</t>
  </si>
  <si>
    <t>Comfort_Food</t>
  </si>
  <si>
    <t>Middle Eastern</t>
  </si>
  <si>
    <t>mideastern</t>
  </si>
  <si>
    <t>Egyptian</t>
  </si>
  <si>
    <t>egyptian</t>
  </si>
  <si>
    <t>Lebanese</t>
  </si>
  <si>
    <t>lebanese</t>
  </si>
  <si>
    <t>Modern European</t>
  </si>
  <si>
    <t>modern_european</t>
  </si>
  <si>
    <t>American_(New)</t>
  </si>
  <si>
    <t>Cuban</t>
  </si>
  <si>
    <t>Mongolian</t>
  </si>
  <si>
    <t>mongolian</t>
  </si>
  <si>
    <t>Moroccan</t>
  </si>
  <si>
    <t>moroccan</t>
  </si>
  <si>
    <t>Pakistani</t>
  </si>
  <si>
    <t>pakistani</t>
  </si>
  <si>
    <t>Persian/Iranian</t>
  </si>
  <si>
    <t>persian</t>
  </si>
  <si>
    <t>Czech</t>
  </si>
  <si>
    <t>Peruvian</t>
  </si>
  <si>
    <t>peruvian</t>
  </si>
  <si>
    <t>Pizza</t>
  </si>
  <si>
    <t>pizza</t>
  </si>
  <si>
    <t>Fast_Food</t>
  </si>
  <si>
    <t>Polish</t>
  </si>
  <si>
    <t>polish</t>
  </si>
  <si>
    <t>Portuguese</t>
  </si>
  <si>
    <t>portuguese</t>
  </si>
  <si>
    <t>Russian</t>
  </si>
  <si>
    <t>russian</t>
  </si>
  <si>
    <t>Salad</t>
  </si>
  <si>
    <t>salad</t>
  </si>
  <si>
    <t>Sandwiches</t>
  </si>
  <si>
    <t>sandwiches</t>
  </si>
  <si>
    <t>fast_Food</t>
  </si>
  <si>
    <t>Scandinavian</t>
  </si>
  <si>
    <t>scandinavian</t>
  </si>
  <si>
    <t>Scottish</t>
  </si>
  <si>
    <t>scottish</t>
  </si>
  <si>
    <t>Seafood</t>
  </si>
  <si>
    <t>seafood</t>
  </si>
  <si>
    <t>Singaporean</t>
  </si>
  <si>
    <t>singaporean</t>
  </si>
  <si>
    <t>Slovakian</t>
  </si>
  <si>
    <t>Ethiopian</t>
  </si>
  <si>
    <t>slovakian</t>
  </si>
  <si>
    <t>Soul Food</t>
  </si>
  <si>
    <t>soulfood</t>
  </si>
  <si>
    <t>Soup</t>
  </si>
  <si>
    <t>soup</t>
  </si>
  <si>
    <t>Fast_Food</t>
  </si>
  <si>
    <t>Southern</t>
  </si>
  <si>
    <t>southern</t>
  </si>
  <si>
    <t>Spanish</t>
  </si>
  <si>
    <t>spanish</t>
  </si>
  <si>
    <t>Steakhouses</t>
  </si>
  <si>
    <t>steak</t>
  </si>
  <si>
    <t>Sushi Bars</t>
  </si>
  <si>
    <t>sushi</t>
  </si>
  <si>
    <t>Japanese</t>
  </si>
  <si>
    <t>Taiwanese</t>
  </si>
  <si>
    <t>taiwanese</t>
  </si>
  <si>
    <t>Tapas Bars</t>
  </si>
  <si>
    <t>tapas</t>
  </si>
  <si>
    <t>Tapas/Small Plates</t>
  </si>
  <si>
    <t>tapasmallplates</t>
  </si>
  <si>
    <t>Tapas_Bars</t>
  </si>
  <si>
    <t>Tex-Mex</t>
  </si>
  <si>
    <t>tex-mex</t>
  </si>
  <si>
    <t>Southern</t>
  </si>
  <si>
    <t>Thai</t>
  </si>
  <si>
    <t>thai</t>
  </si>
  <si>
    <t>Turkish</t>
  </si>
  <si>
    <t>Filipino</t>
  </si>
  <si>
    <t>turkish</t>
  </si>
  <si>
    <t>Ukrainian</t>
  </si>
  <si>
    <t>ukrainian</t>
  </si>
  <si>
    <t>Uzbek</t>
  </si>
  <si>
    <t>uzbek</t>
  </si>
  <si>
    <t>Vegan</t>
  </si>
  <si>
    <t>vegan</t>
  </si>
  <si>
    <t>Vegetarian</t>
  </si>
  <si>
    <t>vegetarian</t>
  </si>
  <si>
    <t>Vietnamese</t>
  </si>
  <si>
    <t>vietnamese</t>
  </si>
  <si>
    <t>Fondue</t>
  </si>
  <si>
    <t>French</t>
  </si>
  <si>
    <t>German</t>
  </si>
  <si>
    <t>Gluten-Free</t>
  </si>
  <si>
    <t>Greek</t>
  </si>
  <si>
    <t>Halal</t>
  </si>
  <si>
    <t>Hawaiian</t>
  </si>
  <si>
    <t>Himalayan/Nepalese</t>
  </si>
  <si>
    <t>Hot_Pot</t>
  </si>
  <si>
    <t>Hungarian</t>
  </si>
  <si>
    <t>Spanish</t>
  </si>
  <si>
    <t>Indian</t>
  </si>
  <si>
    <t>Indonesian</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</si>
  <si>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</si>
  <si>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</si>
  <si>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</si>
  <si>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</si>
  <si>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</si>
  <si>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</si>
  <si>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</si>
  <si>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</si>
  <si>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</si>
  <si>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</si>
  <si>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</si>
  <si>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</si>
  <si>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</si>
  <si>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</si>
  <si>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</si>
  <si>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</si>
  <si>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</si>
  <si>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</si>
  <si>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</si>
  <si>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</si>
  <si>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</si>
  <si>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</si>
  <si>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</si>
  <si>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</si>
  <si>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</si>
  <si>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</si>
  <si>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</si>
  <si>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</si>
  <si>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</si>
  <si>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</si>
  <si>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</si>
  <si>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</si>
  <si>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</si>
  <si>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</si>
  <si>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</si>
  <si>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</si>
  <si>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Mean</t>
  </si>
  <si>
    <t>Std</t>
  </si>
  <si>
    <t>Middle East</t>
  </si>
  <si>
    <t>Asia</t>
  </si>
  <si>
    <t>Ethnic</t>
  </si>
  <si>
    <t>Eruope</t>
  </si>
  <si>
    <t>Northern Europe</t>
  </si>
  <si>
    <t>Ethic</t>
  </si>
  <si>
    <t>Islam</t>
  </si>
  <si>
    <t>Group</t>
  </si>
  <si>
    <t>Enthic</t>
  </si>
  <si>
    <t>Latin America</t>
  </si>
  <si>
    <t>Dinner</t>
  </si>
  <si>
    <t>Appetizer</t>
  </si>
  <si>
    <t>Happy hour</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</si>
</sst>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0"/>
      <name val="Arial"/>
    </font>
    <font>
      <sz val="10"/>
      <name val="Arial"/>
    </font>
    <font>
      <sz val="11"/>
      <name val="Arial"/>
    </font>
    <font>
      <b/>
      <sz val="10"/>
      <name val="Arial"/>
    </font>
    <font>
      <b/>
      <sz val="10"/>
      <color rgb="FFFFFFFF"/>
      <name val="Arial"/>
    </font>
    <font>
      <sz val="10"/>
      <name val="Arial"/>
    </font>
    <font>
      <sz val="10"/>
      <color rgb="FFFF0000"/>
      <name val="Arial"/>
    </font>
    <font>
      <b/>
      <i/>
      <sz val="10"/>
      <name val="Arial"/>
    </font>
    <font>
      <b/>
      <i/>
      <sz val="10"/>
      <color rgb="FFFF0000"/>
      <name val="Arial"/>
    </font>
    <font>
      <b/>
      <sz val="10"/>
      <name val="Arial"/>
      <family val="2"/>
    </font>
    <font>
      <sz val="11"/>
      <name val="Arial"/>
      <family val="2"/>
    </font>
    <font>
      <sz val="10"/>
      <name val="Arial"/>
      <family val="2"/>
    </font>
  </fonts>
  <fills count="9">
    <fill>
      <patternFill patternType="none"/>
    </fill>
    <fill>
      <patternFill patternType="gray125"/>
    </fill>
    <fill>
      <patternFill patternType="solid">
        <fgColor rgb="FFC9DAF8"/>
        <bgColor rgb="FFC9DAF8"/>
      </patternFill>
    </fill>
    <fill>
      <patternFill patternType="solid">
        <fgColor rgb="FF00FF00"/>
        <bgColor rgb="FF00FF00"/>
      </patternFill>
    </fill>
    <fill>
      <patternFill patternType="solid">
        <fgColor rgb="FFCFE2F3"/>
        <bgColor rgb="FFCFE2F3"/>
      </patternFill>
    </fill>
    <fill>
      <patternFill patternType="solid">
        <fgColor rgb="FFFFB300"/>
        <bgColor rgb="FFFFB300"/>
      </patternFill>
    </fill>
    <fill>
      <patternFill patternType="solid">
        <fgColor rgb="FFEEEEFF"/>
        <bgColor rgb="FFEEEEFF"/>
      </patternFill>
    </fill>
    <fill>
      <patternFill patternType="solid">
        <fgColor rgb="FFD9EAD3"/>
        <bgColor rgb="FFD9EAD3"/>
      </patternFill>
    </fill>
    <fill>
      <patternFill patternType="solid">
        <fgColor rgb="FFFFFFFF"/>
        <bgColor indexed="64"/>
      </patternFill>
    </fill>
  </fills>
  <borders count="4">
    <border>
      <left/>
      <right/>
      <top/>
      <bottom/>
      <diagonal/>
    </border>
    <border>
      <left/>
      <right/>
      <top/>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4">
    <xf numFmtId="0" fontId="0" fillId="0" borderId="0" xfId="0"/>
    <xf numFmtId="0" fontId="1" fillId="0" borderId="1" xfId="0" applyFont="1" applyBorder="1" applyAlignment="1"/>
    <xf numFmtId="4" fontId="1" fillId="2" borderId="1" xfId="0" applyNumberFormat="1" applyFont="1" applyFill="1" applyBorder="1" applyAlignment="1"/>
    <xf numFmtId="10" fontId="2" fillId="0" borderId="1" xfId="0" applyNumberFormat="1" applyFont="1" applyBorder="1" applyAlignment="1"/>
    <xf numFmtId="0" fontId="3" fillId="3" borderId="1" xfId="0" applyFont="1" applyFill="1" applyBorder="1" applyAlignment="1"/>
    <xf numFmtId="0" fontId="1" fillId="0" borderId="1" xfId="0" applyFont="1" applyBorder="1" applyAlignment="1"/>
    <xf numFmtId="10" fontId="3" fillId="2" borderId="1" xfId="0" applyNumberFormat="1" applyFont="1" applyFill="1" applyBorder="1" applyAlignment="1"/>
    <xf numFmtId="0" fontId="3" fillId="2" borderId="1" xfId="0" applyFont="1" applyFill="1" applyBorder="1" applyAlignment="1"/>
    <xf numFmtId="0" fontId="3" fillId="0" borderId="1" xfId="0" applyFont="1" applyBorder="1" applyAlignment="1"/>
    <xf numFmtId="0" fontId="3" fillId="0" borderId="1" xfId="0" applyFont="1" applyBorder="1" applyAlignment="1"/>
    <xf numFmtId="4" fontId="1" fillId="0" borderId="1" xfId="0" applyNumberFormat="1" applyFont="1" applyBorder="1"/>
    <xf numFmtId="10" fontId="1" fillId="0" borderId="1" xfId="0" applyNumberFormat="1" applyFont="1" applyBorder="1" applyAlignment="1"/>
    <xf numFmtId="0" fontId="3" fillId="0" borderId="1" xfId="0" applyFont="1" applyBorder="1"/>
    <xf numFmtId="0" fontId="3" fillId="4" borderId="1" xfId="0" applyFont="1" applyFill="1" applyBorder="1" applyAlignment="1"/>
    <xf numFmtId="0" fontId="1" fillId="0" borderId="1" xfId="0" applyFont="1" applyBorder="1" applyAlignment="1"/>
    <xf numFmtId="0" fontId="2" fillId="0" borderId="1" xfId="0" applyFont="1" applyBorder="1" applyAlignment="1"/>
    <xf numFmtId="0" fontId="4" fillId="5" borderId="1" xfId="0" applyFont="1" applyFill="1" applyBorder="1" applyAlignment="1">
      <alignment horizontal="left"/>
    </xf>
    <xf numFmtId="0" fontId="5" fillId="6" borderId="1" xfId="0" applyFont="1" applyFill="1" applyBorder="1" applyAlignment="1"/>
    <xf numFmtId="10" fontId="1" fillId="0" borderId="1" xfId="0" applyNumberFormat="1" applyFont="1" applyBorder="1" applyAlignment="1"/>
    <xf numFmtId="0" fontId="5" fillId="6" borderId="1" xfId="0" applyFont="1" applyFill="1" applyBorder="1" applyAlignment="1">
      <alignment horizontal="right"/>
    </xf>
    <xf numFmtId="10" fontId="1" fillId="7" borderId="1" xfId="0" applyNumberFormat="1" applyFont="1" applyFill="1" applyBorder="1"/>
    <xf numFmtId="14" fontId="1" fillId="0" borderId="1" xfId="0" applyNumberFormat="1" applyFont="1" applyBorder="1" applyAlignment="1"/>
    <xf numFmtId="0" fontId="2" fillId="4" borderId="1" xfId="0" applyFont="1" applyFill="1" applyBorder="1" applyAlignment="1"/>
    <xf numFmtId="10" fontId="2" fillId="0" borderId="1" xfId="0" applyNumberFormat="1" applyFont="1" applyBorder="1" applyAlignment="1"/>
    <xf numFmtId="0" fontId="6" fillId="0" borderId="1" xfId="0" applyFont="1" applyBorder="1" applyAlignment="1"/>
    <xf numFmtId="10" fontId="1" fillId="0" borderId="1" xfId="0" applyNumberFormat="1" applyFont="1" applyBorder="1"/>
    <xf numFmtId="0" fontId="7" fillId="0" borderId="1" xfId="0" applyFont="1" applyBorder="1" applyAlignment="1"/>
    <xf numFmtId="0" fontId="8" fillId="0" borderId="1" xfId="0" applyFont="1" applyBorder="1" applyAlignment="1"/>
    <xf numFmtId="0" fontId="1" fillId="0" borderId="2" xfId="0" applyFont="1" applyBorder="1"/>
    <xf numFmtId="0" fontId="5" fillId="0" borderId="1" xfId="0" applyFont="1" applyBorder="1"/>
    <xf numFmtId="0" fontId="2" fillId="4" borderId="1" xfId="0" applyFont="1" applyFill="1" applyBorder="1" applyAlignment="1"/>
    <xf numFmtId="0" fontId="6" fillId="0" borderId="1" xfId="0" applyFont="1" applyBorder="1"/>
    <xf numFmtId="10" fontId="1" fillId="0" borderId="2" xfId="0" applyNumberFormat="1" applyFont="1" applyBorder="1"/>
    <xf numFmtId="1" fontId="2" fillId="0" borderId="1" xfId="0" applyNumberFormat="1" applyFont="1" applyBorder="1" applyAlignment="1"/>
    <xf numFmtId="1" fontId="0" fillId="0" borderId="0" xfId="0" applyNumberFormat="1"/>
    <xf numFmtId="1" fontId="2" fillId="4" borderId="1" xfId="0" applyNumberFormat="1" applyFont="1" applyFill="1" applyBorder="1" applyAlignment="1"/>
    <xf numFmtId="0" fontId="9" fillId="0" borderId="0" xfId="0" applyFont="1"/>
    <xf numFmtId="0" fontId="11" fillId="0" borderId="3" xfId="0" applyFont="1" applyBorder="1" applyAlignment="1">
      <alignment wrapText="1"/>
    </xf>
    <xf numFmtId="0" fontId="11" fillId="0" borderId="3" xfId="0" applyFont="1" applyBorder="1" applyAlignment="1">
      <alignment vertical="center" wrapText="1"/>
    </xf>
    <xf numFmtId="0" fontId="9" fillId="0" borderId="3" xfId="0" applyFont="1" applyBorder="1" applyAlignment="1">
      <alignment wrapText="1"/>
    </xf>
    <xf numFmtId="0" fontId="10" fillId="8" borderId="3" xfId="0" applyFont="1" applyFill="1" applyBorder="1" applyAlignment="1">
      <alignment horizontal="right" wrapText="1"/>
    </xf>
    <xf numFmtId="0" fontId="11" fillId="8" borderId="3" xfId="0" applyFont="1" applyFill="1" applyBorder="1" applyAlignment="1">
      <alignment horizontal="right" wrapText="1"/>
    </xf>
    <xf numFmtId="0" fontId="11" fillId="0" borderId="3" xfId="0" applyFont="1" applyBorder="1" applyAlignment="1">
      <alignment horizontal="right" wrapText="1"/>
    </xf>
    <xf numFmtId="0" fontId="11" fillId="8" borderId="3" xfId="0" applyFont="1" applyFill="1" applyBorder="1" applyAlignment="1">
      <alignment horizontal="left" wrapText="1"/>
    </xf>
  </cellXfs>
  <cellStyles count="1">
    <cellStyle name="Normal" xfId="0" builtinId="0"/>
  </cellStyles>
  <dxfs count="18">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A4C2F4"/>
          <bgColor rgb="FFA4C2F4"/>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66675</xdr:colOff>
      <xdr:row>48</xdr:row>
      <xdr:rowOff>114300</xdr:rowOff>
    </xdr:to>
    <xdr:sp macro="" textlink="">
      <xdr:nvSpPr>
        <xdr:cNvPr id="1027" name="Rectangle 3"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04"/>
  <sheetViews>
    <sheetView workbookViewId="0"/>
  </sheetViews>
  <sheetFormatPr defaultColWidth="14.42578125" defaultRowHeight="15.75" customHeight="1" x14ac:dyDescent="0.2"/>
  <cols>
    <col min="1" max="1" width="13.42578125" customWidth="1"/>
    <col min="2" max="2" width="5.85546875" customWidth="1"/>
    <col min="3" max="3" width="22.7109375" customWidth="1"/>
    <col min="4" max="4" width="6.28515625" customWidth="1"/>
    <col min="5" max="5" width="10" customWidth="1"/>
    <col min="6" max="6" width="8.28515625" customWidth="1"/>
    <col min="7" max="7" width="5.28515625" customWidth="1"/>
    <col min="8" max="8" width="5.42578125" customWidth="1"/>
    <col min="12" max="12" width="15.140625" customWidth="1"/>
  </cols>
  <sheetData>
    <row r="1" spans="1:15" ht="15.75" customHeight="1" x14ac:dyDescent="0.2">
      <c r="A1" s="1" t="s">
        <v>0</v>
      </c>
      <c r="B1" s="1" t="s">
        <v>3</v>
      </c>
      <c r="C1" s="1" t="s">
        <v>6</v>
      </c>
      <c r="D1" s="1" t="s">
        <v>8</v>
      </c>
      <c r="E1" s="1" t="s">
        <v>10</v>
      </c>
      <c r="F1" s="1" t="s">
        <v>12</v>
      </c>
      <c r="G1" s="1" t="s">
        <v>14</v>
      </c>
      <c r="H1" s="1" t="s">
        <v>16</v>
      </c>
      <c r="I1" s="1"/>
      <c r="J1" s="2" t="s">
        <v>17</v>
      </c>
      <c r="K1" s="2" t="s">
        <v>22</v>
      </c>
      <c r="L1" s="2" t="s">
        <v>23</v>
      </c>
      <c r="M1" s="2" t="s">
        <v>24</v>
      </c>
      <c r="N1" s="2" t="s">
        <v>25</v>
      </c>
      <c r="O1" s="2" t="s">
        <v>26</v>
      </c>
    </row>
    <row r="2" spans="1:15" ht="15.75" customHeight="1" x14ac:dyDescent="0.2">
      <c r="A2" s="1" t="s">
        <v>27</v>
      </c>
      <c r="B2" s="1" t="s">
        <v>28</v>
      </c>
      <c r="C2" s="1" t="s">
        <v>29</v>
      </c>
      <c r="D2" s="1">
        <v>3.5</v>
      </c>
      <c r="E2" s="1">
        <v>20</v>
      </c>
      <c r="F2" s="1">
        <v>50</v>
      </c>
      <c r="G2" s="1">
        <v>2</v>
      </c>
      <c r="H2" s="1" t="s">
        <v>30</v>
      </c>
      <c r="J2" s="10">
        <f>$B$16*(0.5+VLOOKUP(C2,Preference!A:D,4,0))</f>
        <v>17.005804219220899</v>
      </c>
      <c r="K2" s="10">
        <f t="shared" ref="K2:K6" si="0">(D2-2)/3*$B$15</f>
        <v>15</v>
      </c>
      <c r="L2" s="10">
        <f t="shared" ref="L2:L6" si="1">IF(E2&gt;$E$12,LOG(E2,$E$12),E2/$E$12)*$B$17</f>
        <v>5.0505050505050511</v>
      </c>
      <c r="M2" s="10">
        <f t="shared" ref="M2:M6" si="2">(EXP(1-F2/400))*$B$18/2.718</f>
        <v>17.651768167528317</v>
      </c>
      <c r="N2" s="10">
        <f t="shared" ref="N2:N6" si="3">IF(G2&lt;$B$23,$B$19,$B$19/(1+(G2-$B$23)*2))</f>
        <v>10</v>
      </c>
      <c r="O2" s="10">
        <f t="shared" ref="O2:O6" si="4">SUM(J2:N2)*(H2="YES")</f>
        <v>64.708077437254275</v>
      </c>
    </row>
    <row r="3" spans="1:15" ht="15.75" customHeight="1" x14ac:dyDescent="0.2">
      <c r="A3" s="1" t="s">
        <v>90</v>
      </c>
      <c r="B3" s="1" t="s">
        <v>91</v>
      </c>
      <c r="C3" s="5" t="s">
        <v>92</v>
      </c>
      <c r="D3" s="1">
        <v>4</v>
      </c>
      <c r="E3" s="1">
        <v>14</v>
      </c>
      <c r="F3" s="1">
        <v>200</v>
      </c>
      <c r="G3" s="1">
        <v>3</v>
      </c>
      <c r="H3" s="1" t="s">
        <v>95</v>
      </c>
      <c r="J3" s="10">
        <f>$B$16*(0.5+VLOOKUP(C3,Preference!A:D,4,0))</f>
        <v>16.00122781560442</v>
      </c>
      <c r="K3" s="10">
        <f t="shared" si="0"/>
        <v>20</v>
      </c>
      <c r="L3" s="10">
        <f t="shared" si="1"/>
        <v>3.5353535353535355</v>
      </c>
      <c r="M3" s="10">
        <f t="shared" si="2"/>
        <v>12.131871013245977</v>
      </c>
      <c r="N3" s="10">
        <f t="shared" si="3"/>
        <v>4.545454545454545</v>
      </c>
      <c r="O3" s="10">
        <f t="shared" si="4"/>
        <v>56.213906909658483</v>
      </c>
    </row>
    <row r="4" spans="1:15" ht="15.75" customHeight="1" x14ac:dyDescent="0.2">
      <c r="A4" s="1" t="s">
        <v>134</v>
      </c>
      <c r="B4" s="1" t="s">
        <v>135</v>
      </c>
      <c r="C4" s="1" t="s">
        <v>136</v>
      </c>
      <c r="D4" s="1">
        <v>4.5</v>
      </c>
      <c r="E4" s="1">
        <v>56</v>
      </c>
      <c r="F4" s="1">
        <v>100</v>
      </c>
      <c r="G4" s="1">
        <v>4</v>
      </c>
      <c r="H4" s="1" t="s">
        <v>137</v>
      </c>
      <c r="J4" s="10">
        <f>$B$16*(0.5+VLOOKUP(C4,Preference!A:D,4,0))</f>
        <v>16.326040852773748</v>
      </c>
      <c r="K4" s="10">
        <f t="shared" si="0"/>
        <v>25</v>
      </c>
      <c r="L4" s="10">
        <f t="shared" si="1"/>
        <v>10.941937125469343</v>
      </c>
      <c r="M4" s="10">
        <f t="shared" si="2"/>
        <v>15.577630732985098</v>
      </c>
      <c r="N4" s="10">
        <f t="shared" si="3"/>
        <v>2.3809523809523809</v>
      </c>
      <c r="O4" s="10">
        <f t="shared" si="4"/>
        <v>70.22656109218056</v>
      </c>
    </row>
    <row r="5" spans="1:15" ht="15.75" customHeight="1" x14ac:dyDescent="0.2">
      <c r="A5" s="1" t="s">
        <v>142</v>
      </c>
      <c r="B5" s="1" t="s">
        <v>143</v>
      </c>
      <c r="C5" s="1" t="s">
        <v>144</v>
      </c>
      <c r="D5" s="1">
        <v>4</v>
      </c>
      <c r="E5" s="1">
        <v>70</v>
      </c>
      <c r="F5" s="1">
        <v>300</v>
      </c>
      <c r="G5" s="1">
        <v>2</v>
      </c>
      <c r="H5" s="1" t="s">
        <v>145</v>
      </c>
      <c r="J5" s="10">
        <f>$B$16*(0.5+VLOOKUP(C5,Preference!A:D,4,0))</f>
        <v>17.005804219220899</v>
      </c>
      <c r="K5" s="10">
        <f t="shared" si="0"/>
        <v>20</v>
      </c>
      <c r="L5" s="10">
        <f t="shared" si="1"/>
        <v>11.548498463713086</v>
      </c>
      <c r="M5" s="10">
        <f t="shared" si="2"/>
        <v>9.4483106452372443</v>
      </c>
      <c r="N5" s="10">
        <f t="shared" si="3"/>
        <v>10</v>
      </c>
      <c r="O5" s="10">
        <f t="shared" si="4"/>
        <v>68.002613328171236</v>
      </c>
    </row>
    <row r="6" spans="1:15" ht="15.75" customHeight="1" x14ac:dyDescent="0.2">
      <c r="A6" s="1" t="s">
        <v>154</v>
      </c>
      <c r="B6" s="1" t="s">
        <v>156</v>
      </c>
      <c r="C6" s="1" t="s">
        <v>157</v>
      </c>
      <c r="D6" s="1">
        <v>3.5</v>
      </c>
      <c r="E6" s="1">
        <v>38</v>
      </c>
      <c r="F6" s="1">
        <v>100</v>
      </c>
      <c r="G6" s="1">
        <v>2</v>
      </c>
      <c r="H6" s="1" t="s">
        <v>159</v>
      </c>
      <c r="J6" s="10">
        <f>$B$16*(0.5+VLOOKUP(C6,Preference!A:D,4,0))</f>
        <v>16.141868512110726</v>
      </c>
      <c r="K6" s="10">
        <f t="shared" si="0"/>
        <v>15</v>
      </c>
      <c r="L6" s="10">
        <f t="shared" si="1"/>
        <v>9.5959595959595951</v>
      </c>
      <c r="M6" s="10">
        <f t="shared" si="2"/>
        <v>15.577630732985098</v>
      </c>
      <c r="N6" s="10">
        <f t="shared" si="3"/>
        <v>10</v>
      </c>
      <c r="O6" s="10">
        <f t="shared" si="4"/>
        <v>66.315458841055417</v>
      </c>
    </row>
    <row r="7" spans="1:15" ht="15.75" customHeight="1" x14ac:dyDescent="0.2">
      <c r="J7" s="10"/>
      <c r="K7" s="10"/>
      <c r="L7" s="10"/>
      <c r="M7" s="10"/>
      <c r="N7" s="10"/>
      <c r="O7" s="10"/>
    </row>
    <row r="8" spans="1:15" ht="15.75" customHeight="1" x14ac:dyDescent="0.2">
      <c r="J8" s="10"/>
      <c r="K8" s="10"/>
      <c r="L8" s="10"/>
      <c r="M8" s="10"/>
      <c r="N8" s="10"/>
      <c r="O8" s="10"/>
    </row>
    <row r="9" spans="1:15" ht="15.75" customHeight="1" x14ac:dyDescent="0.2">
      <c r="J9" s="10"/>
      <c r="K9" s="10"/>
      <c r="L9" s="10"/>
      <c r="M9" s="10"/>
      <c r="N9" s="10"/>
      <c r="O9" s="10"/>
    </row>
    <row r="10" spans="1:15" ht="15.75" customHeight="1" x14ac:dyDescent="0.2">
      <c r="J10" s="10"/>
      <c r="K10" s="10"/>
      <c r="L10" s="10"/>
      <c r="M10" s="10"/>
      <c r="N10" s="10"/>
      <c r="O10" s="10"/>
    </row>
    <row r="11" spans="1:15" ht="15.75" customHeight="1" x14ac:dyDescent="0.2">
      <c r="J11" s="10"/>
      <c r="K11" s="10"/>
      <c r="L11" s="10"/>
      <c r="M11" s="10"/>
      <c r="N11" s="10"/>
      <c r="O11" s="10"/>
    </row>
    <row r="12" spans="1:15" ht="15.75" customHeight="1" x14ac:dyDescent="0.2">
      <c r="A12" s="28"/>
      <c r="B12" s="28"/>
      <c r="C12" s="28"/>
      <c r="D12" s="28">
        <f t="shared" ref="D12:G12" si="5">AVERAGE(D2:D11)</f>
        <v>3.9</v>
      </c>
      <c r="E12" s="28">
        <f t="shared" si="5"/>
        <v>39.6</v>
      </c>
      <c r="F12" s="28">
        <f t="shared" si="5"/>
        <v>150</v>
      </c>
      <c r="G12" s="28">
        <f t="shared" si="5"/>
        <v>2.6</v>
      </c>
      <c r="H12" s="28"/>
      <c r="J12" s="10"/>
      <c r="K12" s="10"/>
      <c r="L12" s="10"/>
      <c r="M12" s="10"/>
      <c r="N12" s="10"/>
      <c r="O12" s="10"/>
    </row>
    <row r="13" spans="1:15" ht="15.75" customHeight="1" x14ac:dyDescent="0.2">
      <c r="J13" s="10"/>
      <c r="K13" s="10"/>
      <c r="L13" s="10"/>
      <c r="M13" s="10"/>
      <c r="N13" s="10"/>
      <c r="O13" s="10"/>
    </row>
    <row r="14" spans="1:15" ht="15.75" customHeight="1" x14ac:dyDescent="0.2">
      <c r="A14" s="9" t="s">
        <v>463</v>
      </c>
      <c r="J14" s="10"/>
      <c r="K14" s="10"/>
      <c r="L14" s="10"/>
      <c r="M14" s="10"/>
      <c r="N14" s="10"/>
      <c r="O14" s="10"/>
    </row>
    <row r="15" spans="1:15" ht="15.75" customHeight="1" x14ac:dyDescent="0.2">
      <c r="A15" s="7" t="s">
        <v>467</v>
      </c>
      <c r="B15" s="1">
        <v>30</v>
      </c>
      <c r="J15" s="10"/>
      <c r="K15" s="10"/>
      <c r="L15" s="10"/>
      <c r="M15" s="10"/>
      <c r="N15" s="10"/>
      <c r="O15" s="10"/>
    </row>
    <row r="16" spans="1:15" ht="15.75" customHeight="1" x14ac:dyDescent="0.2">
      <c r="A16" s="7" t="s">
        <v>473</v>
      </c>
      <c r="B16" s="1">
        <v>30</v>
      </c>
      <c r="J16" s="10"/>
      <c r="K16" s="10"/>
      <c r="L16" s="10"/>
      <c r="M16" s="10"/>
      <c r="N16" s="10"/>
      <c r="O16" s="10"/>
    </row>
    <row r="17" spans="1:15" ht="15.75" customHeight="1" x14ac:dyDescent="0.2">
      <c r="A17" s="7" t="s">
        <v>478</v>
      </c>
      <c r="B17" s="1">
        <v>10</v>
      </c>
      <c r="J17" s="10"/>
      <c r="K17" s="10"/>
      <c r="L17" s="10"/>
      <c r="M17" s="10"/>
      <c r="N17" s="10"/>
      <c r="O17" s="10"/>
    </row>
    <row r="18" spans="1:15" ht="15.75" customHeight="1" x14ac:dyDescent="0.2">
      <c r="A18" s="7" t="s">
        <v>484</v>
      </c>
      <c r="B18" s="1">
        <v>20</v>
      </c>
      <c r="J18" s="10"/>
      <c r="K18" s="10"/>
      <c r="L18" s="10"/>
      <c r="M18" s="10"/>
      <c r="N18" s="10"/>
      <c r="O18" s="10"/>
    </row>
    <row r="19" spans="1:15" ht="15.75" customHeight="1" x14ac:dyDescent="0.2">
      <c r="A19" s="7" t="s">
        <v>490</v>
      </c>
      <c r="B19" s="1">
        <v>10</v>
      </c>
      <c r="J19" s="10"/>
      <c r="K19" s="10"/>
      <c r="L19" s="10"/>
      <c r="M19" s="10"/>
      <c r="N19" s="10"/>
      <c r="O19" s="10"/>
    </row>
    <row r="20" spans="1:15" ht="15.75" customHeight="1" x14ac:dyDescent="0.2">
      <c r="J20" s="10"/>
      <c r="K20" s="10"/>
      <c r="L20" s="10"/>
      <c r="M20" s="10"/>
      <c r="N20" s="10"/>
      <c r="O20" s="10"/>
    </row>
    <row r="21" spans="1:15" ht="15.75" customHeight="1" x14ac:dyDescent="0.2">
      <c r="A21" s="9" t="s">
        <v>497</v>
      </c>
      <c r="J21" s="10"/>
      <c r="K21" s="10"/>
      <c r="L21" s="10"/>
      <c r="M21" s="10"/>
      <c r="N21" s="10"/>
      <c r="O21" s="10"/>
    </row>
    <row r="22" spans="1:15" ht="15.75" customHeight="1" x14ac:dyDescent="0.2">
      <c r="A22" s="1" t="s">
        <v>502</v>
      </c>
      <c r="B22">
        <f>AVERAGE('User data'!H:H)</f>
        <v>3.6</v>
      </c>
      <c r="J22" s="10"/>
      <c r="K22" s="10"/>
      <c r="L22" s="10"/>
      <c r="M22" s="10"/>
      <c r="N22" s="10"/>
      <c r="O22" s="10"/>
    </row>
    <row r="23" spans="1:15" ht="15.75" customHeight="1" x14ac:dyDescent="0.2">
      <c r="A23" s="1" t="s">
        <v>516</v>
      </c>
      <c r="B23">
        <f>AVERAGE('User data'!G:G)</f>
        <v>2.4</v>
      </c>
      <c r="J23" s="10"/>
      <c r="K23" s="10"/>
      <c r="L23" s="10"/>
      <c r="M23" s="10"/>
      <c r="N23" s="10"/>
      <c r="O23" s="10"/>
    </row>
    <row r="24" spans="1:15" ht="15.75" customHeight="1" x14ac:dyDescent="0.2">
      <c r="J24" s="10"/>
      <c r="K24" s="10"/>
      <c r="L24" s="10"/>
      <c r="M24" s="10"/>
      <c r="N24" s="10"/>
      <c r="O24" s="10"/>
    </row>
    <row r="25" spans="1:15" ht="15.75" customHeight="1" x14ac:dyDescent="0.2">
      <c r="J25" s="10"/>
      <c r="K25" s="10"/>
      <c r="L25" s="10"/>
      <c r="M25" s="10"/>
      <c r="N25" s="10"/>
      <c r="O25" s="10"/>
    </row>
    <row r="26" spans="1:15" ht="15.75" customHeight="1" x14ac:dyDescent="0.2">
      <c r="A26" s="1"/>
      <c r="J26" s="10"/>
      <c r="K26" s="10"/>
      <c r="L26" s="10"/>
      <c r="M26" s="10"/>
      <c r="N26" s="10"/>
      <c r="O26" s="10"/>
    </row>
    <row r="27" spans="1:15" ht="15.75" customHeight="1" x14ac:dyDescent="0.2">
      <c r="A27" s="1"/>
      <c r="J27" s="10"/>
      <c r="K27" s="10"/>
      <c r="L27" s="10"/>
      <c r="M27" s="10"/>
      <c r="N27" s="10"/>
      <c r="O27" s="10"/>
    </row>
    <row r="28" spans="1:15" ht="15.75" customHeight="1" x14ac:dyDescent="0.2">
      <c r="A28" s="1"/>
      <c r="J28" s="10"/>
      <c r="K28" s="10"/>
      <c r="L28" s="10"/>
      <c r="M28" s="10"/>
      <c r="N28" s="10"/>
      <c r="O28" s="10"/>
    </row>
    <row r="29" spans="1:15" ht="15.75" customHeight="1" x14ac:dyDescent="0.2">
      <c r="A29" s="1"/>
      <c r="J29" s="10"/>
      <c r="K29" s="10"/>
      <c r="L29" s="10"/>
      <c r="M29" s="10"/>
      <c r="N29" s="10"/>
      <c r="O29" s="10"/>
    </row>
    <row r="30" spans="1:15" ht="15.75" customHeight="1" x14ac:dyDescent="0.2">
      <c r="A30" s="1"/>
      <c r="J30" s="10"/>
      <c r="K30" s="10"/>
      <c r="L30" s="10"/>
      <c r="M30" s="10"/>
      <c r="N30" s="10"/>
      <c r="O30" s="10"/>
    </row>
    <row r="31" spans="1:15" ht="15.75" customHeight="1" x14ac:dyDescent="0.2">
      <c r="A31" s="1"/>
      <c r="J31" s="10"/>
      <c r="K31" s="10"/>
      <c r="L31" s="10"/>
      <c r="M31" s="10"/>
      <c r="N31" s="10"/>
      <c r="O31" s="10"/>
    </row>
    <row r="32" spans="1:15" ht="15.75" customHeight="1" x14ac:dyDescent="0.2">
      <c r="A32" s="1"/>
      <c r="J32" s="10"/>
      <c r="K32" s="10"/>
      <c r="L32" s="10"/>
      <c r="M32" s="10"/>
      <c r="N32" s="10"/>
      <c r="O32" s="10"/>
    </row>
    <row r="33" spans="1:15" ht="15.75" customHeight="1" x14ac:dyDescent="0.2">
      <c r="A33" s="1"/>
      <c r="J33" s="10"/>
      <c r="K33" s="10"/>
      <c r="L33" s="10"/>
      <c r="M33" s="10"/>
      <c r="N33" s="10"/>
      <c r="O33" s="10"/>
    </row>
    <row r="34" spans="1:15" ht="15.75" customHeight="1" x14ac:dyDescent="0.2">
      <c r="J34" s="10"/>
      <c r="K34" s="10"/>
      <c r="L34" s="10"/>
      <c r="M34" s="10"/>
      <c r="N34" s="10"/>
      <c r="O34" s="10"/>
    </row>
    <row r="35" spans="1:15" ht="15.75" customHeight="1" x14ac:dyDescent="0.2">
      <c r="J35" s="10"/>
      <c r="K35" s="10"/>
      <c r="L35" s="10"/>
      <c r="M35" s="10"/>
      <c r="N35" s="10"/>
      <c r="O35" s="10"/>
    </row>
    <row r="36" spans="1:15" ht="15.75" customHeight="1" x14ac:dyDescent="0.2">
      <c r="J36" s="10"/>
      <c r="K36" s="10"/>
      <c r="L36" s="10"/>
      <c r="M36" s="10"/>
      <c r="N36" s="10"/>
      <c r="O36" s="10"/>
    </row>
    <row r="37" spans="1:15" ht="15.75" customHeight="1" x14ac:dyDescent="0.2">
      <c r="J37" s="10"/>
      <c r="K37" s="10"/>
      <c r="L37" s="10"/>
      <c r="M37" s="10"/>
      <c r="N37" s="10"/>
      <c r="O37" s="10"/>
    </row>
    <row r="38" spans="1:15" ht="15.75" customHeight="1" x14ac:dyDescent="0.2">
      <c r="J38" s="10"/>
      <c r="K38" s="10"/>
      <c r="L38" s="10"/>
      <c r="M38" s="10"/>
      <c r="N38" s="10"/>
      <c r="O38" s="10"/>
    </row>
    <row r="39" spans="1:15" ht="15.75" customHeight="1" x14ac:dyDescent="0.2">
      <c r="J39" s="10"/>
      <c r="K39" s="10"/>
      <c r="L39" s="10"/>
      <c r="M39" s="10"/>
      <c r="N39" s="10"/>
      <c r="O39" s="10"/>
    </row>
    <row r="40" spans="1:15" ht="15.75" customHeight="1" x14ac:dyDescent="0.2">
      <c r="J40" s="10"/>
      <c r="K40" s="10"/>
      <c r="L40" s="10"/>
      <c r="M40" s="10"/>
      <c r="N40" s="10"/>
      <c r="O40" s="10"/>
    </row>
    <row r="41" spans="1:15" ht="15.75" customHeight="1" x14ac:dyDescent="0.2">
      <c r="J41" s="10"/>
      <c r="K41" s="10"/>
      <c r="L41" s="10"/>
      <c r="M41" s="10"/>
      <c r="N41" s="10"/>
      <c r="O41" s="10"/>
    </row>
    <row r="42" spans="1:15" ht="15.75" customHeight="1" x14ac:dyDescent="0.2">
      <c r="J42" s="10"/>
      <c r="K42" s="10"/>
      <c r="L42" s="10"/>
      <c r="M42" s="10"/>
      <c r="N42" s="10"/>
      <c r="O42" s="10"/>
    </row>
    <row r="43" spans="1:15" ht="15.75" customHeight="1" x14ac:dyDescent="0.2">
      <c r="J43" s="10"/>
      <c r="K43" s="10"/>
      <c r="L43" s="10"/>
      <c r="M43" s="10"/>
      <c r="N43" s="10"/>
      <c r="O43" s="10"/>
    </row>
    <row r="44" spans="1:15" ht="12.75" x14ac:dyDescent="0.2">
      <c r="J44" s="10"/>
      <c r="K44" s="10"/>
      <c r="L44" s="10"/>
      <c r="M44" s="10"/>
      <c r="N44" s="10"/>
      <c r="O44" s="10"/>
    </row>
    <row r="45" spans="1:15" ht="12.75" x14ac:dyDescent="0.2">
      <c r="J45" s="10"/>
      <c r="K45" s="10"/>
      <c r="L45" s="10"/>
      <c r="M45" s="10"/>
      <c r="N45" s="10"/>
      <c r="O45" s="10"/>
    </row>
    <row r="46" spans="1:15" ht="12.75" x14ac:dyDescent="0.2">
      <c r="J46" s="10"/>
      <c r="K46" s="10"/>
      <c r="L46" s="10"/>
      <c r="M46" s="10"/>
      <c r="N46" s="10"/>
      <c r="O46" s="10"/>
    </row>
    <row r="47" spans="1:15" ht="12.75" x14ac:dyDescent="0.2">
      <c r="J47" s="10"/>
      <c r="K47" s="10"/>
      <c r="L47" s="10"/>
      <c r="M47" s="10"/>
      <c r="N47" s="10"/>
      <c r="O47" s="10"/>
    </row>
    <row r="48" spans="1:15" ht="12.75" x14ac:dyDescent="0.2">
      <c r="J48" s="10"/>
      <c r="K48" s="10"/>
      <c r="L48" s="10"/>
      <c r="M48" s="10"/>
      <c r="N48" s="10"/>
      <c r="O48" s="10"/>
    </row>
    <row r="49" spans="10:15" ht="12.75" x14ac:dyDescent="0.2">
      <c r="J49" s="10"/>
      <c r="K49" s="10"/>
      <c r="L49" s="10"/>
      <c r="M49" s="10"/>
      <c r="N49" s="10"/>
      <c r="O49" s="10"/>
    </row>
    <row r="50" spans="10:15" ht="12.75" x14ac:dyDescent="0.2">
      <c r="J50" s="10"/>
      <c r="K50" s="10"/>
      <c r="L50" s="10"/>
      <c r="M50" s="10"/>
      <c r="N50" s="10"/>
      <c r="O50" s="10"/>
    </row>
    <row r="51" spans="10:15" ht="12.75" x14ac:dyDescent="0.2">
      <c r="J51" s="10"/>
      <c r="K51" s="10"/>
      <c r="L51" s="10"/>
      <c r="M51" s="10"/>
      <c r="N51" s="10"/>
      <c r="O51" s="10"/>
    </row>
    <row r="52" spans="10:15" ht="12.75" x14ac:dyDescent="0.2">
      <c r="J52" s="10"/>
      <c r="K52" s="10"/>
      <c r="L52" s="10"/>
      <c r="M52" s="10"/>
      <c r="N52" s="10"/>
      <c r="O52" s="10"/>
    </row>
    <row r="53" spans="10:15" ht="12.75" x14ac:dyDescent="0.2">
      <c r="J53" s="10"/>
      <c r="K53" s="10"/>
      <c r="L53" s="10"/>
      <c r="M53" s="10"/>
      <c r="N53" s="10"/>
      <c r="O53" s="10"/>
    </row>
    <row r="54" spans="10:15" ht="12.75" x14ac:dyDescent="0.2">
      <c r="J54" s="10"/>
      <c r="K54" s="10"/>
      <c r="L54" s="10"/>
      <c r="M54" s="10"/>
      <c r="N54" s="10"/>
      <c r="O54" s="10"/>
    </row>
    <row r="55" spans="10:15" ht="12.75" x14ac:dyDescent="0.2">
      <c r="J55" s="10"/>
      <c r="K55" s="10"/>
      <c r="L55" s="10"/>
      <c r="M55" s="10"/>
      <c r="N55" s="10"/>
      <c r="O55" s="10"/>
    </row>
    <row r="56" spans="10:15" ht="12.75" x14ac:dyDescent="0.2">
      <c r="J56" s="10"/>
      <c r="K56" s="10"/>
      <c r="L56" s="10"/>
      <c r="M56" s="10"/>
      <c r="N56" s="10"/>
      <c r="O56" s="10"/>
    </row>
    <row r="57" spans="10:15" ht="12.75" x14ac:dyDescent="0.2">
      <c r="J57" s="10"/>
      <c r="K57" s="10"/>
      <c r="L57" s="10"/>
      <c r="M57" s="10"/>
      <c r="N57" s="10"/>
      <c r="O57" s="10"/>
    </row>
    <row r="58" spans="10:15" ht="12.75" x14ac:dyDescent="0.2">
      <c r="J58" s="10"/>
      <c r="K58" s="10"/>
      <c r="L58" s="10"/>
      <c r="M58" s="10"/>
      <c r="N58" s="10"/>
      <c r="O58" s="10"/>
    </row>
    <row r="59" spans="10:15" ht="12.75" x14ac:dyDescent="0.2">
      <c r="J59" s="10"/>
      <c r="K59" s="10"/>
      <c r="L59" s="10"/>
      <c r="M59" s="10"/>
      <c r="N59" s="10"/>
      <c r="O59" s="10"/>
    </row>
    <row r="60" spans="10:15" ht="12.75" x14ac:dyDescent="0.2">
      <c r="J60" s="10"/>
      <c r="K60" s="10"/>
      <c r="L60" s="10"/>
      <c r="M60" s="10"/>
      <c r="N60" s="10"/>
      <c r="O60" s="10"/>
    </row>
    <row r="61" spans="10:15" ht="12.75" x14ac:dyDescent="0.2">
      <c r="J61" s="10"/>
      <c r="K61" s="10"/>
      <c r="L61" s="10"/>
      <c r="M61" s="10"/>
      <c r="N61" s="10"/>
      <c r="O61" s="10"/>
    </row>
    <row r="62" spans="10:15" ht="12.75" x14ac:dyDescent="0.2">
      <c r="J62" s="10"/>
      <c r="K62" s="10"/>
      <c r="L62" s="10"/>
      <c r="M62" s="10"/>
      <c r="N62" s="10"/>
      <c r="O62" s="10"/>
    </row>
    <row r="63" spans="10:15" ht="12.75" x14ac:dyDescent="0.2">
      <c r="J63" s="10"/>
      <c r="K63" s="10"/>
      <c r="L63" s="10"/>
      <c r="M63" s="10"/>
      <c r="N63" s="10"/>
      <c r="O63" s="10"/>
    </row>
    <row r="64" spans="10:15" ht="12.75" x14ac:dyDescent="0.2">
      <c r="J64" s="10"/>
      <c r="K64" s="10"/>
      <c r="L64" s="10"/>
      <c r="M64" s="10"/>
      <c r="N64" s="10"/>
      <c r="O64" s="10"/>
    </row>
    <row r="65" spans="10:15" ht="12.75" x14ac:dyDescent="0.2">
      <c r="J65" s="10"/>
      <c r="K65" s="10"/>
      <c r="L65" s="10"/>
      <c r="M65" s="10"/>
      <c r="N65" s="10"/>
      <c r="O65" s="10"/>
    </row>
    <row r="66" spans="10:15" ht="12.75" x14ac:dyDescent="0.2">
      <c r="J66" s="10"/>
      <c r="K66" s="10"/>
      <c r="L66" s="10"/>
      <c r="M66" s="10"/>
      <c r="N66" s="10"/>
      <c r="O66" s="10"/>
    </row>
    <row r="67" spans="10:15" ht="12.75" x14ac:dyDescent="0.2">
      <c r="J67" s="10"/>
      <c r="K67" s="10"/>
      <c r="L67" s="10"/>
      <c r="M67" s="10"/>
      <c r="N67" s="10"/>
      <c r="O67" s="10"/>
    </row>
    <row r="68" spans="10:15" ht="12.75" x14ac:dyDescent="0.2">
      <c r="J68" s="10"/>
      <c r="K68" s="10"/>
      <c r="L68" s="10"/>
      <c r="M68" s="10"/>
      <c r="N68" s="10"/>
      <c r="O68" s="10"/>
    </row>
    <row r="69" spans="10:15" ht="12.75" x14ac:dyDescent="0.2">
      <c r="J69" s="10"/>
      <c r="K69" s="10"/>
      <c r="L69" s="10"/>
      <c r="M69" s="10"/>
      <c r="N69" s="10"/>
      <c r="O69" s="10"/>
    </row>
    <row r="70" spans="10:15" ht="12.75" x14ac:dyDescent="0.2">
      <c r="J70" s="10"/>
      <c r="K70" s="10"/>
      <c r="L70" s="10"/>
      <c r="M70" s="10"/>
      <c r="N70" s="10"/>
      <c r="O70" s="10"/>
    </row>
    <row r="71" spans="10:15" ht="12.75" x14ac:dyDescent="0.2">
      <c r="J71" s="10"/>
      <c r="K71" s="10"/>
      <c r="L71" s="10"/>
      <c r="M71" s="10"/>
      <c r="N71" s="10"/>
      <c r="O71" s="10"/>
    </row>
    <row r="72" spans="10:15" ht="12.75" x14ac:dyDescent="0.2">
      <c r="J72" s="10"/>
      <c r="K72" s="10"/>
      <c r="L72" s="10"/>
      <c r="M72" s="10"/>
      <c r="N72" s="10"/>
      <c r="O72" s="10"/>
    </row>
    <row r="73" spans="10:15" ht="12.75" x14ac:dyDescent="0.2">
      <c r="J73" s="10"/>
      <c r="K73" s="10"/>
      <c r="L73" s="10"/>
      <c r="M73" s="10"/>
      <c r="N73" s="10"/>
      <c r="O73" s="10"/>
    </row>
    <row r="74" spans="10:15" ht="12.75" x14ac:dyDescent="0.2">
      <c r="J74" s="10"/>
      <c r="K74" s="10"/>
      <c r="L74" s="10"/>
      <c r="M74" s="10"/>
      <c r="N74" s="10"/>
      <c r="O74" s="10"/>
    </row>
    <row r="75" spans="10:15" ht="12.75" x14ac:dyDescent="0.2">
      <c r="J75" s="10"/>
      <c r="K75" s="10"/>
      <c r="L75" s="10"/>
      <c r="M75" s="10"/>
      <c r="N75" s="10"/>
      <c r="O75" s="10"/>
    </row>
    <row r="76" spans="10:15" ht="12.75" x14ac:dyDescent="0.2">
      <c r="J76" s="10"/>
      <c r="K76" s="10"/>
      <c r="L76" s="10"/>
      <c r="M76" s="10"/>
      <c r="N76" s="10"/>
      <c r="O76" s="10"/>
    </row>
    <row r="77" spans="10:15" ht="12.75" x14ac:dyDescent="0.2">
      <c r="J77" s="10"/>
      <c r="K77" s="10"/>
      <c r="L77" s="10"/>
      <c r="M77" s="10"/>
      <c r="N77" s="10"/>
      <c r="O77" s="10"/>
    </row>
    <row r="78" spans="10:15" ht="12.75" x14ac:dyDescent="0.2">
      <c r="J78" s="10"/>
      <c r="K78" s="10"/>
      <c r="L78" s="10"/>
      <c r="M78" s="10"/>
      <c r="N78" s="10"/>
      <c r="O78" s="10"/>
    </row>
    <row r="79" spans="10:15" ht="12.75" x14ac:dyDescent="0.2">
      <c r="J79" s="10"/>
      <c r="K79" s="10"/>
      <c r="L79" s="10"/>
      <c r="M79" s="10"/>
      <c r="N79" s="10"/>
      <c r="O79" s="10"/>
    </row>
    <row r="80" spans="10:15" ht="12.75" x14ac:dyDescent="0.2">
      <c r="J80" s="10"/>
      <c r="K80" s="10"/>
      <c r="L80" s="10"/>
      <c r="M80" s="10"/>
      <c r="N80" s="10"/>
      <c r="O80" s="10"/>
    </row>
    <row r="81" spans="10:15" ht="12.75" x14ac:dyDescent="0.2">
      <c r="J81" s="10"/>
      <c r="K81" s="10"/>
      <c r="L81" s="10"/>
      <c r="M81" s="10"/>
      <c r="N81" s="10"/>
      <c r="O81" s="10"/>
    </row>
    <row r="82" spans="10:15" ht="12.75" x14ac:dyDescent="0.2">
      <c r="J82" s="10"/>
      <c r="K82" s="10"/>
      <c r="L82" s="10"/>
      <c r="M82" s="10"/>
      <c r="N82" s="10"/>
      <c r="O82" s="10"/>
    </row>
    <row r="83" spans="10:15" ht="12.75" x14ac:dyDescent="0.2">
      <c r="J83" s="10"/>
      <c r="K83" s="10"/>
      <c r="L83" s="10"/>
      <c r="M83" s="10"/>
      <c r="N83" s="10"/>
      <c r="O83" s="10"/>
    </row>
    <row r="84" spans="10:15" ht="12.75" x14ac:dyDescent="0.2">
      <c r="J84" s="10"/>
      <c r="K84" s="10"/>
      <c r="L84" s="10"/>
      <c r="M84" s="10"/>
      <c r="N84" s="10"/>
      <c r="O84" s="10"/>
    </row>
    <row r="85" spans="10:15" ht="12.75" x14ac:dyDescent="0.2">
      <c r="J85" s="10"/>
      <c r="K85" s="10"/>
      <c r="L85" s="10"/>
      <c r="M85" s="10"/>
      <c r="N85" s="10"/>
      <c r="O85" s="10"/>
    </row>
    <row r="86" spans="10:15" ht="12.75" x14ac:dyDescent="0.2">
      <c r="J86" s="10"/>
      <c r="K86" s="10"/>
      <c r="L86" s="10"/>
      <c r="M86" s="10"/>
      <c r="N86" s="10"/>
      <c r="O86" s="10"/>
    </row>
    <row r="87" spans="10:15" ht="12.75" x14ac:dyDescent="0.2">
      <c r="J87" s="10"/>
      <c r="K87" s="10"/>
      <c r="L87" s="10"/>
      <c r="M87" s="10"/>
      <c r="N87" s="10"/>
      <c r="O87" s="10"/>
    </row>
    <row r="88" spans="10:15" ht="12.75" x14ac:dyDescent="0.2">
      <c r="J88" s="10"/>
      <c r="K88" s="10"/>
      <c r="L88" s="10"/>
      <c r="M88" s="10"/>
      <c r="N88" s="10"/>
      <c r="O88" s="10"/>
    </row>
    <row r="89" spans="10:15" ht="12.75" x14ac:dyDescent="0.2">
      <c r="J89" s="10"/>
      <c r="K89" s="10"/>
      <c r="L89" s="10"/>
      <c r="M89" s="10"/>
      <c r="N89" s="10"/>
      <c r="O89" s="10"/>
    </row>
    <row r="90" spans="10:15" ht="12.75" x14ac:dyDescent="0.2">
      <c r="J90" s="10"/>
      <c r="K90" s="10"/>
      <c r="L90" s="10"/>
      <c r="M90" s="10"/>
      <c r="N90" s="10"/>
      <c r="O90" s="10"/>
    </row>
    <row r="91" spans="10:15" ht="12.75" x14ac:dyDescent="0.2">
      <c r="J91" s="10"/>
      <c r="K91" s="10"/>
      <c r="L91" s="10"/>
      <c r="M91" s="10"/>
      <c r="N91" s="10"/>
      <c r="O91" s="10"/>
    </row>
    <row r="92" spans="10:15" ht="12.75" x14ac:dyDescent="0.2">
      <c r="J92" s="10"/>
      <c r="K92" s="10"/>
      <c r="L92" s="10"/>
      <c r="M92" s="10"/>
      <c r="N92" s="10"/>
      <c r="O92" s="10"/>
    </row>
    <row r="93" spans="10:15" ht="12.75" x14ac:dyDescent="0.2">
      <c r="J93" s="10"/>
      <c r="K93" s="10"/>
      <c r="L93" s="10"/>
      <c r="M93" s="10"/>
      <c r="N93" s="10"/>
      <c r="O93" s="10"/>
    </row>
    <row r="94" spans="10:15" ht="12.75" x14ac:dyDescent="0.2">
      <c r="J94" s="10"/>
      <c r="K94" s="10"/>
      <c r="L94" s="10"/>
      <c r="M94" s="10"/>
      <c r="N94" s="10"/>
      <c r="O94" s="10"/>
    </row>
    <row r="95" spans="10:15" ht="12.75" x14ac:dyDescent="0.2">
      <c r="J95" s="10"/>
      <c r="K95" s="10"/>
      <c r="L95" s="10"/>
      <c r="M95" s="10"/>
      <c r="N95" s="10"/>
      <c r="O95" s="10"/>
    </row>
    <row r="96" spans="10:15" ht="12.75" x14ac:dyDescent="0.2">
      <c r="J96" s="10"/>
      <c r="K96" s="10"/>
      <c r="L96" s="10"/>
      <c r="M96" s="10"/>
      <c r="N96" s="10"/>
      <c r="O96" s="10"/>
    </row>
    <row r="97" spans="10:15" ht="12.75" x14ac:dyDescent="0.2">
      <c r="J97" s="10"/>
      <c r="K97" s="10"/>
      <c r="L97" s="10"/>
      <c r="M97" s="10"/>
      <c r="N97" s="10"/>
      <c r="O97" s="10"/>
    </row>
    <row r="98" spans="10:15" ht="12.75" x14ac:dyDescent="0.2">
      <c r="J98" s="10"/>
      <c r="K98" s="10"/>
      <c r="L98" s="10"/>
      <c r="M98" s="10"/>
      <c r="N98" s="10"/>
      <c r="O98" s="10"/>
    </row>
    <row r="99" spans="10:15" ht="12.75" x14ac:dyDescent="0.2">
      <c r="J99" s="10"/>
      <c r="K99" s="10"/>
      <c r="L99" s="10"/>
      <c r="M99" s="10"/>
      <c r="N99" s="10"/>
      <c r="O99" s="10"/>
    </row>
    <row r="100" spans="10:15" ht="12.75" x14ac:dyDescent="0.2">
      <c r="J100" s="10"/>
      <c r="K100" s="10"/>
      <c r="L100" s="10"/>
      <c r="M100" s="10"/>
      <c r="N100" s="10"/>
      <c r="O100" s="10"/>
    </row>
    <row r="101" spans="10:15" ht="12.75" x14ac:dyDescent="0.2">
      <c r="J101" s="10"/>
      <c r="K101" s="10"/>
      <c r="L101" s="10"/>
      <c r="M101" s="10"/>
      <c r="N101" s="10"/>
      <c r="O101" s="10"/>
    </row>
    <row r="102" spans="10:15" ht="12.75" x14ac:dyDescent="0.2">
      <c r="J102" s="10"/>
      <c r="K102" s="10"/>
      <c r="L102" s="10"/>
      <c r="M102" s="10"/>
      <c r="N102" s="10"/>
      <c r="O102" s="10"/>
    </row>
    <row r="103" spans="10:15" ht="12.75" x14ac:dyDescent="0.2">
      <c r="J103" s="10"/>
      <c r="K103" s="10"/>
      <c r="L103" s="10"/>
      <c r="M103" s="10"/>
      <c r="N103" s="10"/>
      <c r="O103" s="10"/>
    </row>
    <row r="104" spans="10:15" ht="12.75" x14ac:dyDescent="0.2">
      <c r="J104" s="10"/>
      <c r="K104" s="10"/>
      <c r="L104" s="10"/>
      <c r="M104" s="10"/>
      <c r="N104" s="10"/>
      <c r="O104" s="10"/>
    </row>
    <row r="105" spans="10:15" ht="12.75" x14ac:dyDescent="0.2">
      <c r="J105" s="10"/>
      <c r="K105" s="10"/>
      <c r="L105" s="10"/>
      <c r="M105" s="10"/>
      <c r="N105" s="10"/>
      <c r="O105" s="10"/>
    </row>
    <row r="106" spans="10:15" ht="12.75" x14ac:dyDescent="0.2">
      <c r="J106" s="10"/>
      <c r="K106" s="10"/>
      <c r="L106" s="10"/>
      <c r="M106" s="10"/>
      <c r="N106" s="10"/>
      <c r="O106" s="10"/>
    </row>
    <row r="107" spans="10:15" ht="12.75" x14ac:dyDescent="0.2">
      <c r="J107" s="10"/>
      <c r="K107" s="10"/>
      <c r="L107" s="10"/>
      <c r="M107" s="10"/>
      <c r="N107" s="10"/>
      <c r="O107" s="10"/>
    </row>
    <row r="108" spans="10:15" ht="12.75" x14ac:dyDescent="0.2">
      <c r="J108" s="10"/>
      <c r="K108" s="10"/>
      <c r="L108" s="10"/>
      <c r="M108" s="10"/>
      <c r="N108" s="10"/>
      <c r="O108" s="10"/>
    </row>
    <row r="109" spans="10:15" ht="12.75" x14ac:dyDescent="0.2">
      <c r="J109" s="10"/>
      <c r="K109" s="10"/>
      <c r="L109" s="10"/>
      <c r="M109" s="10"/>
      <c r="N109" s="10"/>
      <c r="O109" s="10"/>
    </row>
    <row r="110" spans="10:15" ht="12.75" x14ac:dyDescent="0.2">
      <c r="J110" s="10"/>
      <c r="K110" s="10"/>
      <c r="L110" s="10"/>
      <c r="M110" s="10"/>
      <c r="N110" s="10"/>
      <c r="O110" s="10"/>
    </row>
    <row r="111" spans="10:15" ht="12.75" x14ac:dyDescent="0.2">
      <c r="J111" s="10"/>
      <c r="K111" s="10"/>
      <c r="L111" s="10"/>
      <c r="M111" s="10"/>
      <c r="N111" s="10"/>
      <c r="O111" s="10"/>
    </row>
    <row r="112" spans="10:15" ht="12.75" x14ac:dyDescent="0.2">
      <c r="J112" s="10"/>
      <c r="K112" s="10"/>
      <c r="L112" s="10"/>
      <c r="M112" s="10"/>
      <c r="N112" s="10"/>
      <c r="O112" s="10"/>
    </row>
    <row r="113" spans="10:15" ht="12.75" x14ac:dyDescent="0.2">
      <c r="J113" s="10"/>
      <c r="K113" s="10"/>
      <c r="L113" s="10"/>
      <c r="M113" s="10"/>
      <c r="N113" s="10"/>
      <c r="O113" s="10"/>
    </row>
    <row r="114" spans="10:15" ht="12.75" x14ac:dyDescent="0.2">
      <c r="J114" s="10"/>
      <c r="K114" s="10"/>
      <c r="L114" s="10"/>
      <c r="M114" s="10"/>
      <c r="N114" s="10"/>
      <c r="O114" s="10"/>
    </row>
    <row r="115" spans="10:15" ht="12.75" x14ac:dyDescent="0.2">
      <c r="J115" s="10"/>
      <c r="K115" s="10"/>
      <c r="L115" s="10"/>
      <c r="M115" s="10"/>
      <c r="N115" s="10"/>
      <c r="O115" s="10"/>
    </row>
    <row r="116" spans="10:15" ht="12.75" x14ac:dyDescent="0.2">
      <c r="J116" s="10"/>
      <c r="K116" s="10"/>
      <c r="L116" s="10"/>
      <c r="M116" s="10"/>
      <c r="N116" s="10"/>
      <c r="O116" s="10"/>
    </row>
    <row r="117" spans="10:15" ht="12.75" x14ac:dyDescent="0.2">
      <c r="J117" s="10"/>
      <c r="K117" s="10"/>
      <c r="L117" s="10"/>
      <c r="M117" s="10"/>
      <c r="N117" s="10"/>
      <c r="O117" s="10"/>
    </row>
    <row r="118" spans="10:15" ht="12.75" x14ac:dyDescent="0.2">
      <c r="J118" s="10"/>
      <c r="K118" s="10"/>
      <c r="L118" s="10"/>
      <c r="M118" s="10"/>
      <c r="N118" s="10"/>
      <c r="O118" s="10"/>
    </row>
    <row r="119" spans="10:15" ht="12.75" x14ac:dyDescent="0.2">
      <c r="J119" s="10"/>
      <c r="K119" s="10"/>
      <c r="L119" s="10"/>
      <c r="M119" s="10"/>
      <c r="N119" s="10"/>
      <c r="O119" s="10"/>
    </row>
    <row r="120" spans="10:15" ht="12.75" x14ac:dyDescent="0.2">
      <c r="J120" s="10"/>
      <c r="K120" s="10"/>
      <c r="L120" s="10"/>
      <c r="M120" s="10"/>
      <c r="N120" s="10"/>
      <c r="O120" s="10"/>
    </row>
    <row r="121" spans="10:15" ht="12.75" x14ac:dyDescent="0.2">
      <c r="J121" s="10"/>
      <c r="K121" s="10"/>
      <c r="L121" s="10"/>
      <c r="M121" s="10"/>
      <c r="N121" s="10"/>
      <c r="O121" s="10"/>
    </row>
    <row r="122" spans="10:15" ht="12.75" x14ac:dyDescent="0.2">
      <c r="J122" s="10"/>
      <c r="K122" s="10"/>
      <c r="L122" s="10"/>
      <c r="M122" s="10"/>
      <c r="N122" s="10"/>
      <c r="O122" s="10"/>
    </row>
    <row r="123" spans="10:15" ht="12.75" x14ac:dyDescent="0.2">
      <c r="J123" s="10"/>
      <c r="K123" s="10"/>
      <c r="L123" s="10"/>
      <c r="M123" s="10"/>
      <c r="N123" s="10"/>
      <c r="O123" s="10"/>
    </row>
    <row r="124" spans="10:15" ht="12.75" x14ac:dyDescent="0.2">
      <c r="J124" s="10"/>
      <c r="K124" s="10"/>
      <c r="L124" s="10"/>
      <c r="M124" s="10"/>
      <c r="N124" s="10"/>
      <c r="O124" s="10"/>
    </row>
    <row r="125" spans="10:15" ht="12.75" x14ac:dyDescent="0.2">
      <c r="J125" s="10"/>
      <c r="K125" s="10"/>
      <c r="L125" s="10"/>
      <c r="M125" s="10"/>
      <c r="N125" s="10"/>
      <c r="O125" s="10"/>
    </row>
    <row r="126" spans="10:15" ht="12.75" x14ac:dyDescent="0.2">
      <c r="J126" s="10"/>
      <c r="K126" s="10"/>
      <c r="L126" s="10"/>
      <c r="M126" s="10"/>
      <c r="N126" s="10"/>
      <c r="O126" s="10"/>
    </row>
    <row r="127" spans="10:15" ht="12.75" x14ac:dyDescent="0.2">
      <c r="J127" s="10"/>
      <c r="K127" s="10"/>
      <c r="L127" s="10"/>
      <c r="M127" s="10"/>
      <c r="N127" s="10"/>
      <c r="O127" s="10"/>
    </row>
    <row r="128" spans="10:15" ht="12.75" x14ac:dyDescent="0.2">
      <c r="J128" s="10"/>
      <c r="K128" s="10"/>
      <c r="L128" s="10"/>
      <c r="M128" s="10"/>
      <c r="N128" s="10"/>
      <c r="O128" s="10"/>
    </row>
    <row r="129" spans="10:15" ht="12.75" x14ac:dyDescent="0.2">
      <c r="J129" s="10"/>
      <c r="K129" s="10"/>
      <c r="L129" s="10"/>
      <c r="M129" s="10"/>
      <c r="N129" s="10"/>
      <c r="O129" s="10"/>
    </row>
    <row r="130" spans="10:15" ht="12.75" x14ac:dyDescent="0.2">
      <c r="J130" s="10"/>
      <c r="K130" s="10"/>
      <c r="L130" s="10"/>
      <c r="M130" s="10"/>
      <c r="N130" s="10"/>
      <c r="O130" s="10"/>
    </row>
    <row r="131" spans="10:15" ht="12.75" x14ac:dyDescent="0.2">
      <c r="J131" s="10"/>
      <c r="K131" s="10"/>
      <c r="L131" s="10"/>
      <c r="M131" s="10"/>
      <c r="N131" s="10"/>
      <c r="O131" s="10"/>
    </row>
    <row r="132" spans="10:15" ht="12.75" x14ac:dyDescent="0.2">
      <c r="J132" s="10"/>
      <c r="K132" s="10"/>
      <c r="L132" s="10"/>
      <c r="M132" s="10"/>
      <c r="N132" s="10"/>
      <c r="O132" s="10"/>
    </row>
    <row r="133" spans="10:15" ht="12.75" x14ac:dyDescent="0.2">
      <c r="J133" s="10"/>
      <c r="K133" s="10"/>
      <c r="L133" s="10"/>
      <c r="M133" s="10"/>
      <c r="N133" s="10"/>
      <c r="O133" s="10"/>
    </row>
    <row r="134" spans="10:15" ht="12.75" x14ac:dyDescent="0.2">
      <c r="J134" s="10"/>
      <c r="K134" s="10"/>
      <c r="L134" s="10"/>
      <c r="M134" s="10"/>
      <c r="N134" s="10"/>
      <c r="O134" s="10"/>
    </row>
    <row r="135" spans="10:15" ht="12.75" x14ac:dyDescent="0.2">
      <c r="J135" s="10"/>
      <c r="K135" s="10"/>
      <c r="L135" s="10"/>
      <c r="M135" s="10"/>
      <c r="N135" s="10"/>
      <c r="O135" s="10"/>
    </row>
    <row r="136" spans="10:15" ht="12.75" x14ac:dyDescent="0.2">
      <c r="J136" s="10"/>
      <c r="K136" s="10"/>
      <c r="L136" s="10"/>
      <c r="M136" s="10"/>
      <c r="N136" s="10"/>
      <c r="O136" s="10"/>
    </row>
    <row r="137" spans="10:15" ht="12.75" x14ac:dyDescent="0.2">
      <c r="J137" s="10"/>
      <c r="K137" s="10"/>
      <c r="L137" s="10"/>
      <c r="M137" s="10"/>
      <c r="N137" s="10"/>
      <c r="O137" s="10"/>
    </row>
    <row r="138" spans="10:15" ht="12.75" x14ac:dyDescent="0.2">
      <c r="J138" s="10"/>
      <c r="K138" s="10"/>
      <c r="L138" s="10"/>
      <c r="M138" s="10"/>
      <c r="N138" s="10"/>
      <c r="O138" s="10"/>
    </row>
    <row r="139" spans="10:15" ht="12.75" x14ac:dyDescent="0.2">
      <c r="J139" s="10"/>
      <c r="K139" s="10"/>
      <c r="L139" s="10"/>
      <c r="M139" s="10"/>
      <c r="N139" s="10"/>
      <c r="O139" s="10"/>
    </row>
    <row r="140" spans="10:15" ht="12.75" x14ac:dyDescent="0.2">
      <c r="J140" s="10"/>
      <c r="K140" s="10"/>
      <c r="L140" s="10"/>
      <c r="M140" s="10"/>
      <c r="N140" s="10"/>
      <c r="O140" s="10"/>
    </row>
    <row r="141" spans="10:15" ht="12.75" x14ac:dyDescent="0.2">
      <c r="J141" s="10"/>
      <c r="K141" s="10"/>
      <c r="L141" s="10"/>
      <c r="M141" s="10"/>
      <c r="N141" s="10"/>
      <c r="O141" s="10"/>
    </row>
    <row r="142" spans="10:15" ht="12.75" x14ac:dyDescent="0.2">
      <c r="J142" s="10"/>
      <c r="K142" s="10"/>
      <c r="L142" s="10"/>
      <c r="M142" s="10"/>
      <c r="N142" s="10"/>
      <c r="O142" s="10"/>
    </row>
    <row r="143" spans="10:15" ht="12.75" x14ac:dyDescent="0.2">
      <c r="J143" s="10"/>
      <c r="K143" s="10"/>
      <c r="L143" s="10"/>
      <c r="M143" s="10"/>
      <c r="N143" s="10"/>
      <c r="O143" s="10"/>
    </row>
    <row r="144" spans="10:15" ht="12.75" x14ac:dyDescent="0.2">
      <c r="J144" s="10"/>
      <c r="K144" s="10"/>
      <c r="L144" s="10"/>
      <c r="M144" s="10"/>
      <c r="N144" s="10"/>
      <c r="O144" s="10"/>
    </row>
    <row r="145" spans="10:15" ht="12.75" x14ac:dyDescent="0.2">
      <c r="J145" s="10"/>
      <c r="K145" s="10"/>
      <c r="L145" s="10"/>
      <c r="M145" s="10"/>
      <c r="N145" s="10"/>
      <c r="O145" s="10"/>
    </row>
    <row r="146" spans="10:15" ht="12.75" x14ac:dyDescent="0.2">
      <c r="J146" s="10"/>
      <c r="K146" s="10"/>
      <c r="L146" s="10"/>
      <c r="M146" s="10"/>
      <c r="N146" s="10"/>
      <c r="O146" s="10"/>
    </row>
    <row r="147" spans="10:15" ht="12.75" x14ac:dyDescent="0.2">
      <c r="J147" s="10"/>
      <c r="K147" s="10"/>
      <c r="L147" s="10"/>
      <c r="M147" s="10"/>
      <c r="N147" s="10"/>
      <c r="O147" s="10"/>
    </row>
    <row r="148" spans="10:15" ht="12.75" x14ac:dyDescent="0.2">
      <c r="J148" s="10"/>
      <c r="K148" s="10"/>
      <c r="L148" s="10"/>
      <c r="M148" s="10"/>
      <c r="N148" s="10"/>
      <c r="O148" s="10"/>
    </row>
    <row r="149" spans="10:15" ht="12.75" x14ac:dyDescent="0.2">
      <c r="J149" s="10"/>
      <c r="K149" s="10"/>
      <c r="L149" s="10"/>
      <c r="M149" s="10"/>
      <c r="N149" s="10"/>
      <c r="O149" s="10"/>
    </row>
    <row r="150" spans="10:15" ht="12.75" x14ac:dyDescent="0.2">
      <c r="J150" s="10"/>
      <c r="K150" s="10"/>
      <c r="L150" s="10"/>
      <c r="M150" s="10"/>
      <c r="N150" s="10"/>
      <c r="O150" s="10"/>
    </row>
    <row r="151" spans="10:15" ht="12.75" x14ac:dyDescent="0.2">
      <c r="J151" s="10"/>
      <c r="K151" s="10"/>
      <c r="L151" s="10"/>
      <c r="M151" s="10"/>
      <c r="N151" s="10"/>
      <c r="O151" s="10"/>
    </row>
    <row r="152" spans="10:15" ht="12.75" x14ac:dyDescent="0.2">
      <c r="J152" s="10"/>
      <c r="K152" s="10"/>
      <c r="L152" s="10"/>
      <c r="M152" s="10"/>
      <c r="N152" s="10"/>
      <c r="O152" s="10"/>
    </row>
    <row r="153" spans="10:15" ht="12.75" x14ac:dyDescent="0.2">
      <c r="J153" s="10"/>
      <c r="K153" s="10"/>
      <c r="L153" s="10"/>
      <c r="M153" s="10"/>
      <c r="N153" s="10"/>
      <c r="O153" s="10"/>
    </row>
    <row r="154" spans="10:15" ht="12.75" x14ac:dyDescent="0.2">
      <c r="J154" s="10"/>
      <c r="K154" s="10"/>
      <c r="L154" s="10"/>
      <c r="M154" s="10"/>
      <c r="N154" s="10"/>
      <c r="O154" s="10"/>
    </row>
    <row r="155" spans="10:15" ht="12.75" x14ac:dyDescent="0.2">
      <c r="J155" s="10"/>
      <c r="K155" s="10"/>
      <c r="L155" s="10"/>
      <c r="M155" s="10"/>
      <c r="N155" s="10"/>
      <c r="O155" s="10"/>
    </row>
    <row r="156" spans="10:15" ht="12.75" x14ac:dyDescent="0.2">
      <c r="J156" s="10"/>
      <c r="K156" s="10"/>
      <c r="L156" s="10"/>
      <c r="M156" s="10"/>
      <c r="N156" s="10"/>
      <c r="O156" s="10"/>
    </row>
    <row r="157" spans="10:15" ht="12.75" x14ac:dyDescent="0.2">
      <c r="J157" s="10"/>
      <c r="K157" s="10"/>
      <c r="L157" s="10"/>
      <c r="M157" s="10"/>
      <c r="N157" s="10"/>
      <c r="O157" s="10"/>
    </row>
    <row r="158" spans="10:15" ht="12.75" x14ac:dyDescent="0.2">
      <c r="J158" s="10"/>
      <c r="K158" s="10"/>
      <c r="L158" s="10"/>
      <c r="M158" s="10"/>
      <c r="N158" s="10"/>
      <c r="O158" s="10"/>
    </row>
    <row r="159" spans="10:15" ht="12.75" x14ac:dyDescent="0.2">
      <c r="J159" s="10"/>
      <c r="K159" s="10"/>
      <c r="L159" s="10"/>
      <c r="M159" s="10"/>
      <c r="N159" s="10"/>
      <c r="O159" s="10"/>
    </row>
    <row r="160" spans="10:15" ht="12.75" x14ac:dyDescent="0.2">
      <c r="J160" s="10"/>
      <c r="K160" s="10"/>
      <c r="L160" s="10"/>
      <c r="M160" s="10"/>
      <c r="N160" s="10"/>
      <c r="O160" s="10"/>
    </row>
    <row r="161" spans="10:15" ht="12.75" x14ac:dyDescent="0.2">
      <c r="J161" s="10"/>
      <c r="K161" s="10"/>
      <c r="L161" s="10"/>
      <c r="M161" s="10"/>
      <c r="N161" s="10"/>
      <c r="O161" s="10"/>
    </row>
    <row r="162" spans="10:15" ht="12.75" x14ac:dyDescent="0.2">
      <c r="J162" s="10"/>
      <c r="K162" s="10"/>
      <c r="L162" s="10"/>
      <c r="M162" s="10"/>
      <c r="N162" s="10"/>
      <c r="O162" s="10"/>
    </row>
    <row r="163" spans="10:15" ht="12.75" x14ac:dyDescent="0.2">
      <c r="J163" s="10"/>
      <c r="K163" s="10"/>
      <c r="L163" s="10"/>
      <c r="M163" s="10"/>
      <c r="N163" s="10"/>
      <c r="O163" s="10"/>
    </row>
    <row r="164" spans="10:15" ht="12.75" x14ac:dyDescent="0.2">
      <c r="J164" s="10"/>
      <c r="K164" s="10"/>
      <c r="L164" s="10"/>
      <c r="M164" s="10"/>
      <c r="N164" s="10"/>
      <c r="O164" s="10"/>
    </row>
    <row r="165" spans="10:15" ht="12.75" x14ac:dyDescent="0.2">
      <c r="J165" s="10"/>
      <c r="K165" s="10"/>
      <c r="L165" s="10"/>
      <c r="M165" s="10"/>
      <c r="N165" s="10"/>
      <c r="O165" s="10"/>
    </row>
    <row r="166" spans="10:15" ht="12.75" x14ac:dyDescent="0.2">
      <c r="J166" s="10"/>
      <c r="K166" s="10"/>
      <c r="L166" s="10"/>
      <c r="M166" s="10"/>
      <c r="N166" s="10"/>
      <c r="O166" s="10"/>
    </row>
    <row r="167" spans="10:15" ht="12.75" x14ac:dyDescent="0.2">
      <c r="J167" s="10"/>
      <c r="K167" s="10"/>
      <c r="L167" s="10"/>
      <c r="M167" s="10"/>
      <c r="N167" s="10"/>
      <c r="O167" s="10"/>
    </row>
    <row r="168" spans="10:15" ht="12.75" x14ac:dyDescent="0.2">
      <c r="J168" s="10"/>
      <c r="K168" s="10"/>
      <c r="L168" s="10"/>
      <c r="M168" s="10"/>
      <c r="N168" s="10"/>
      <c r="O168" s="10"/>
    </row>
    <row r="169" spans="10:15" ht="12.75" x14ac:dyDescent="0.2">
      <c r="J169" s="10"/>
      <c r="K169" s="10"/>
      <c r="L169" s="10"/>
      <c r="M169" s="10"/>
      <c r="N169" s="10"/>
      <c r="O169" s="10"/>
    </row>
    <row r="170" spans="10:15" ht="12.75" x14ac:dyDescent="0.2">
      <c r="J170" s="10"/>
      <c r="K170" s="10"/>
      <c r="L170" s="10"/>
      <c r="M170" s="10"/>
      <c r="N170" s="10"/>
      <c r="O170" s="10"/>
    </row>
    <row r="171" spans="10:15" ht="12.75" x14ac:dyDescent="0.2">
      <c r="J171" s="10"/>
      <c r="K171" s="10"/>
      <c r="L171" s="10"/>
      <c r="M171" s="10"/>
      <c r="N171" s="10"/>
      <c r="O171" s="10"/>
    </row>
    <row r="172" spans="10:15" ht="12.75" x14ac:dyDescent="0.2">
      <c r="J172" s="10"/>
      <c r="K172" s="10"/>
      <c r="L172" s="10"/>
      <c r="M172" s="10"/>
      <c r="N172" s="10"/>
      <c r="O172" s="10"/>
    </row>
    <row r="173" spans="10:15" ht="12.75" x14ac:dyDescent="0.2">
      <c r="J173" s="10"/>
      <c r="K173" s="10"/>
      <c r="L173" s="10"/>
      <c r="M173" s="10"/>
      <c r="N173" s="10"/>
      <c r="O173" s="10"/>
    </row>
    <row r="174" spans="10:15" ht="12.75" x14ac:dyDescent="0.2">
      <c r="J174" s="10"/>
      <c r="K174" s="10"/>
      <c r="L174" s="10"/>
      <c r="M174" s="10"/>
      <c r="N174" s="10"/>
      <c r="O174" s="10"/>
    </row>
    <row r="175" spans="10:15" ht="12.75" x14ac:dyDescent="0.2">
      <c r="J175" s="10"/>
      <c r="K175" s="10"/>
      <c r="L175" s="10"/>
      <c r="M175" s="10"/>
      <c r="N175" s="10"/>
      <c r="O175" s="10"/>
    </row>
    <row r="176" spans="10:15" ht="12.75" x14ac:dyDescent="0.2">
      <c r="J176" s="10"/>
      <c r="K176" s="10"/>
      <c r="L176" s="10"/>
      <c r="M176" s="10"/>
      <c r="N176" s="10"/>
      <c r="O176" s="10"/>
    </row>
    <row r="177" spans="10:15" ht="12.75" x14ac:dyDescent="0.2">
      <c r="J177" s="10"/>
      <c r="K177" s="10"/>
      <c r="L177" s="10"/>
      <c r="M177" s="10"/>
      <c r="N177" s="10"/>
      <c r="O177" s="10"/>
    </row>
    <row r="178" spans="10:15" ht="12.75" x14ac:dyDescent="0.2">
      <c r="J178" s="10"/>
      <c r="K178" s="10"/>
      <c r="L178" s="10"/>
      <c r="M178" s="10"/>
      <c r="N178" s="10"/>
      <c r="O178" s="10"/>
    </row>
    <row r="179" spans="10:15" ht="12.75" x14ac:dyDescent="0.2">
      <c r="J179" s="10"/>
      <c r="K179" s="10"/>
      <c r="L179" s="10"/>
      <c r="M179" s="10"/>
      <c r="N179" s="10"/>
      <c r="O179" s="10"/>
    </row>
    <row r="180" spans="10:15" ht="12.75" x14ac:dyDescent="0.2">
      <c r="J180" s="10"/>
      <c r="K180" s="10"/>
      <c r="L180" s="10"/>
      <c r="M180" s="10"/>
      <c r="N180" s="10"/>
      <c r="O180" s="10"/>
    </row>
    <row r="181" spans="10:15" ht="12.75" x14ac:dyDescent="0.2">
      <c r="J181" s="10"/>
      <c r="K181" s="10"/>
      <c r="L181" s="10"/>
      <c r="M181" s="10"/>
      <c r="N181" s="10"/>
      <c r="O181" s="10"/>
    </row>
    <row r="182" spans="10:15" ht="12.75" x14ac:dyDescent="0.2">
      <c r="J182" s="10"/>
      <c r="K182" s="10"/>
      <c r="L182" s="10"/>
      <c r="M182" s="10"/>
      <c r="N182" s="10"/>
      <c r="O182" s="10"/>
    </row>
    <row r="183" spans="10:15" ht="12.75" x14ac:dyDescent="0.2">
      <c r="J183" s="10"/>
      <c r="K183" s="10"/>
      <c r="L183" s="10"/>
      <c r="M183" s="10"/>
      <c r="N183" s="10"/>
      <c r="O183" s="10"/>
    </row>
    <row r="184" spans="10:15" ht="12.75" x14ac:dyDescent="0.2">
      <c r="J184" s="10"/>
      <c r="K184" s="10"/>
      <c r="L184" s="10"/>
      <c r="M184" s="10"/>
      <c r="N184" s="10"/>
      <c r="O184" s="10"/>
    </row>
    <row r="185" spans="10:15" ht="12.75" x14ac:dyDescent="0.2">
      <c r="J185" s="10"/>
      <c r="K185" s="10"/>
      <c r="L185" s="10"/>
      <c r="M185" s="10"/>
      <c r="N185" s="10"/>
      <c r="O185" s="10"/>
    </row>
    <row r="186" spans="10:15" ht="12.75" x14ac:dyDescent="0.2">
      <c r="J186" s="10"/>
      <c r="K186" s="10"/>
      <c r="L186" s="10"/>
      <c r="M186" s="10"/>
      <c r="N186" s="10"/>
      <c r="O186" s="10"/>
    </row>
    <row r="187" spans="10:15" ht="12.75" x14ac:dyDescent="0.2">
      <c r="J187" s="10"/>
      <c r="K187" s="10"/>
      <c r="L187" s="10"/>
      <c r="M187" s="10"/>
      <c r="N187" s="10"/>
      <c r="O187" s="10"/>
    </row>
    <row r="188" spans="10:15" ht="12.75" x14ac:dyDescent="0.2">
      <c r="J188" s="10"/>
      <c r="K188" s="10"/>
      <c r="L188" s="10"/>
      <c r="M188" s="10"/>
      <c r="N188" s="10"/>
      <c r="O188" s="10"/>
    </row>
    <row r="189" spans="10:15" ht="12.75" x14ac:dyDescent="0.2">
      <c r="J189" s="10"/>
      <c r="K189" s="10"/>
      <c r="L189" s="10"/>
      <c r="M189" s="10"/>
      <c r="N189" s="10"/>
      <c r="O189" s="10"/>
    </row>
    <row r="190" spans="10:15" ht="12.75" x14ac:dyDescent="0.2">
      <c r="J190" s="10"/>
      <c r="K190" s="10"/>
      <c r="L190" s="10"/>
      <c r="M190" s="10"/>
      <c r="N190" s="10"/>
      <c r="O190" s="10"/>
    </row>
    <row r="191" spans="10:15" ht="12.75" x14ac:dyDescent="0.2">
      <c r="J191" s="10"/>
      <c r="K191" s="10"/>
      <c r="L191" s="10"/>
      <c r="M191" s="10"/>
      <c r="N191" s="10"/>
      <c r="O191" s="10"/>
    </row>
    <row r="192" spans="10:15" ht="12.75" x14ac:dyDescent="0.2">
      <c r="J192" s="10"/>
      <c r="K192" s="10"/>
      <c r="L192" s="10"/>
      <c r="M192" s="10"/>
      <c r="N192" s="10"/>
      <c r="O192" s="10"/>
    </row>
    <row r="193" spans="10:15" ht="12.75" x14ac:dyDescent="0.2">
      <c r="J193" s="10"/>
      <c r="K193" s="10"/>
      <c r="L193" s="10"/>
      <c r="M193" s="10"/>
      <c r="N193" s="10"/>
      <c r="O193" s="10"/>
    </row>
    <row r="194" spans="10:15" ht="12.75" x14ac:dyDescent="0.2">
      <c r="J194" s="10"/>
      <c r="K194" s="10"/>
      <c r="L194" s="10"/>
      <c r="M194" s="10"/>
      <c r="N194" s="10"/>
      <c r="O194" s="10"/>
    </row>
    <row r="195" spans="10:15" ht="12.75" x14ac:dyDescent="0.2">
      <c r="J195" s="10"/>
      <c r="K195" s="10"/>
      <c r="L195" s="10"/>
      <c r="M195" s="10"/>
      <c r="N195" s="10"/>
      <c r="O195" s="10"/>
    </row>
    <row r="196" spans="10:15" ht="12.75" x14ac:dyDescent="0.2">
      <c r="J196" s="10"/>
      <c r="K196" s="10"/>
      <c r="L196" s="10"/>
      <c r="M196" s="10"/>
      <c r="N196" s="10"/>
      <c r="O196" s="10"/>
    </row>
    <row r="197" spans="10:15" ht="12.75" x14ac:dyDescent="0.2">
      <c r="J197" s="10"/>
      <c r="K197" s="10"/>
      <c r="L197" s="10"/>
      <c r="M197" s="10"/>
      <c r="N197" s="10"/>
      <c r="O197" s="10"/>
    </row>
    <row r="198" spans="10:15" ht="12.75" x14ac:dyDescent="0.2">
      <c r="J198" s="10"/>
      <c r="K198" s="10"/>
      <c r="L198" s="10"/>
      <c r="M198" s="10"/>
      <c r="N198" s="10"/>
      <c r="O198" s="10"/>
    </row>
    <row r="199" spans="10:15" ht="12.75" x14ac:dyDescent="0.2">
      <c r="J199" s="10"/>
      <c r="K199" s="10"/>
      <c r="L199" s="10"/>
      <c r="M199" s="10"/>
      <c r="N199" s="10"/>
      <c r="O199" s="10"/>
    </row>
    <row r="200" spans="10:15" ht="12.75" x14ac:dyDescent="0.2">
      <c r="J200" s="10"/>
      <c r="K200" s="10"/>
      <c r="L200" s="10"/>
      <c r="M200" s="10"/>
      <c r="N200" s="10"/>
      <c r="O200" s="10"/>
    </row>
    <row r="201" spans="10:15" ht="12.75" x14ac:dyDescent="0.2">
      <c r="J201" s="10"/>
      <c r="K201" s="10"/>
      <c r="L201" s="10"/>
      <c r="M201" s="10"/>
      <c r="N201" s="10"/>
      <c r="O201" s="10"/>
    </row>
    <row r="202" spans="10:15" ht="12.75" x14ac:dyDescent="0.2">
      <c r="J202" s="10"/>
      <c r="K202" s="10"/>
      <c r="L202" s="10"/>
      <c r="M202" s="10"/>
      <c r="N202" s="10"/>
      <c r="O202" s="10"/>
    </row>
    <row r="203" spans="10:15" ht="12.75" x14ac:dyDescent="0.2">
      <c r="J203" s="10"/>
      <c r="K203" s="10"/>
      <c r="L203" s="10"/>
      <c r="M203" s="10"/>
      <c r="N203" s="10"/>
      <c r="O203" s="10"/>
    </row>
    <row r="204" spans="10:15" ht="12.75" x14ac:dyDescent="0.2">
      <c r="J204" s="10"/>
      <c r="K204" s="10"/>
      <c r="L204" s="10"/>
      <c r="M204" s="10"/>
      <c r="N204" s="10"/>
      <c r="O204" s="10"/>
    </row>
    <row r="205" spans="10:15" ht="12.75" x14ac:dyDescent="0.2">
      <c r="J205" s="10"/>
      <c r="K205" s="10"/>
      <c r="L205" s="10"/>
      <c r="M205" s="10"/>
      <c r="N205" s="10"/>
      <c r="O205" s="10"/>
    </row>
    <row r="206" spans="10:15" ht="12.75" x14ac:dyDescent="0.2">
      <c r="J206" s="10"/>
      <c r="K206" s="10"/>
      <c r="L206" s="10"/>
      <c r="M206" s="10"/>
      <c r="N206" s="10"/>
      <c r="O206" s="10"/>
    </row>
    <row r="207" spans="10:15" ht="12.75" x14ac:dyDescent="0.2">
      <c r="J207" s="10"/>
      <c r="K207" s="10"/>
      <c r="L207" s="10"/>
      <c r="M207" s="10"/>
      <c r="N207" s="10"/>
      <c r="O207" s="10"/>
    </row>
    <row r="208" spans="10:15" ht="12.75" x14ac:dyDescent="0.2">
      <c r="J208" s="10"/>
      <c r="K208" s="10"/>
      <c r="L208" s="10"/>
      <c r="M208" s="10"/>
      <c r="N208" s="10"/>
      <c r="O208" s="10"/>
    </row>
    <row r="209" spans="10:15" ht="12.75" x14ac:dyDescent="0.2">
      <c r="J209" s="10"/>
      <c r="K209" s="10"/>
      <c r="L209" s="10"/>
      <c r="M209" s="10"/>
      <c r="N209" s="10"/>
      <c r="O209" s="10"/>
    </row>
    <row r="210" spans="10:15" ht="12.75" x14ac:dyDescent="0.2">
      <c r="J210" s="10"/>
      <c r="K210" s="10"/>
      <c r="L210" s="10"/>
      <c r="M210" s="10"/>
      <c r="N210" s="10"/>
      <c r="O210" s="10"/>
    </row>
    <row r="211" spans="10:15" ht="12.75" x14ac:dyDescent="0.2">
      <c r="J211" s="10"/>
      <c r="K211" s="10"/>
      <c r="L211" s="10"/>
      <c r="M211" s="10"/>
      <c r="N211" s="10"/>
      <c r="O211" s="10"/>
    </row>
    <row r="212" spans="10:15" ht="12.75" x14ac:dyDescent="0.2">
      <c r="J212" s="10"/>
      <c r="K212" s="10"/>
      <c r="L212" s="10"/>
      <c r="M212" s="10"/>
      <c r="N212" s="10"/>
      <c r="O212" s="10"/>
    </row>
    <row r="213" spans="10:15" ht="12.75" x14ac:dyDescent="0.2">
      <c r="J213" s="10"/>
      <c r="K213" s="10"/>
      <c r="L213" s="10"/>
      <c r="M213" s="10"/>
      <c r="N213" s="10"/>
      <c r="O213" s="10"/>
    </row>
    <row r="214" spans="10:15" ht="12.75" x14ac:dyDescent="0.2">
      <c r="J214" s="10"/>
      <c r="K214" s="10"/>
      <c r="L214" s="10"/>
      <c r="M214" s="10"/>
      <c r="N214" s="10"/>
      <c r="O214" s="10"/>
    </row>
    <row r="215" spans="10:15" ht="12.75" x14ac:dyDescent="0.2">
      <c r="J215" s="10"/>
      <c r="K215" s="10"/>
      <c r="L215" s="10"/>
      <c r="M215" s="10"/>
      <c r="N215" s="10"/>
      <c r="O215" s="10"/>
    </row>
    <row r="216" spans="10:15" ht="12.75" x14ac:dyDescent="0.2">
      <c r="J216" s="10"/>
      <c r="K216" s="10"/>
      <c r="L216" s="10"/>
      <c r="M216" s="10"/>
      <c r="N216" s="10"/>
      <c r="O216" s="10"/>
    </row>
    <row r="217" spans="10:15" ht="12.75" x14ac:dyDescent="0.2">
      <c r="J217" s="10"/>
      <c r="K217" s="10"/>
      <c r="L217" s="10"/>
      <c r="M217" s="10"/>
      <c r="N217" s="10"/>
      <c r="O217" s="10"/>
    </row>
    <row r="218" spans="10:15" ht="12.75" x14ac:dyDescent="0.2">
      <c r="J218" s="10"/>
      <c r="K218" s="10"/>
      <c r="L218" s="10"/>
      <c r="M218" s="10"/>
      <c r="N218" s="10"/>
      <c r="O218" s="10"/>
    </row>
    <row r="219" spans="10:15" ht="12.75" x14ac:dyDescent="0.2">
      <c r="J219" s="10"/>
      <c r="K219" s="10"/>
      <c r="L219" s="10"/>
      <c r="M219" s="10"/>
      <c r="N219" s="10"/>
      <c r="O219" s="10"/>
    </row>
    <row r="220" spans="10:15" ht="12.75" x14ac:dyDescent="0.2">
      <c r="J220" s="10"/>
      <c r="K220" s="10"/>
      <c r="L220" s="10"/>
      <c r="M220" s="10"/>
      <c r="N220" s="10"/>
      <c r="O220" s="10"/>
    </row>
    <row r="221" spans="10:15" ht="12.75" x14ac:dyDescent="0.2">
      <c r="J221" s="10"/>
      <c r="K221" s="10"/>
      <c r="L221" s="10"/>
      <c r="M221" s="10"/>
      <c r="N221" s="10"/>
      <c r="O221" s="10"/>
    </row>
    <row r="222" spans="10:15" ht="12.75" x14ac:dyDescent="0.2">
      <c r="J222" s="10"/>
      <c r="K222" s="10"/>
      <c r="L222" s="10"/>
      <c r="M222" s="10"/>
      <c r="N222" s="10"/>
      <c r="O222" s="10"/>
    </row>
    <row r="223" spans="10:15" ht="12.75" x14ac:dyDescent="0.2">
      <c r="J223" s="10"/>
      <c r="K223" s="10"/>
      <c r="L223" s="10"/>
      <c r="M223" s="10"/>
      <c r="N223" s="10"/>
      <c r="O223" s="10"/>
    </row>
    <row r="224" spans="10:15" ht="12.75" x14ac:dyDescent="0.2">
      <c r="J224" s="10"/>
      <c r="K224" s="10"/>
      <c r="L224" s="10"/>
      <c r="M224" s="10"/>
      <c r="N224" s="10"/>
      <c r="O224" s="10"/>
    </row>
    <row r="225" spans="10:15" ht="12.75" x14ac:dyDescent="0.2">
      <c r="J225" s="10"/>
      <c r="K225" s="10"/>
      <c r="L225" s="10"/>
      <c r="M225" s="10"/>
      <c r="N225" s="10"/>
      <c r="O225" s="10"/>
    </row>
    <row r="226" spans="10:15" ht="12.75" x14ac:dyDescent="0.2">
      <c r="J226" s="10"/>
      <c r="K226" s="10"/>
      <c r="L226" s="10"/>
      <c r="M226" s="10"/>
      <c r="N226" s="10"/>
      <c r="O226" s="10"/>
    </row>
    <row r="227" spans="10:15" ht="12.75" x14ac:dyDescent="0.2">
      <c r="J227" s="10"/>
      <c r="K227" s="10"/>
      <c r="L227" s="10"/>
      <c r="M227" s="10"/>
      <c r="N227" s="10"/>
      <c r="O227" s="10"/>
    </row>
    <row r="228" spans="10:15" ht="12.75" x14ac:dyDescent="0.2">
      <c r="J228" s="10"/>
      <c r="K228" s="10"/>
      <c r="L228" s="10"/>
      <c r="M228" s="10"/>
      <c r="N228" s="10"/>
      <c r="O228" s="10"/>
    </row>
    <row r="229" spans="10:15" ht="12.75" x14ac:dyDescent="0.2">
      <c r="J229" s="10"/>
      <c r="K229" s="10"/>
      <c r="L229" s="10"/>
      <c r="M229" s="10"/>
      <c r="N229" s="10"/>
      <c r="O229" s="10"/>
    </row>
    <row r="230" spans="10:15" ht="12.75" x14ac:dyDescent="0.2">
      <c r="J230" s="10"/>
      <c r="K230" s="10"/>
      <c r="L230" s="10"/>
      <c r="M230" s="10"/>
      <c r="N230" s="10"/>
      <c r="O230" s="10"/>
    </row>
    <row r="231" spans="10:15" ht="12.75" x14ac:dyDescent="0.2">
      <c r="J231" s="10"/>
      <c r="K231" s="10"/>
      <c r="L231" s="10"/>
      <c r="M231" s="10"/>
      <c r="N231" s="10"/>
      <c r="O231" s="10"/>
    </row>
    <row r="232" spans="10:15" ht="12.75" x14ac:dyDescent="0.2">
      <c r="J232" s="10"/>
      <c r="K232" s="10"/>
      <c r="L232" s="10"/>
      <c r="M232" s="10"/>
      <c r="N232" s="10"/>
      <c r="O232" s="10"/>
    </row>
    <row r="233" spans="10:15" ht="12.75" x14ac:dyDescent="0.2">
      <c r="J233" s="10"/>
      <c r="K233" s="10"/>
      <c r="L233" s="10"/>
      <c r="M233" s="10"/>
      <c r="N233" s="10"/>
      <c r="O233" s="10"/>
    </row>
    <row r="234" spans="10:15" ht="12.75" x14ac:dyDescent="0.2">
      <c r="J234" s="10"/>
      <c r="K234" s="10"/>
      <c r="L234" s="10"/>
      <c r="M234" s="10"/>
      <c r="N234" s="10"/>
      <c r="O234" s="10"/>
    </row>
    <row r="235" spans="10:15" ht="12.75" x14ac:dyDescent="0.2">
      <c r="J235" s="10"/>
      <c r="K235" s="10"/>
      <c r="L235" s="10"/>
      <c r="M235" s="10"/>
      <c r="N235" s="10"/>
      <c r="O235" s="10"/>
    </row>
    <row r="236" spans="10:15" ht="12.75" x14ac:dyDescent="0.2">
      <c r="J236" s="10"/>
      <c r="K236" s="10"/>
      <c r="L236" s="10"/>
      <c r="M236" s="10"/>
      <c r="N236" s="10"/>
      <c r="O236" s="10"/>
    </row>
    <row r="237" spans="10:15" ht="12.75" x14ac:dyDescent="0.2">
      <c r="J237" s="10"/>
      <c r="K237" s="10"/>
      <c r="L237" s="10"/>
      <c r="M237" s="10"/>
      <c r="N237" s="10"/>
      <c r="O237" s="10"/>
    </row>
    <row r="238" spans="10:15" ht="12.75" x14ac:dyDescent="0.2">
      <c r="J238" s="10"/>
      <c r="K238" s="10"/>
      <c r="L238" s="10"/>
      <c r="M238" s="10"/>
      <c r="N238" s="10"/>
      <c r="O238" s="10"/>
    </row>
    <row r="239" spans="10:15" ht="12.75" x14ac:dyDescent="0.2">
      <c r="J239" s="10"/>
      <c r="K239" s="10"/>
      <c r="L239" s="10"/>
      <c r="M239" s="10"/>
      <c r="N239" s="10"/>
      <c r="O239" s="10"/>
    </row>
    <row r="240" spans="10:15" ht="12.75" x14ac:dyDescent="0.2">
      <c r="J240" s="10"/>
      <c r="K240" s="10"/>
      <c r="L240" s="10"/>
      <c r="M240" s="10"/>
      <c r="N240" s="10"/>
      <c r="O240" s="10"/>
    </row>
    <row r="241" spans="10:15" ht="12.75" x14ac:dyDescent="0.2">
      <c r="J241" s="10"/>
      <c r="K241" s="10"/>
      <c r="L241" s="10"/>
      <c r="M241" s="10"/>
      <c r="N241" s="10"/>
      <c r="O241" s="10"/>
    </row>
    <row r="242" spans="10:15" ht="12.75" x14ac:dyDescent="0.2">
      <c r="J242" s="10"/>
      <c r="K242" s="10"/>
      <c r="L242" s="10"/>
      <c r="M242" s="10"/>
      <c r="N242" s="10"/>
      <c r="O242" s="10"/>
    </row>
    <row r="243" spans="10:15" ht="12.75" x14ac:dyDescent="0.2">
      <c r="J243" s="10"/>
      <c r="K243" s="10"/>
      <c r="L243" s="10"/>
      <c r="M243" s="10"/>
      <c r="N243" s="10"/>
      <c r="O243" s="10"/>
    </row>
    <row r="244" spans="10:15" ht="12.75" x14ac:dyDescent="0.2">
      <c r="J244" s="10"/>
      <c r="K244" s="10"/>
      <c r="L244" s="10"/>
      <c r="M244" s="10"/>
      <c r="N244" s="10"/>
      <c r="O244" s="10"/>
    </row>
    <row r="245" spans="10:15" ht="12.75" x14ac:dyDescent="0.2">
      <c r="J245" s="10"/>
      <c r="K245" s="10"/>
      <c r="L245" s="10"/>
      <c r="M245" s="10"/>
      <c r="N245" s="10"/>
      <c r="O245" s="10"/>
    </row>
    <row r="246" spans="10:15" ht="12.75" x14ac:dyDescent="0.2">
      <c r="J246" s="10"/>
      <c r="K246" s="10"/>
      <c r="L246" s="10"/>
      <c r="M246" s="10"/>
      <c r="N246" s="10"/>
      <c r="O246" s="10"/>
    </row>
    <row r="247" spans="10:15" ht="12.75" x14ac:dyDescent="0.2">
      <c r="J247" s="10"/>
      <c r="K247" s="10"/>
      <c r="L247" s="10"/>
      <c r="M247" s="10"/>
      <c r="N247" s="10"/>
      <c r="O247" s="10"/>
    </row>
    <row r="248" spans="10:15" ht="12.75" x14ac:dyDescent="0.2">
      <c r="J248" s="10"/>
      <c r="K248" s="10"/>
      <c r="L248" s="10"/>
      <c r="M248" s="10"/>
      <c r="N248" s="10"/>
      <c r="O248" s="10"/>
    </row>
    <row r="249" spans="10:15" ht="12.75" x14ac:dyDescent="0.2">
      <c r="J249" s="10"/>
      <c r="K249" s="10"/>
      <c r="L249" s="10"/>
      <c r="M249" s="10"/>
      <c r="N249" s="10"/>
      <c r="O249" s="10"/>
    </row>
    <row r="250" spans="10:15" ht="12.75" x14ac:dyDescent="0.2">
      <c r="J250" s="10"/>
      <c r="K250" s="10"/>
      <c r="L250" s="10"/>
      <c r="M250" s="10"/>
      <c r="N250" s="10"/>
      <c r="O250" s="10"/>
    </row>
    <row r="251" spans="10:15" ht="12.75" x14ac:dyDescent="0.2">
      <c r="J251" s="10"/>
      <c r="K251" s="10"/>
      <c r="L251" s="10"/>
      <c r="M251" s="10"/>
      <c r="N251" s="10"/>
      <c r="O251" s="10"/>
    </row>
    <row r="252" spans="10:15" ht="12.75" x14ac:dyDescent="0.2">
      <c r="J252" s="10"/>
      <c r="K252" s="10"/>
      <c r="L252" s="10"/>
      <c r="M252" s="10"/>
      <c r="N252" s="10"/>
      <c r="O252" s="10"/>
    </row>
    <row r="253" spans="10:15" ht="12.75" x14ac:dyDescent="0.2">
      <c r="J253" s="10"/>
      <c r="K253" s="10"/>
      <c r="L253" s="10"/>
      <c r="M253" s="10"/>
      <c r="N253" s="10"/>
      <c r="O253" s="10"/>
    </row>
    <row r="254" spans="10:15" ht="12.75" x14ac:dyDescent="0.2">
      <c r="J254" s="10"/>
      <c r="K254" s="10"/>
      <c r="L254" s="10"/>
      <c r="M254" s="10"/>
      <c r="N254" s="10"/>
      <c r="O254" s="10"/>
    </row>
    <row r="255" spans="10:15" ht="12.75" x14ac:dyDescent="0.2">
      <c r="J255" s="10"/>
      <c r="K255" s="10"/>
      <c r="L255" s="10"/>
      <c r="M255" s="10"/>
      <c r="N255" s="10"/>
      <c r="O255" s="10"/>
    </row>
    <row r="256" spans="10:15" ht="12.75" x14ac:dyDescent="0.2">
      <c r="J256" s="10"/>
      <c r="K256" s="10"/>
      <c r="L256" s="10"/>
      <c r="M256" s="10"/>
      <c r="N256" s="10"/>
      <c r="O256" s="10"/>
    </row>
    <row r="257" spans="10:15" ht="12.75" x14ac:dyDescent="0.2">
      <c r="J257" s="10"/>
      <c r="K257" s="10"/>
      <c r="L257" s="10"/>
      <c r="M257" s="10"/>
      <c r="N257" s="10"/>
      <c r="O257" s="10"/>
    </row>
    <row r="258" spans="10:15" ht="12.75" x14ac:dyDescent="0.2">
      <c r="J258" s="10"/>
      <c r="K258" s="10"/>
      <c r="L258" s="10"/>
      <c r="M258" s="10"/>
      <c r="N258" s="10"/>
      <c r="O258" s="10"/>
    </row>
    <row r="259" spans="10:15" ht="12.75" x14ac:dyDescent="0.2">
      <c r="J259" s="10"/>
      <c r="K259" s="10"/>
      <c r="L259" s="10"/>
      <c r="M259" s="10"/>
      <c r="N259" s="10"/>
      <c r="O259" s="10"/>
    </row>
    <row r="260" spans="10:15" ht="12.75" x14ac:dyDescent="0.2">
      <c r="J260" s="10"/>
      <c r="K260" s="10"/>
      <c r="L260" s="10"/>
      <c r="M260" s="10"/>
      <c r="N260" s="10"/>
      <c r="O260" s="10"/>
    </row>
    <row r="261" spans="10:15" ht="12.75" x14ac:dyDescent="0.2">
      <c r="J261" s="10"/>
      <c r="K261" s="10"/>
      <c r="L261" s="10"/>
      <c r="M261" s="10"/>
      <c r="N261" s="10"/>
      <c r="O261" s="10"/>
    </row>
    <row r="262" spans="10:15" ht="12.75" x14ac:dyDescent="0.2">
      <c r="J262" s="10"/>
      <c r="K262" s="10"/>
      <c r="L262" s="10"/>
      <c r="M262" s="10"/>
      <c r="N262" s="10"/>
      <c r="O262" s="10"/>
    </row>
    <row r="263" spans="10:15" ht="12.75" x14ac:dyDescent="0.2">
      <c r="J263" s="10"/>
      <c r="K263" s="10"/>
      <c r="L263" s="10"/>
      <c r="M263" s="10"/>
      <c r="N263" s="10"/>
      <c r="O263" s="10"/>
    </row>
    <row r="264" spans="10:15" ht="12.75" x14ac:dyDescent="0.2">
      <c r="J264" s="10"/>
      <c r="K264" s="10"/>
      <c r="L264" s="10"/>
      <c r="M264" s="10"/>
      <c r="N264" s="10"/>
      <c r="O264" s="10"/>
    </row>
    <row r="265" spans="10:15" ht="12.75" x14ac:dyDescent="0.2">
      <c r="J265" s="10"/>
      <c r="K265" s="10"/>
      <c r="L265" s="10"/>
      <c r="M265" s="10"/>
      <c r="N265" s="10"/>
      <c r="O265" s="10"/>
    </row>
    <row r="266" spans="10:15" ht="12.75" x14ac:dyDescent="0.2">
      <c r="J266" s="10"/>
      <c r="K266" s="10"/>
      <c r="L266" s="10"/>
      <c r="M266" s="10"/>
      <c r="N266" s="10"/>
      <c r="O266" s="10"/>
    </row>
    <row r="267" spans="10:15" ht="12.75" x14ac:dyDescent="0.2">
      <c r="J267" s="10"/>
      <c r="K267" s="10"/>
      <c r="L267" s="10"/>
      <c r="M267" s="10"/>
      <c r="N267" s="10"/>
      <c r="O267" s="10"/>
    </row>
    <row r="268" spans="10:15" ht="12.75" x14ac:dyDescent="0.2">
      <c r="J268" s="10"/>
      <c r="K268" s="10"/>
      <c r="L268" s="10"/>
      <c r="M268" s="10"/>
      <c r="N268" s="10"/>
      <c r="O268" s="10"/>
    </row>
    <row r="269" spans="10:15" ht="12.75" x14ac:dyDescent="0.2">
      <c r="J269" s="10"/>
      <c r="K269" s="10"/>
      <c r="L269" s="10"/>
      <c r="M269" s="10"/>
      <c r="N269" s="10"/>
      <c r="O269" s="10"/>
    </row>
    <row r="270" spans="10:15" ht="12.75" x14ac:dyDescent="0.2">
      <c r="J270" s="10"/>
      <c r="K270" s="10"/>
      <c r="L270" s="10"/>
      <c r="M270" s="10"/>
      <c r="N270" s="10"/>
      <c r="O270" s="10"/>
    </row>
    <row r="271" spans="10:15" ht="12.75" x14ac:dyDescent="0.2">
      <c r="J271" s="10"/>
      <c r="K271" s="10"/>
      <c r="L271" s="10"/>
      <c r="M271" s="10"/>
      <c r="N271" s="10"/>
      <c r="O271" s="10"/>
    </row>
    <row r="272" spans="10:15" ht="12.75" x14ac:dyDescent="0.2">
      <c r="J272" s="10"/>
      <c r="K272" s="10"/>
      <c r="L272" s="10"/>
      <c r="M272" s="10"/>
      <c r="N272" s="10"/>
      <c r="O272" s="10"/>
    </row>
    <row r="273" spans="10:15" ht="12.75" x14ac:dyDescent="0.2">
      <c r="J273" s="10"/>
      <c r="K273" s="10"/>
      <c r="L273" s="10"/>
      <c r="M273" s="10"/>
      <c r="N273" s="10"/>
      <c r="O273" s="10"/>
    </row>
    <row r="274" spans="10:15" ht="12.75" x14ac:dyDescent="0.2">
      <c r="J274" s="10"/>
      <c r="K274" s="10"/>
      <c r="L274" s="10"/>
      <c r="M274" s="10"/>
      <c r="N274" s="10"/>
      <c r="O274" s="10"/>
    </row>
    <row r="275" spans="10:15" ht="12.75" x14ac:dyDescent="0.2">
      <c r="J275" s="10"/>
      <c r="K275" s="10"/>
      <c r="L275" s="10"/>
      <c r="M275" s="10"/>
      <c r="N275" s="10"/>
      <c r="O275" s="10"/>
    </row>
    <row r="276" spans="10:15" ht="12.75" x14ac:dyDescent="0.2">
      <c r="J276" s="10"/>
      <c r="K276" s="10"/>
      <c r="L276" s="10"/>
      <c r="M276" s="10"/>
      <c r="N276" s="10"/>
      <c r="O276" s="10"/>
    </row>
    <row r="277" spans="10:15" ht="12.75" x14ac:dyDescent="0.2">
      <c r="J277" s="10"/>
      <c r="K277" s="10"/>
      <c r="L277" s="10"/>
      <c r="M277" s="10"/>
      <c r="N277" s="10"/>
      <c r="O277" s="10"/>
    </row>
    <row r="278" spans="10:15" ht="12.75" x14ac:dyDescent="0.2">
      <c r="J278" s="10"/>
      <c r="K278" s="10"/>
      <c r="L278" s="10"/>
      <c r="M278" s="10"/>
      <c r="N278" s="10"/>
      <c r="O278" s="10"/>
    </row>
    <row r="279" spans="10:15" ht="12.75" x14ac:dyDescent="0.2">
      <c r="J279" s="10"/>
      <c r="K279" s="10"/>
      <c r="L279" s="10"/>
      <c r="M279" s="10"/>
      <c r="N279" s="10"/>
      <c r="O279" s="10"/>
    </row>
    <row r="280" spans="10:15" ht="12.75" x14ac:dyDescent="0.2">
      <c r="J280" s="10"/>
      <c r="K280" s="10"/>
      <c r="L280" s="10"/>
      <c r="M280" s="10"/>
      <c r="N280" s="10"/>
      <c r="O280" s="10"/>
    </row>
    <row r="281" spans="10:15" ht="12.75" x14ac:dyDescent="0.2">
      <c r="J281" s="10"/>
      <c r="K281" s="10"/>
      <c r="L281" s="10"/>
      <c r="M281" s="10"/>
      <c r="N281" s="10"/>
      <c r="O281" s="10"/>
    </row>
    <row r="282" spans="10:15" ht="12.75" x14ac:dyDescent="0.2">
      <c r="J282" s="10"/>
      <c r="K282" s="10"/>
      <c r="L282" s="10"/>
      <c r="M282" s="10"/>
      <c r="N282" s="10"/>
      <c r="O282" s="10"/>
    </row>
    <row r="283" spans="10:15" ht="12.75" x14ac:dyDescent="0.2">
      <c r="J283" s="10"/>
      <c r="K283" s="10"/>
      <c r="L283" s="10"/>
      <c r="M283" s="10"/>
      <c r="N283" s="10"/>
      <c r="O283" s="10"/>
    </row>
    <row r="284" spans="10:15" ht="12.75" x14ac:dyDescent="0.2">
      <c r="J284" s="10"/>
      <c r="K284" s="10"/>
      <c r="L284" s="10"/>
      <c r="M284" s="10"/>
      <c r="N284" s="10"/>
      <c r="O284" s="10"/>
    </row>
    <row r="285" spans="10:15" ht="12.75" x14ac:dyDescent="0.2">
      <c r="J285" s="10"/>
      <c r="K285" s="10"/>
      <c r="L285" s="10"/>
      <c r="M285" s="10"/>
      <c r="N285" s="10"/>
      <c r="O285" s="10"/>
    </row>
    <row r="286" spans="10:15" ht="12.75" x14ac:dyDescent="0.2">
      <c r="J286" s="10"/>
      <c r="K286" s="10"/>
      <c r="L286" s="10"/>
      <c r="M286" s="10"/>
      <c r="N286" s="10"/>
      <c r="O286" s="10"/>
    </row>
    <row r="287" spans="10:15" ht="12.75" x14ac:dyDescent="0.2">
      <c r="J287" s="10"/>
      <c r="K287" s="10"/>
      <c r="L287" s="10"/>
      <c r="M287" s="10"/>
      <c r="N287" s="10"/>
      <c r="O287" s="10"/>
    </row>
    <row r="288" spans="10:15" ht="12.75" x14ac:dyDescent="0.2">
      <c r="J288" s="10"/>
      <c r="K288" s="10"/>
      <c r="L288" s="10"/>
      <c r="M288" s="10"/>
      <c r="N288" s="10"/>
      <c r="O288" s="10"/>
    </row>
    <row r="289" spans="10:15" ht="12.75" x14ac:dyDescent="0.2">
      <c r="J289" s="10"/>
      <c r="K289" s="10"/>
      <c r="L289" s="10"/>
      <c r="M289" s="10"/>
      <c r="N289" s="10"/>
      <c r="O289" s="10"/>
    </row>
    <row r="290" spans="10:15" ht="12.75" x14ac:dyDescent="0.2">
      <c r="J290" s="10"/>
      <c r="K290" s="10"/>
      <c r="L290" s="10"/>
      <c r="M290" s="10"/>
      <c r="N290" s="10"/>
      <c r="O290" s="10"/>
    </row>
    <row r="291" spans="10:15" ht="12.75" x14ac:dyDescent="0.2">
      <c r="J291" s="10"/>
      <c r="K291" s="10"/>
      <c r="L291" s="10"/>
      <c r="M291" s="10"/>
      <c r="N291" s="10"/>
      <c r="O291" s="10"/>
    </row>
    <row r="292" spans="10:15" ht="12.75" x14ac:dyDescent="0.2">
      <c r="J292" s="10"/>
      <c r="K292" s="10"/>
      <c r="L292" s="10"/>
      <c r="M292" s="10"/>
      <c r="N292" s="10"/>
      <c r="O292" s="10"/>
    </row>
    <row r="293" spans="10:15" ht="12.75" x14ac:dyDescent="0.2">
      <c r="J293" s="10"/>
      <c r="K293" s="10"/>
      <c r="L293" s="10"/>
      <c r="M293" s="10"/>
      <c r="N293" s="10"/>
      <c r="O293" s="10"/>
    </row>
    <row r="294" spans="10:15" ht="12.75" x14ac:dyDescent="0.2">
      <c r="J294" s="10"/>
      <c r="K294" s="10"/>
      <c r="L294" s="10"/>
      <c r="M294" s="10"/>
      <c r="N294" s="10"/>
      <c r="O294" s="10"/>
    </row>
    <row r="295" spans="10:15" ht="12.75" x14ac:dyDescent="0.2">
      <c r="J295" s="10"/>
      <c r="K295" s="10"/>
      <c r="L295" s="10"/>
      <c r="M295" s="10"/>
      <c r="N295" s="10"/>
      <c r="O295" s="10"/>
    </row>
    <row r="296" spans="10:15" ht="12.75" x14ac:dyDescent="0.2">
      <c r="J296" s="10"/>
      <c r="K296" s="10"/>
      <c r="L296" s="10"/>
      <c r="M296" s="10"/>
      <c r="N296" s="10"/>
      <c r="O296" s="10"/>
    </row>
    <row r="297" spans="10:15" ht="12.75" x14ac:dyDescent="0.2">
      <c r="J297" s="10"/>
      <c r="K297" s="10"/>
      <c r="L297" s="10"/>
      <c r="M297" s="10"/>
      <c r="N297" s="10"/>
      <c r="O297" s="10"/>
    </row>
    <row r="298" spans="10:15" ht="12.75" x14ac:dyDescent="0.2">
      <c r="J298" s="10"/>
      <c r="K298" s="10"/>
      <c r="L298" s="10"/>
      <c r="M298" s="10"/>
      <c r="N298" s="10"/>
      <c r="O298" s="10"/>
    </row>
    <row r="299" spans="10:15" ht="12.75" x14ac:dyDescent="0.2">
      <c r="J299" s="10"/>
      <c r="K299" s="10"/>
      <c r="L299" s="10"/>
      <c r="M299" s="10"/>
      <c r="N299" s="10"/>
      <c r="O299" s="10"/>
    </row>
    <row r="300" spans="10:15" ht="12.75" x14ac:dyDescent="0.2">
      <c r="J300" s="10"/>
      <c r="K300" s="10"/>
      <c r="L300" s="10"/>
      <c r="M300" s="10"/>
      <c r="N300" s="10"/>
      <c r="O300" s="10"/>
    </row>
    <row r="301" spans="10:15" ht="12.75" x14ac:dyDescent="0.2">
      <c r="J301" s="10"/>
      <c r="K301" s="10"/>
      <c r="L301" s="10"/>
      <c r="M301" s="10"/>
      <c r="N301" s="10"/>
      <c r="O301" s="10"/>
    </row>
    <row r="302" spans="10:15" ht="12.75" x14ac:dyDescent="0.2">
      <c r="J302" s="10"/>
      <c r="K302" s="10"/>
      <c r="L302" s="10"/>
      <c r="M302" s="10"/>
      <c r="N302" s="10"/>
      <c r="O302" s="10"/>
    </row>
    <row r="303" spans="10:15" ht="12.75" x14ac:dyDescent="0.2">
      <c r="J303" s="10"/>
      <c r="K303" s="10"/>
      <c r="L303" s="10"/>
      <c r="M303" s="10"/>
      <c r="N303" s="10"/>
      <c r="O303" s="10"/>
    </row>
    <row r="304" spans="10:15" ht="12.75" x14ac:dyDescent="0.2">
      <c r="J304" s="10"/>
      <c r="K304" s="10"/>
      <c r="L304" s="10"/>
      <c r="M304" s="10"/>
      <c r="N304" s="10"/>
      <c r="O304" s="10"/>
    </row>
    <row r="305" spans="10:15" ht="12.75" x14ac:dyDescent="0.2">
      <c r="J305" s="10"/>
      <c r="K305" s="10"/>
      <c r="L305" s="10"/>
      <c r="M305" s="10"/>
      <c r="N305" s="10"/>
      <c r="O305" s="10"/>
    </row>
    <row r="306" spans="10:15" ht="12.75" x14ac:dyDescent="0.2">
      <c r="J306" s="10"/>
      <c r="K306" s="10"/>
      <c r="L306" s="10"/>
      <c r="M306" s="10"/>
      <c r="N306" s="10"/>
      <c r="O306" s="10"/>
    </row>
    <row r="307" spans="10:15" ht="12.75" x14ac:dyDescent="0.2">
      <c r="J307" s="10"/>
      <c r="K307" s="10"/>
      <c r="L307" s="10"/>
      <c r="M307" s="10"/>
      <c r="N307" s="10"/>
      <c r="O307" s="10"/>
    </row>
    <row r="308" spans="10:15" ht="12.75" x14ac:dyDescent="0.2">
      <c r="J308" s="10"/>
      <c r="K308" s="10"/>
      <c r="L308" s="10"/>
      <c r="M308" s="10"/>
      <c r="N308" s="10"/>
      <c r="O308" s="10"/>
    </row>
    <row r="309" spans="10:15" ht="12.75" x14ac:dyDescent="0.2">
      <c r="J309" s="10"/>
      <c r="K309" s="10"/>
      <c r="L309" s="10"/>
      <c r="M309" s="10"/>
      <c r="N309" s="10"/>
      <c r="O309" s="10"/>
    </row>
    <row r="310" spans="10:15" ht="12.75" x14ac:dyDescent="0.2">
      <c r="J310" s="10"/>
      <c r="K310" s="10"/>
      <c r="L310" s="10"/>
      <c r="M310" s="10"/>
      <c r="N310" s="10"/>
      <c r="O310" s="10"/>
    </row>
    <row r="311" spans="10:15" ht="12.75" x14ac:dyDescent="0.2">
      <c r="J311" s="10"/>
      <c r="K311" s="10"/>
      <c r="L311" s="10"/>
      <c r="M311" s="10"/>
      <c r="N311" s="10"/>
      <c r="O311" s="10"/>
    </row>
    <row r="312" spans="10:15" ht="12.75" x14ac:dyDescent="0.2">
      <c r="J312" s="10"/>
      <c r="K312" s="10"/>
      <c r="L312" s="10"/>
      <c r="M312" s="10"/>
      <c r="N312" s="10"/>
      <c r="O312" s="10"/>
    </row>
    <row r="313" spans="10:15" ht="12.75" x14ac:dyDescent="0.2">
      <c r="J313" s="10"/>
      <c r="K313" s="10"/>
      <c r="L313" s="10"/>
      <c r="M313" s="10"/>
      <c r="N313" s="10"/>
      <c r="O313" s="10"/>
    </row>
    <row r="314" spans="10:15" ht="12.75" x14ac:dyDescent="0.2">
      <c r="J314" s="10"/>
      <c r="K314" s="10"/>
      <c r="L314" s="10"/>
      <c r="M314" s="10"/>
      <c r="N314" s="10"/>
      <c r="O314" s="10"/>
    </row>
    <row r="315" spans="10:15" ht="12.75" x14ac:dyDescent="0.2">
      <c r="J315" s="10"/>
      <c r="K315" s="10"/>
      <c r="L315" s="10"/>
      <c r="M315" s="10"/>
      <c r="N315" s="10"/>
      <c r="O315" s="10"/>
    </row>
    <row r="316" spans="10:15" ht="12.75" x14ac:dyDescent="0.2">
      <c r="J316" s="10"/>
      <c r="K316" s="10"/>
      <c r="L316" s="10"/>
      <c r="M316" s="10"/>
      <c r="N316" s="10"/>
      <c r="O316" s="10"/>
    </row>
    <row r="317" spans="10:15" ht="12.75" x14ac:dyDescent="0.2">
      <c r="J317" s="10"/>
      <c r="K317" s="10"/>
      <c r="L317" s="10"/>
      <c r="M317" s="10"/>
      <c r="N317" s="10"/>
      <c r="O317" s="10"/>
    </row>
    <row r="318" spans="10:15" ht="12.75" x14ac:dyDescent="0.2">
      <c r="J318" s="10"/>
      <c r="K318" s="10"/>
      <c r="L318" s="10"/>
      <c r="M318" s="10"/>
      <c r="N318" s="10"/>
      <c r="O318" s="10"/>
    </row>
    <row r="319" spans="10:15" ht="12.75" x14ac:dyDescent="0.2">
      <c r="J319" s="10"/>
      <c r="K319" s="10"/>
      <c r="L319" s="10"/>
      <c r="M319" s="10"/>
      <c r="N319" s="10"/>
      <c r="O319" s="10"/>
    </row>
    <row r="320" spans="10:15" ht="12.75" x14ac:dyDescent="0.2">
      <c r="J320" s="10"/>
      <c r="K320" s="10"/>
      <c r="L320" s="10"/>
      <c r="M320" s="10"/>
      <c r="N320" s="10"/>
      <c r="O320" s="10"/>
    </row>
    <row r="321" spans="10:15" ht="12.75" x14ac:dyDescent="0.2">
      <c r="J321" s="10"/>
      <c r="K321" s="10"/>
      <c r="L321" s="10"/>
      <c r="M321" s="10"/>
      <c r="N321" s="10"/>
      <c r="O321" s="10"/>
    </row>
    <row r="322" spans="10:15" ht="12.75" x14ac:dyDescent="0.2">
      <c r="J322" s="10"/>
      <c r="K322" s="10"/>
      <c r="L322" s="10"/>
      <c r="M322" s="10"/>
      <c r="N322" s="10"/>
      <c r="O322" s="10"/>
    </row>
    <row r="323" spans="10:15" ht="12.75" x14ac:dyDescent="0.2">
      <c r="J323" s="10"/>
      <c r="K323" s="10"/>
      <c r="L323" s="10"/>
      <c r="M323" s="10"/>
      <c r="N323" s="10"/>
      <c r="O323" s="10"/>
    </row>
    <row r="324" spans="10:15" ht="12.75" x14ac:dyDescent="0.2">
      <c r="J324" s="10"/>
      <c r="K324" s="10"/>
      <c r="L324" s="10"/>
      <c r="M324" s="10"/>
      <c r="N324" s="10"/>
      <c r="O324" s="10"/>
    </row>
    <row r="325" spans="10:15" ht="12.75" x14ac:dyDescent="0.2">
      <c r="J325" s="10"/>
      <c r="K325" s="10"/>
      <c r="L325" s="10"/>
      <c r="M325" s="10"/>
      <c r="N325" s="10"/>
      <c r="O325" s="10"/>
    </row>
    <row r="326" spans="10:15" ht="12.75" x14ac:dyDescent="0.2">
      <c r="J326" s="10"/>
      <c r="K326" s="10"/>
      <c r="L326" s="10"/>
      <c r="M326" s="10"/>
      <c r="N326" s="10"/>
      <c r="O326" s="10"/>
    </row>
    <row r="327" spans="10:15" ht="12.75" x14ac:dyDescent="0.2">
      <c r="J327" s="10"/>
      <c r="K327" s="10"/>
      <c r="L327" s="10"/>
      <c r="M327" s="10"/>
      <c r="N327" s="10"/>
      <c r="O327" s="10"/>
    </row>
    <row r="328" spans="10:15" ht="12.75" x14ac:dyDescent="0.2">
      <c r="J328" s="10"/>
      <c r="K328" s="10"/>
      <c r="L328" s="10"/>
      <c r="M328" s="10"/>
      <c r="N328" s="10"/>
      <c r="O328" s="10"/>
    </row>
    <row r="329" spans="10:15" ht="12.75" x14ac:dyDescent="0.2">
      <c r="J329" s="10"/>
      <c r="K329" s="10"/>
      <c r="L329" s="10"/>
      <c r="M329" s="10"/>
      <c r="N329" s="10"/>
      <c r="O329" s="10"/>
    </row>
    <row r="330" spans="10:15" ht="12.75" x14ac:dyDescent="0.2">
      <c r="J330" s="10"/>
      <c r="K330" s="10"/>
      <c r="L330" s="10"/>
      <c r="M330" s="10"/>
      <c r="N330" s="10"/>
      <c r="O330" s="10"/>
    </row>
    <row r="331" spans="10:15" ht="12.75" x14ac:dyDescent="0.2">
      <c r="J331" s="10"/>
      <c r="K331" s="10"/>
      <c r="L331" s="10"/>
      <c r="M331" s="10"/>
      <c r="N331" s="10"/>
      <c r="O331" s="10"/>
    </row>
    <row r="332" spans="10:15" ht="12.75" x14ac:dyDescent="0.2">
      <c r="J332" s="10"/>
      <c r="K332" s="10"/>
      <c r="L332" s="10"/>
      <c r="M332" s="10"/>
      <c r="N332" s="10"/>
      <c r="O332" s="10"/>
    </row>
    <row r="333" spans="10:15" ht="12.75" x14ac:dyDescent="0.2">
      <c r="J333" s="10"/>
      <c r="K333" s="10"/>
      <c r="L333" s="10"/>
      <c r="M333" s="10"/>
      <c r="N333" s="10"/>
      <c r="O333" s="10"/>
    </row>
    <row r="334" spans="10:15" ht="12.75" x14ac:dyDescent="0.2">
      <c r="J334" s="10"/>
      <c r="K334" s="10"/>
      <c r="L334" s="10"/>
      <c r="M334" s="10"/>
      <c r="N334" s="10"/>
      <c r="O334" s="10"/>
    </row>
    <row r="335" spans="10:15" ht="12.75" x14ac:dyDescent="0.2">
      <c r="J335" s="10"/>
      <c r="K335" s="10"/>
      <c r="L335" s="10"/>
      <c r="M335" s="10"/>
      <c r="N335" s="10"/>
      <c r="O335" s="10"/>
    </row>
    <row r="336" spans="10:15" ht="12.75" x14ac:dyDescent="0.2">
      <c r="J336" s="10"/>
      <c r="K336" s="10"/>
      <c r="L336" s="10"/>
      <c r="M336" s="10"/>
      <c r="N336" s="10"/>
      <c r="O336" s="10"/>
    </row>
    <row r="337" spans="10:15" ht="12.75" x14ac:dyDescent="0.2">
      <c r="J337" s="10"/>
      <c r="K337" s="10"/>
      <c r="L337" s="10"/>
      <c r="M337" s="10"/>
      <c r="N337" s="10"/>
      <c r="O337" s="10"/>
    </row>
    <row r="338" spans="10:15" ht="12.75" x14ac:dyDescent="0.2">
      <c r="J338" s="10"/>
      <c r="K338" s="10"/>
      <c r="L338" s="10"/>
      <c r="M338" s="10"/>
      <c r="N338" s="10"/>
      <c r="O338" s="10"/>
    </row>
    <row r="339" spans="10:15" ht="12.75" x14ac:dyDescent="0.2">
      <c r="J339" s="10"/>
      <c r="K339" s="10"/>
      <c r="L339" s="10"/>
      <c r="M339" s="10"/>
      <c r="N339" s="10"/>
      <c r="O339" s="10"/>
    </row>
    <row r="340" spans="10:15" ht="12.75" x14ac:dyDescent="0.2">
      <c r="J340" s="10"/>
      <c r="K340" s="10"/>
      <c r="L340" s="10"/>
      <c r="M340" s="10"/>
      <c r="N340" s="10"/>
      <c r="O340" s="10"/>
    </row>
    <row r="341" spans="10:15" ht="12.75" x14ac:dyDescent="0.2">
      <c r="J341" s="10"/>
      <c r="K341" s="10"/>
      <c r="L341" s="10"/>
      <c r="M341" s="10"/>
      <c r="N341" s="10"/>
      <c r="O341" s="10"/>
    </row>
    <row r="342" spans="10:15" ht="12.75" x14ac:dyDescent="0.2">
      <c r="J342" s="10"/>
      <c r="K342" s="10"/>
      <c r="L342" s="10"/>
      <c r="M342" s="10"/>
      <c r="N342" s="10"/>
      <c r="O342" s="10"/>
    </row>
    <row r="343" spans="10:15" ht="12.75" x14ac:dyDescent="0.2">
      <c r="J343" s="10"/>
      <c r="K343" s="10"/>
      <c r="L343" s="10"/>
      <c r="M343" s="10"/>
      <c r="N343" s="10"/>
      <c r="O343" s="10"/>
    </row>
    <row r="344" spans="10:15" ht="12.75" x14ac:dyDescent="0.2">
      <c r="J344" s="10"/>
      <c r="K344" s="10"/>
      <c r="L344" s="10"/>
      <c r="M344" s="10"/>
      <c r="N344" s="10"/>
      <c r="O344" s="10"/>
    </row>
    <row r="345" spans="10:15" ht="12.75" x14ac:dyDescent="0.2">
      <c r="J345" s="10"/>
      <c r="K345" s="10"/>
      <c r="L345" s="10"/>
      <c r="M345" s="10"/>
      <c r="N345" s="10"/>
      <c r="O345" s="10"/>
    </row>
    <row r="346" spans="10:15" ht="12.75" x14ac:dyDescent="0.2">
      <c r="J346" s="10"/>
      <c r="K346" s="10"/>
      <c r="L346" s="10"/>
      <c r="M346" s="10"/>
      <c r="N346" s="10"/>
      <c r="O346" s="10"/>
    </row>
    <row r="347" spans="10:15" ht="12.75" x14ac:dyDescent="0.2">
      <c r="J347" s="10"/>
      <c r="K347" s="10"/>
      <c r="L347" s="10"/>
      <c r="M347" s="10"/>
      <c r="N347" s="10"/>
      <c r="O347" s="10"/>
    </row>
    <row r="348" spans="10:15" ht="12.75" x14ac:dyDescent="0.2">
      <c r="J348" s="10"/>
      <c r="K348" s="10"/>
      <c r="L348" s="10"/>
      <c r="M348" s="10"/>
      <c r="N348" s="10"/>
      <c r="O348" s="10"/>
    </row>
    <row r="349" spans="10:15" ht="12.75" x14ac:dyDescent="0.2">
      <c r="J349" s="10"/>
      <c r="K349" s="10"/>
      <c r="L349" s="10"/>
      <c r="M349" s="10"/>
      <c r="N349" s="10"/>
      <c r="O349" s="10"/>
    </row>
    <row r="350" spans="10:15" ht="12.75" x14ac:dyDescent="0.2">
      <c r="J350" s="10"/>
      <c r="K350" s="10"/>
      <c r="L350" s="10"/>
      <c r="M350" s="10"/>
      <c r="N350" s="10"/>
      <c r="O350" s="10"/>
    </row>
    <row r="351" spans="10:15" ht="12.75" x14ac:dyDescent="0.2">
      <c r="J351" s="10"/>
      <c r="K351" s="10"/>
      <c r="L351" s="10"/>
      <c r="M351" s="10"/>
      <c r="N351" s="10"/>
      <c r="O351" s="10"/>
    </row>
    <row r="352" spans="10:15" ht="12.75" x14ac:dyDescent="0.2">
      <c r="J352" s="10"/>
      <c r="K352" s="10"/>
      <c r="L352" s="10"/>
      <c r="M352" s="10"/>
      <c r="N352" s="10"/>
      <c r="O352" s="10"/>
    </row>
    <row r="353" spans="10:15" ht="12.75" x14ac:dyDescent="0.2">
      <c r="J353" s="10"/>
      <c r="K353" s="10"/>
      <c r="L353" s="10"/>
      <c r="M353" s="10"/>
      <c r="N353" s="10"/>
      <c r="O353" s="10"/>
    </row>
    <row r="354" spans="10:15" ht="12.75" x14ac:dyDescent="0.2">
      <c r="J354" s="10"/>
      <c r="K354" s="10"/>
      <c r="L354" s="10"/>
      <c r="M354" s="10"/>
      <c r="N354" s="10"/>
      <c r="O354" s="10"/>
    </row>
    <row r="355" spans="10:15" ht="12.75" x14ac:dyDescent="0.2">
      <c r="J355" s="10"/>
      <c r="K355" s="10"/>
      <c r="L355" s="10"/>
      <c r="M355" s="10"/>
      <c r="N355" s="10"/>
      <c r="O355" s="10"/>
    </row>
    <row r="356" spans="10:15" ht="12.75" x14ac:dyDescent="0.2">
      <c r="J356" s="10"/>
      <c r="K356" s="10"/>
      <c r="L356" s="10"/>
      <c r="M356" s="10"/>
      <c r="N356" s="10"/>
      <c r="O356" s="10"/>
    </row>
    <row r="357" spans="10:15" ht="12.75" x14ac:dyDescent="0.2">
      <c r="J357" s="10"/>
      <c r="K357" s="10"/>
      <c r="L357" s="10"/>
      <c r="M357" s="10"/>
      <c r="N357" s="10"/>
      <c r="O357" s="10"/>
    </row>
    <row r="358" spans="10:15" ht="12.75" x14ac:dyDescent="0.2">
      <c r="J358" s="10"/>
      <c r="K358" s="10"/>
      <c r="L358" s="10"/>
      <c r="M358" s="10"/>
      <c r="N358" s="10"/>
      <c r="O358" s="10"/>
    </row>
    <row r="359" spans="10:15" ht="12.75" x14ac:dyDescent="0.2">
      <c r="J359" s="10"/>
      <c r="K359" s="10"/>
      <c r="L359" s="10"/>
      <c r="M359" s="10"/>
      <c r="N359" s="10"/>
      <c r="O359" s="10"/>
    </row>
    <row r="360" spans="10:15" ht="12.75" x14ac:dyDescent="0.2">
      <c r="J360" s="10"/>
      <c r="K360" s="10"/>
      <c r="L360" s="10"/>
      <c r="M360" s="10"/>
      <c r="N360" s="10"/>
      <c r="O360" s="10"/>
    </row>
    <row r="361" spans="10:15" ht="12.75" x14ac:dyDescent="0.2">
      <c r="J361" s="10"/>
      <c r="K361" s="10"/>
      <c r="L361" s="10"/>
      <c r="M361" s="10"/>
      <c r="N361" s="10"/>
      <c r="O361" s="10"/>
    </row>
    <row r="362" spans="10:15" ht="12.75" x14ac:dyDescent="0.2">
      <c r="J362" s="10"/>
      <c r="K362" s="10"/>
      <c r="L362" s="10"/>
      <c r="M362" s="10"/>
      <c r="N362" s="10"/>
      <c r="O362" s="10"/>
    </row>
    <row r="363" spans="10:15" ht="12.75" x14ac:dyDescent="0.2">
      <c r="J363" s="10"/>
      <c r="K363" s="10"/>
      <c r="L363" s="10"/>
      <c r="M363" s="10"/>
      <c r="N363" s="10"/>
      <c r="O363" s="10"/>
    </row>
    <row r="364" spans="10:15" ht="12.75" x14ac:dyDescent="0.2">
      <c r="J364" s="10"/>
      <c r="K364" s="10"/>
      <c r="L364" s="10"/>
      <c r="M364" s="10"/>
      <c r="N364" s="10"/>
      <c r="O364" s="10"/>
    </row>
    <row r="365" spans="10:15" ht="12.75" x14ac:dyDescent="0.2">
      <c r="J365" s="10"/>
      <c r="K365" s="10"/>
      <c r="L365" s="10"/>
      <c r="M365" s="10"/>
      <c r="N365" s="10"/>
      <c r="O365" s="10"/>
    </row>
    <row r="366" spans="10:15" ht="12.75" x14ac:dyDescent="0.2">
      <c r="J366" s="10"/>
      <c r="K366" s="10"/>
      <c r="L366" s="10"/>
      <c r="M366" s="10"/>
      <c r="N366" s="10"/>
      <c r="O366" s="10"/>
    </row>
    <row r="367" spans="10:15" ht="12.75" x14ac:dyDescent="0.2">
      <c r="J367" s="10"/>
      <c r="K367" s="10"/>
      <c r="L367" s="10"/>
      <c r="M367" s="10"/>
      <c r="N367" s="10"/>
      <c r="O367" s="10"/>
    </row>
    <row r="368" spans="10:15" ht="12.75" x14ac:dyDescent="0.2">
      <c r="J368" s="10"/>
      <c r="K368" s="10"/>
      <c r="L368" s="10"/>
      <c r="M368" s="10"/>
      <c r="N368" s="10"/>
      <c r="O368" s="10"/>
    </row>
    <row r="369" spans="10:15" ht="12.75" x14ac:dyDescent="0.2">
      <c r="J369" s="10"/>
      <c r="K369" s="10"/>
      <c r="L369" s="10"/>
      <c r="M369" s="10"/>
      <c r="N369" s="10"/>
      <c r="O369" s="10"/>
    </row>
    <row r="370" spans="10:15" ht="12.75" x14ac:dyDescent="0.2">
      <c r="J370" s="10"/>
      <c r="K370" s="10"/>
      <c r="L370" s="10"/>
      <c r="M370" s="10"/>
      <c r="N370" s="10"/>
      <c r="O370" s="10"/>
    </row>
    <row r="371" spans="10:15" ht="12.75" x14ac:dyDescent="0.2">
      <c r="J371" s="10"/>
      <c r="K371" s="10"/>
      <c r="L371" s="10"/>
      <c r="M371" s="10"/>
      <c r="N371" s="10"/>
      <c r="O371" s="10"/>
    </row>
    <row r="372" spans="10:15" ht="12.75" x14ac:dyDescent="0.2">
      <c r="J372" s="10"/>
      <c r="K372" s="10"/>
      <c r="L372" s="10"/>
      <c r="M372" s="10"/>
      <c r="N372" s="10"/>
      <c r="O372" s="10"/>
    </row>
    <row r="373" spans="10:15" ht="12.75" x14ac:dyDescent="0.2">
      <c r="J373" s="10"/>
      <c r="K373" s="10"/>
      <c r="L373" s="10"/>
      <c r="M373" s="10"/>
      <c r="N373" s="10"/>
      <c r="O373" s="10"/>
    </row>
    <row r="374" spans="10:15" ht="12.75" x14ac:dyDescent="0.2">
      <c r="J374" s="10"/>
      <c r="K374" s="10"/>
      <c r="L374" s="10"/>
      <c r="M374" s="10"/>
      <c r="N374" s="10"/>
      <c r="O374" s="10"/>
    </row>
    <row r="375" spans="10:15" ht="12.75" x14ac:dyDescent="0.2">
      <c r="J375" s="10"/>
      <c r="K375" s="10"/>
      <c r="L375" s="10"/>
      <c r="M375" s="10"/>
      <c r="N375" s="10"/>
      <c r="O375" s="10"/>
    </row>
    <row r="376" spans="10:15" ht="12.75" x14ac:dyDescent="0.2">
      <c r="J376" s="10"/>
      <c r="K376" s="10"/>
      <c r="L376" s="10"/>
      <c r="M376" s="10"/>
      <c r="N376" s="10"/>
      <c r="O376" s="10"/>
    </row>
    <row r="377" spans="10:15" ht="12.75" x14ac:dyDescent="0.2">
      <c r="J377" s="10"/>
      <c r="K377" s="10"/>
      <c r="L377" s="10"/>
      <c r="M377" s="10"/>
      <c r="N377" s="10"/>
      <c r="O377" s="10"/>
    </row>
    <row r="378" spans="10:15" ht="12.75" x14ac:dyDescent="0.2">
      <c r="J378" s="10"/>
      <c r="K378" s="10"/>
      <c r="L378" s="10"/>
      <c r="M378" s="10"/>
      <c r="N378" s="10"/>
      <c r="O378" s="10"/>
    </row>
    <row r="379" spans="10:15" ht="12.75" x14ac:dyDescent="0.2">
      <c r="J379" s="10"/>
      <c r="K379" s="10"/>
      <c r="L379" s="10"/>
      <c r="M379" s="10"/>
      <c r="N379" s="10"/>
      <c r="O379" s="10"/>
    </row>
    <row r="380" spans="10:15" ht="12.75" x14ac:dyDescent="0.2">
      <c r="J380" s="10"/>
      <c r="K380" s="10"/>
      <c r="L380" s="10"/>
      <c r="M380" s="10"/>
      <c r="N380" s="10"/>
      <c r="O380" s="10"/>
    </row>
    <row r="381" spans="10:15" ht="12.75" x14ac:dyDescent="0.2">
      <c r="J381" s="10"/>
      <c r="K381" s="10"/>
      <c r="L381" s="10"/>
      <c r="M381" s="10"/>
      <c r="N381" s="10"/>
      <c r="O381" s="10"/>
    </row>
    <row r="382" spans="10:15" ht="12.75" x14ac:dyDescent="0.2">
      <c r="J382" s="10"/>
      <c r="K382" s="10"/>
      <c r="L382" s="10"/>
      <c r="M382" s="10"/>
      <c r="N382" s="10"/>
      <c r="O382" s="10"/>
    </row>
    <row r="383" spans="10:15" ht="12.75" x14ac:dyDescent="0.2">
      <c r="J383" s="10"/>
      <c r="K383" s="10"/>
      <c r="L383" s="10"/>
      <c r="M383" s="10"/>
      <c r="N383" s="10"/>
      <c r="O383" s="10"/>
    </row>
    <row r="384" spans="10:15" ht="12.75" x14ac:dyDescent="0.2">
      <c r="J384" s="10"/>
      <c r="K384" s="10"/>
      <c r="L384" s="10"/>
      <c r="M384" s="10"/>
      <c r="N384" s="10"/>
      <c r="O384" s="10"/>
    </row>
    <row r="385" spans="10:15" ht="12.75" x14ac:dyDescent="0.2">
      <c r="J385" s="10"/>
      <c r="K385" s="10"/>
      <c r="L385" s="10"/>
      <c r="M385" s="10"/>
      <c r="N385" s="10"/>
      <c r="O385" s="10"/>
    </row>
    <row r="386" spans="10:15" ht="12.75" x14ac:dyDescent="0.2">
      <c r="J386" s="10"/>
      <c r="K386" s="10"/>
      <c r="L386" s="10"/>
      <c r="M386" s="10"/>
      <c r="N386" s="10"/>
      <c r="O386" s="10"/>
    </row>
    <row r="387" spans="10:15" ht="12.75" x14ac:dyDescent="0.2">
      <c r="J387" s="10"/>
      <c r="K387" s="10"/>
      <c r="L387" s="10"/>
      <c r="M387" s="10"/>
      <c r="N387" s="10"/>
      <c r="O387" s="10"/>
    </row>
    <row r="388" spans="10:15" ht="12.75" x14ac:dyDescent="0.2">
      <c r="J388" s="10"/>
      <c r="K388" s="10"/>
      <c r="L388" s="10"/>
      <c r="M388" s="10"/>
      <c r="N388" s="10"/>
      <c r="O388" s="10"/>
    </row>
    <row r="389" spans="10:15" ht="12.75" x14ac:dyDescent="0.2">
      <c r="J389" s="10"/>
      <c r="K389" s="10"/>
      <c r="L389" s="10"/>
      <c r="M389" s="10"/>
      <c r="N389" s="10"/>
      <c r="O389" s="10"/>
    </row>
    <row r="390" spans="10:15" ht="12.75" x14ac:dyDescent="0.2">
      <c r="J390" s="10"/>
      <c r="K390" s="10"/>
      <c r="L390" s="10"/>
      <c r="M390" s="10"/>
      <c r="N390" s="10"/>
      <c r="O390" s="10"/>
    </row>
    <row r="391" spans="10:15" ht="12.75" x14ac:dyDescent="0.2">
      <c r="J391" s="10"/>
      <c r="K391" s="10"/>
      <c r="L391" s="10"/>
      <c r="M391" s="10"/>
      <c r="N391" s="10"/>
      <c r="O391" s="10"/>
    </row>
    <row r="392" spans="10:15" ht="12.75" x14ac:dyDescent="0.2">
      <c r="J392" s="10"/>
      <c r="K392" s="10"/>
      <c r="L392" s="10"/>
      <c r="M392" s="10"/>
      <c r="N392" s="10"/>
      <c r="O392" s="10"/>
    </row>
    <row r="393" spans="10:15" ht="12.75" x14ac:dyDescent="0.2">
      <c r="J393" s="10"/>
      <c r="K393" s="10"/>
      <c r="L393" s="10"/>
      <c r="M393" s="10"/>
      <c r="N393" s="10"/>
      <c r="O393" s="10"/>
    </row>
    <row r="394" spans="10:15" ht="12.75" x14ac:dyDescent="0.2">
      <c r="J394" s="10"/>
      <c r="K394" s="10"/>
      <c r="L394" s="10"/>
      <c r="M394" s="10"/>
      <c r="N394" s="10"/>
      <c r="O394" s="10"/>
    </row>
    <row r="395" spans="10:15" ht="12.75" x14ac:dyDescent="0.2">
      <c r="J395" s="10"/>
      <c r="K395" s="10"/>
      <c r="L395" s="10"/>
      <c r="M395" s="10"/>
      <c r="N395" s="10"/>
      <c r="O395" s="10"/>
    </row>
    <row r="396" spans="10:15" ht="12.75" x14ac:dyDescent="0.2">
      <c r="J396" s="10"/>
      <c r="K396" s="10"/>
      <c r="L396" s="10"/>
      <c r="M396" s="10"/>
      <c r="N396" s="10"/>
      <c r="O396" s="10"/>
    </row>
    <row r="397" spans="10:15" ht="12.75" x14ac:dyDescent="0.2">
      <c r="J397" s="10"/>
      <c r="K397" s="10"/>
      <c r="L397" s="10"/>
      <c r="M397" s="10"/>
      <c r="N397" s="10"/>
      <c r="O397" s="10"/>
    </row>
    <row r="398" spans="10:15" ht="12.75" x14ac:dyDescent="0.2">
      <c r="J398" s="10"/>
      <c r="K398" s="10"/>
      <c r="L398" s="10"/>
      <c r="M398" s="10"/>
      <c r="N398" s="10"/>
      <c r="O398" s="10"/>
    </row>
    <row r="399" spans="10:15" ht="12.75" x14ac:dyDescent="0.2">
      <c r="J399" s="10"/>
      <c r="K399" s="10"/>
      <c r="L399" s="10"/>
      <c r="M399" s="10"/>
      <c r="N399" s="10"/>
      <c r="O399" s="10"/>
    </row>
    <row r="400" spans="10:15" ht="12.75" x14ac:dyDescent="0.2">
      <c r="J400" s="10"/>
      <c r="K400" s="10"/>
      <c r="L400" s="10"/>
      <c r="M400" s="10"/>
      <c r="N400" s="10"/>
      <c r="O400" s="10"/>
    </row>
    <row r="401" spans="10:15" ht="12.75" x14ac:dyDescent="0.2">
      <c r="J401" s="10"/>
      <c r="K401" s="10"/>
      <c r="L401" s="10"/>
      <c r="M401" s="10"/>
      <c r="N401" s="10"/>
      <c r="O401" s="10"/>
    </row>
    <row r="402" spans="10:15" ht="12.75" x14ac:dyDescent="0.2">
      <c r="J402" s="10"/>
      <c r="K402" s="10"/>
      <c r="L402" s="10"/>
      <c r="M402" s="10"/>
      <c r="N402" s="10"/>
      <c r="O402" s="10"/>
    </row>
    <row r="403" spans="10:15" ht="12.75" x14ac:dyDescent="0.2">
      <c r="J403" s="10"/>
      <c r="K403" s="10"/>
      <c r="L403" s="10"/>
      <c r="M403" s="10"/>
      <c r="N403" s="10"/>
      <c r="O403" s="10"/>
    </row>
    <row r="404" spans="10:15" ht="12.75" x14ac:dyDescent="0.2">
      <c r="J404" s="10"/>
      <c r="K404" s="10"/>
      <c r="L404" s="10"/>
      <c r="M404" s="10"/>
      <c r="N404" s="10"/>
      <c r="O404" s="10"/>
    </row>
    <row r="405" spans="10:15" ht="12.75" x14ac:dyDescent="0.2">
      <c r="J405" s="10"/>
      <c r="K405" s="10"/>
      <c r="L405" s="10"/>
      <c r="M405" s="10"/>
      <c r="N405" s="10"/>
      <c r="O405" s="10"/>
    </row>
    <row r="406" spans="10:15" ht="12.75" x14ac:dyDescent="0.2">
      <c r="J406" s="10"/>
      <c r="K406" s="10"/>
      <c r="L406" s="10"/>
      <c r="M406" s="10"/>
      <c r="N406" s="10"/>
      <c r="O406" s="10"/>
    </row>
    <row r="407" spans="10:15" ht="12.75" x14ac:dyDescent="0.2">
      <c r="J407" s="10"/>
      <c r="K407" s="10"/>
      <c r="L407" s="10"/>
      <c r="M407" s="10"/>
      <c r="N407" s="10"/>
      <c r="O407" s="10"/>
    </row>
    <row r="408" spans="10:15" ht="12.75" x14ac:dyDescent="0.2">
      <c r="J408" s="10"/>
      <c r="K408" s="10"/>
      <c r="L408" s="10"/>
      <c r="M408" s="10"/>
      <c r="N408" s="10"/>
      <c r="O408" s="10"/>
    </row>
    <row r="409" spans="10:15" ht="12.75" x14ac:dyDescent="0.2">
      <c r="J409" s="10"/>
      <c r="K409" s="10"/>
      <c r="L409" s="10"/>
      <c r="M409" s="10"/>
      <c r="N409" s="10"/>
      <c r="O409" s="10"/>
    </row>
    <row r="410" spans="10:15" ht="12.75" x14ac:dyDescent="0.2">
      <c r="J410" s="10"/>
      <c r="K410" s="10"/>
      <c r="L410" s="10"/>
      <c r="M410" s="10"/>
      <c r="N410" s="10"/>
      <c r="O410" s="10"/>
    </row>
    <row r="411" spans="10:15" ht="12.75" x14ac:dyDescent="0.2">
      <c r="J411" s="10"/>
      <c r="K411" s="10"/>
      <c r="L411" s="10"/>
      <c r="M411" s="10"/>
      <c r="N411" s="10"/>
      <c r="O411" s="10"/>
    </row>
    <row r="412" spans="10:15" ht="12.75" x14ac:dyDescent="0.2">
      <c r="J412" s="10"/>
      <c r="K412" s="10"/>
      <c r="L412" s="10"/>
      <c r="M412" s="10"/>
      <c r="N412" s="10"/>
      <c r="O412" s="10"/>
    </row>
    <row r="413" spans="10:15" ht="12.75" x14ac:dyDescent="0.2">
      <c r="J413" s="10"/>
      <c r="K413" s="10"/>
      <c r="L413" s="10"/>
      <c r="M413" s="10"/>
      <c r="N413" s="10"/>
      <c r="O413" s="10"/>
    </row>
    <row r="414" spans="10:15" ht="12.75" x14ac:dyDescent="0.2">
      <c r="J414" s="10"/>
      <c r="K414" s="10"/>
      <c r="L414" s="10"/>
      <c r="M414" s="10"/>
      <c r="N414" s="10"/>
      <c r="O414" s="10"/>
    </row>
    <row r="415" spans="10:15" ht="12.75" x14ac:dyDescent="0.2">
      <c r="J415" s="10"/>
      <c r="K415" s="10"/>
      <c r="L415" s="10"/>
      <c r="M415" s="10"/>
      <c r="N415" s="10"/>
      <c r="O415" s="10"/>
    </row>
    <row r="416" spans="10:15" ht="12.75" x14ac:dyDescent="0.2">
      <c r="J416" s="10"/>
      <c r="K416" s="10"/>
      <c r="L416" s="10"/>
      <c r="M416" s="10"/>
      <c r="N416" s="10"/>
      <c r="O416" s="10"/>
    </row>
    <row r="417" spans="10:15" ht="12.75" x14ac:dyDescent="0.2">
      <c r="J417" s="10"/>
      <c r="K417" s="10"/>
      <c r="L417" s="10"/>
      <c r="M417" s="10"/>
      <c r="N417" s="10"/>
      <c r="O417" s="10"/>
    </row>
    <row r="418" spans="10:15" ht="12.75" x14ac:dyDescent="0.2">
      <c r="J418" s="10"/>
      <c r="K418" s="10"/>
      <c r="L418" s="10"/>
      <c r="M418" s="10"/>
      <c r="N418" s="10"/>
      <c r="O418" s="10"/>
    </row>
    <row r="419" spans="10:15" ht="12.75" x14ac:dyDescent="0.2">
      <c r="J419" s="10"/>
      <c r="K419" s="10"/>
      <c r="L419" s="10"/>
      <c r="M419" s="10"/>
      <c r="N419" s="10"/>
      <c r="O419" s="10"/>
    </row>
    <row r="420" spans="10:15" ht="12.75" x14ac:dyDescent="0.2">
      <c r="J420" s="10"/>
      <c r="K420" s="10"/>
      <c r="L420" s="10"/>
      <c r="M420" s="10"/>
      <c r="N420" s="10"/>
      <c r="O420" s="10"/>
    </row>
    <row r="421" spans="10:15" ht="12.75" x14ac:dyDescent="0.2">
      <c r="J421" s="10"/>
      <c r="K421" s="10"/>
      <c r="L421" s="10"/>
      <c r="M421" s="10"/>
      <c r="N421" s="10"/>
      <c r="O421" s="10"/>
    </row>
    <row r="422" spans="10:15" ht="12.75" x14ac:dyDescent="0.2">
      <c r="J422" s="10"/>
      <c r="K422" s="10"/>
      <c r="L422" s="10"/>
      <c r="M422" s="10"/>
      <c r="N422" s="10"/>
      <c r="O422" s="10"/>
    </row>
    <row r="423" spans="10:15" ht="12.75" x14ac:dyDescent="0.2">
      <c r="J423" s="10"/>
      <c r="K423" s="10"/>
      <c r="L423" s="10"/>
      <c r="M423" s="10"/>
      <c r="N423" s="10"/>
      <c r="O423" s="10"/>
    </row>
    <row r="424" spans="10:15" ht="12.75" x14ac:dyDescent="0.2">
      <c r="J424" s="10"/>
      <c r="K424" s="10"/>
      <c r="L424" s="10"/>
      <c r="M424" s="10"/>
      <c r="N424" s="10"/>
      <c r="O424" s="10"/>
    </row>
    <row r="425" spans="10:15" ht="12.75" x14ac:dyDescent="0.2">
      <c r="J425" s="10"/>
      <c r="K425" s="10"/>
      <c r="L425" s="10"/>
      <c r="M425" s="10"/>
      <c r="N425" s="10"/>
      <c r="O425" s="10"/>
    </row>
    <row r="426" spans="10:15" ht="12.75" x14ac:dyDescent="0.2">
      <c r="J426" s="10"/>
      <c r="K426" s="10"/>
      <c r="L426" s="10"/>
      <c r="M426" s="10"/>
      <c r="N426" s="10"/>
      <c r="O426" s="10"/>
    </row>
    <row r="427" spans="10:15" ht="12.75" x14ac:dyDescent="0.2">
      <c r="J427" s="10"/>
      <c r="K427" s="10"/>
      <c r="L427" s="10"/>
      <c r="M427" s="10"/>
      <c r="N427" s="10"/>
      <c r="O427" s="10"/>
    </row>
    <row r="428" spans="10:15" ht="12.75" x14ac:dyDescent="0.2">
      <c r="J428" s="10"/>
      <c r="K428" s="10"/>
      <c r="L428" s="10"/>
      <c r="M428" s="10"/>
      <c r="N428" s="10"/>
      <c r="O428" s="10"/>
    </row>
    <row r="429" spans="10:15" ht="12.75" x14ac:dyDescent="0.2">
      <c r="J429" s="10"/>
      <c r="K429" s="10"/>
      <c r="L429" s="10"/>
      <c r="M429" s="10"/>
      <c r="N429" s="10"/>
      <c r="O429" s="10"/>
    </row>
    <row r="430" spans="10:15" ht="12.75" x14ac:dyDescent="0.2">
      <c r="J430" s="10"/>
      <c r="K430" s="10"/>
      <c r="L430" s="10"/>
      <c r="M430" s="10"/>
      <c r="N430" s="10"/>
      <c r="O430" s="10"/>
    </row>
    <row r="431" spans="10:15" ht="12.75" x14ac:dyDescent="0.2">
      <c r="J431" s="10"/>
      <c r="K431" s="10"/>
      <c r="L431" s="10"/>
      <c r="M431" s="10"/>
      <c r="N431" s="10"/>
      <c r="O431" s="10"/>
    </row>
    <row r="432" spans="10:15" ht="12.75" x14ac:dyDescent="0.2">
      <c r="J432" s="10"/>
      <c r="K432" s="10"/>
      <c r="L432" s="10"/>
      <c r="M432" s="10"/>
      <c r="N432" s="10"/>
      <c r="O432" s="10"/>
    </row>
    <row r="433" spans="10:15" ht="12.75" x14ac:dyDescent="0.2">
      <c r="J433" s="10"/>
      <c r="K433" s="10"/>
      <c r="L433" s="10"/>
      <c r="M433" s="10"/>
      <c r="N433" s="10"/>
      <c r="O433" s="10"/>
    </row>
    <row r="434" spans="10:15" ht="12.75" x14ac:dyDescent="0.2">
      <c r="J434" s="10"/>
      <c r="K434" s="10"/>
      <c r="L434" s="10"/>
      <c r="M434" s="10"/>
      <c r="N434" s="10"/>
      <c r="O434" s="10"/>
    </row>
    <row r="435" spans="10:15" ht="12.75" x14ac:dyDescent="0.2">
      <c r="J435" s="10"/>
      <c r="K435" s="10"/>
      <c r="L435" s="10"/>
      <c r="M435" s="10"/>
      <c r="N435" s="10"/>
      <c r="O435" s="10"/>
    </row>
    <row r="436" spans="10:15" ht="12.75" x14ac:dyDescent="0.2">
      <c r="J436" s="10"/>
      <c r="K436" s="10"/>
      <c r="L436" s="10"/>
      <c r="M436" s="10"/>
      <c r="N436" s="10"/>
      <c r="O436" s="10"/>
    </row>
    <row r="437" spans="10:15" ht="12.75" x14ac:dyDescent="0.2">
      <c r="J437" s="10"/>
      <c r="K437" s="10"/>
      <c r="L437" s="10"/>
      <c r="M437" s="10"/>
      <c r="N437" s="10"/>
      <c r="O437" s="10"/>
    </row>
    <row r="438" spans="10:15" ht="12.75" x14ac:dyDescent="0.2">
      <c r="J438" s="10"/>
      <c r="K438" s="10"/>
      <c r="L438" s="10"/>
      <c r="M438" s="10"/>
      <c r="N438" s="10"/>
      <c r="O438" s="10"/>
    </row>
    <row r="439" spans="10:15" ht="12.75" x14ac:dyDescent="0.2">
      <c r="J439" s="10"/>
      <c r="K439" s="10"/>
      <c r="L439" s="10"/>
      <c r="M439" s="10"/>
      <c r="N439" s="10"/>
      <c r="O439" s="10"/>
    </row>
    <row r="440" spans="10:15" ht="12.75" x14ac:dyDescent="0.2">
      <c r="J440" s="10"/>
      <c r="K440" s="10"/>
      <c r="L440" s="10"/>
      <c r="M440" s="10"/>
      <c r="N440" s="10"/>
      <c r="O440" s="10"/>
    </row>
    <row r="441" spans="10:15" ht="12.75" x14ac:dyDescent="0.2">
      <c r="J441" s="10"/>
      <c r="K441" s="10"/>
      <c r="L441" s="10"/>
      <c r="M441" s="10"/>
      <c r="N441" s="10"/>
      <c r="O441" s="10"/>
    </row>
    <row r="442" spans="10:15" ht="12.75" x14ac:dyDescent="0.2">
      <c r="J442" s="10"/>
      <c r="K442" s="10"/>
      <c r="L442" s="10"/>
      <c r="M442" s="10"/>
      <c r="N442" s="10"/>
      <c r="O442" s="10"/>
    </row>
    <row r="443" spans="10:15" ht="12.75" x14ac:dyDescent="0.2">
      <c r="J443" s="10"/>
      <c r="K443" s="10"/>
      <c r="L443" s="10"/>
      <c r="M443" s="10"/>
      <c r="N443" s="10"/>
      <c r="O443" s="10"/>
    </row>
    <row r="444" spans="10:15" ht="12.75" x14ac:dyDescent="0.2">
      <c r="J444" s="10"/>
      <c r="K444" s="10"/>
      <c r="L444" s="10"/>
      <c r="M444" s="10"/>
      <c r="N444" s="10"/>
      <c r="O444" s="10"/>
    </row>
    <row r="445" spans="10:15" ht="12.75" x14ac:dyDescent="0.2">
      <c r="J445" s="10"/>
      <c r="K445" s="10"/>
      <c r="L445" s="10"/>
      <c r="M445" s="10"/>
      <c r="N445" s="10"/>
      <c r="O445" s="10"/>
    </row>
    <row r="446" spans="10:15" ht="12.75" x14ac:dyDescent="0.2">
      <c r="J446" s="10"/>
      <c r="K446" s="10"/>
      <c r="L446" s="10"/>
      <c r="M446" s="10"/>
      <c r="N446" s="10"/>
      <c r="O446" s="10"/>
    </row>
    <row r="447" spans="10:15" ht="12.75" x14ac:dyDescent="0.2">
      <c r="J447" s="10"/>
      <c r="K447" s="10"/>
      <c r="L447" s="10"/>
      <c r="M447" s="10"/>
      <c r="N447" s="10"/>
      <c r="O447" s="10"/>
    </row>
    <row r="448" spans="10:15" ht="12.75" x14ac:dyDescent="0.2">
      <c r="J448" s="10"/>
      <c r="K448" s="10"/>
      <c r="L448" s="10"/>
      <c r="M448" s="10"/>
      <c r="N448" s="10"/>
      <c r="O448" s="10"/>
    </row>
    <row r="449" spans="10:15" ht="12.75" x14ac:dyDescent="0.2">
      <c r="J449" s="10"/>
      <c r="K449" s="10"/>
      <c r="L449" s="10"/>
      <c r="M449" s="10"/>
      <c r="N449" s="10"/>
      <c r="O449" s="10"/>
    </row>
    <row r="450" spans="10:15" ht="12.75" x14ac:dyDescent="0.2">
      <c r="J450" s="10"/>
      <c r="K450" s="10"/>
      <c r="L450" s="10"/>
      <c r="M450" s="10"/>
      <c r="N450" s="10"/>
      <c r="O450" s="10"/>
    </row>
    <row r="451" spans="10:15" ht="12.75" x14ac:dyDescent="0.2">
      <c r="J451" s="10"/>
      <c r="K451" s="10"/>
      <c r="L451" s="10"/>
      <c r="M451" s="10"/>
      <c r="N451" s="10"/>
      <c r="O451" s="10"/>
    </row>
    <row r="452" spans="10:15" ht="12.75" x14ac:dyDescent="0.2">
      <c r="J452" s="10"/>
      <c r="K452" s="10"/>
      <c r="L452" s="10"/>
      <c r="M452" s="10"/>
      <c r="N452" s="10"/>
      <c r="O452" s="10"/>
    </row>
    <row r="453" spans="10:15" ht="12.75" x14ac:dyDescent="0.2">
      <c r="J453" s="10"/>
      <c r="K453" s="10"/>
      <c r="L453" s="10"/>
      <c r="M453" s="10"/>
      <c r="N453" s="10"/>
      <c r="O453" s="10"/>
    </row>
    <row r="454" spans="10:15" ht="12.75" x14ac:dyDescent="0.2">
      <c r="J454" s="10"/>
      <c r="K454" s="10"/>
      <c r="L454" s="10"/>
      <c r="M454" s="10"/>
      <c r="N454" s="10"/>
      <c r="O454" s="10"/>
    </row>
    <row r="455" spans="10:15" ht="12.75" x14ac:dyDescent="0.2">
      <c r="J455" s="10"/>
      <c r="K455" s="10"/>
      <c r="L455" s="10"/>
      <c r="M455" s="10"/>
      <c r="N455" s="10"/>
      <c r="O455" s="10"/>
    </row>
    <row r="456" spans="10:15" ht="12.75" x14ac:dyDescent="0.2">
      <c r="J456" s="10"/>
      <c r="K456" s="10"/>
      <c r="L456" s="10"/>
      <c r="M456" s="10"/>
      <c r="N456" s="10"/>
      <c r="O456" s="10"/>
    </row>
    <row r="457" spans="10:15" ht="12.75" x14ac:dyDescent="0.2">
      <c r="J457" s="10"/>
      <c r="K457" s="10"/>
      <c r="L457" s="10"/>
      <c r="M457" s="10"/>
      <c r="N457" s="10"/>
      <c r="O457" s="10"/>
    </row>
    <row r="458" spans="10:15" ht="12.75" x14ac:dyDescent="0.2">
      <c r="J458" s="10"/>
      <c r="K458" s="10"/>
      <c r="L458" s="10"/>
      <c r="M458" s="10"/>
      <c r="N458" s="10"/>
      <c r="O458" s="10"/>
    </row>
    <row r="459" spans="10:15" ht="12.75" x14ac:dyDescent="0.2">
      <c r="J459" s="10"/>
      <c r="K459" s="10"/>
      <c r="L459" s="10"/>
      <c r="M459" s="10"/>
      <c r="N459" s="10"/>
      <c r="O459" s="10"/>
    </row>
    <row r="460" spans="10:15" ht="12.75" x14ac:dyDescent="0.2">
      <c r="J460" s="10"/>
      <c r="K460" s="10"/>
      <c r="L460" s="10"/>
      <c r="M460" s="10"/>
      <c r="N460" s="10"/>
      <c r="O460" s="10"/>
    </row>
    <row r="461" spans="10:15" ht="12.75" x14ac:dyDescent="0.2">
      <c r="J461" s="10"/>
      <c r="K461" s="10"/>
      <c r="L461" s="10"/>
      <c r="M461" s="10"/>
      <c r="N461" s="10"/>
      <c r="O461" s="10"/>
    </row>
    <row r="462" spans="10:15" ht="12.75" x14ac:dyDescent="0.2">
      <c r="J462" s="10"/>
      <c r="K462" s="10"/>
      <c r="L462" s="10"/>
      <c r="M462" s="10"/>
      <c r="N462" s="10"/>
      <c r="O462" s="10"/>
    </row>
    <row r="463" spans="10:15" ht="12.75" x14ac:dyDescent="0.2">
      <c r="J463" s="10"/>
      <c r="K463" s="10"/>
      <c r="L463" s="10"/>
      <c r="M463" s="10"/>
      <c r="N463" s="10"/>
      <c r="O463" s="10"/>
    </row>
    <row r="464" spans="10:15" ht="12.75" x14ac:dyDescent="0.2">
      <c r="J464" s="10"/>
      <c r="K464" s="10"/>
      <c r="L464" s="10"/>
      <c r="M464" s="10"/>
      <c r="N464" s="10"/>
      <c r="O464" s="10"/>
    </row>
    <row r="465" spans="10:15" ht="12.75" x14ac:dyDescent="0.2">
      <c r="J465" s="10"/>
      <c r="K465" s="10"/>
      <c r="L465" s="10"/>
      <c r="M465" s="10"/>
      <c r="N465" s="10"/>
      <c r="O465" s="10"/>
    </row>
    <row r="466" spans="10:15" ht="12.75" x14ac:dyDescent="0.2">
      <c r="J466" s="10"/>
      <c r="K466" s="10"/>
      <c r="L466" s="10"/>
      <c r="M466" s="10"/>
      <c r="N466" s="10"/>
      <c r="O466" s="10"/>
    </row>
    <row r="467" spans="10:15" ht="12.75" x14ac:dyDescent="0.2">
      <c r="J467" s="10"/>
      <c r="K467" s="10"/>
      <c r="L467" s="10"/>
      <c r="M467" s="10"/>
      <c r="N467" s="10"/>
      <c r="O467" s="10"/>
    </row>
    <row r="468" spans="10:15" ht="12.75" x14ac:dyDescent="0.2">
      <c r="J468" s="10"/>
      <c r="K468" s="10"/>
      <c r="L468" s="10"/>
      <c r="M468" s="10"/>
      <c r="N468" s="10"/>
      <c r="O468" s="10"/>
    </row>
    <row r="469" spans="10:15" ht="12.75" x14ac:dyDescent="0.2">
      <c r="J469" s="10"/>
      <c r="K469" s="10"/>
      <c r="L469" s="10"/>
      <c r="M469" s="10"/>
      <c r="N469" s="10"/>
      <c r="O469" s="10"/>
    </row>
    <row r="470" spans="10:15" ht="12.75" x14ac:dyDescent="0.2">
      <c r="J470" s="10"/>
      <c r="K470" s="10"/>
      <c r="L470" s="10"/>
      <c r="M470" s="10"/>
      <c r="N470" s="10"/>
      <c r="O470" s="10"/>
    </row>
    <row r="471" spans="10:15" ht="12.75" x14ac:dyDescent="0.2">
      <c r="J471" s="10"/>
      <c r="K471" s="10"/>
      <c r="L471" s="10"/>
      <c r="M471" s="10"/>
      <c r="N471" s="10"/>
      <c r="O471" s="10"/>
    </row>
    <row r="472" spans="10:15" ht="12.75" x14ac:dyDescent="0.2">
      <c r="J472" s="10"/>
      <c r="K472" s="10"/>
      <c r="L472" s="10"/>
      <c r="M472" s="10"/>
      <c r="N472" s="10"/>
      <c r="O472" s="10"/>
    </row>
    <row r="473" spans="10:15" ht="12.75" x14ac:dyDescent="0.2">
      <c r="J473" s="10"/>
      <c r="K473" s="10"/>
      <c r="L473" s="10"/>
      <c r="M473" s="10"/>
      <c r="N473" s="10"/>
      <c r="O473" s="10"/>
    </row>
    <row r="474" spans="10:15" ht="12.75" x14ac:dyDescent="0.2">
      <c r="J474" s="10"/>
      <c r="K474" s="10"/>
      <c r="L474" s="10"/>
      <c r="M474" s="10"/>
      <c r="N474" s="10"/>
      <c r="O474" s="10"/>
    </row>
    <row r="475" spans="10:15" ht="12.75" x14ac:dyDescent="0.2">
      <c r="J475" s="10"/>
      <c r="K475" s="10"/>
      <c r="L475" s="10"/>
      <c r="M475" s="10"/>
      <c r="N475" s="10"/>
      <c r="O475" s="10"/>
    </row>
    <row r="476" spans="10:15" ht="12.75" x14ac:dyDescent="0.2">
      <c r="J476" s="10"/>
      <c r="K476" s="10"/>
      <c r="L476" s="10"/>
      <c r="M476" s="10"/>
      <c r="N476" s="10"/>
      <c r="O476" s="10"/>
    </row>
    <row r="477" spans="10:15" ht="12.75" x14ac:dyDescent="0.2">
      <c r="J477" s="10"/>
      <c r="K477" s="10"/>
      <c r="L477" s="10"/>
      <c r="M477" s="10"/>
      <c r="N477" s="10"/>
      <c r="O477" s="10"/>
    </row>
    <row r="478" spans="10:15" ht="12.75" x14ac:dyDescent="0.2">
      <c r="J478" s="10"/>
      <c r="K478" s="10"/>
      <c r="L478" s="10"/>
      <c r="M478" s="10"/>
      <c r="N478" s="10"/>
      <c r="O478" s="10"/>
    </row>
    <row r="479" spans="10:15" ht="12.75" x14ac:dyDescent="0.2">
      <c r="J479" s="10"/>
      <c r="K479" s="10"/>
      <c r="L479" s="10"/>
      <c r="M479" s="10"/>
      <c r="N479" s="10"/>
      <c r="O479" s="10"/>
    </row>
    <row r="480" spans="10:15" ht="12.75" x14ac:dyDescent="0.2">
      <c r="J480" s="10"/>
      <c r="K480" s="10"/>
      <c r="L480" s="10"/>
      <c r="M480" s="10"/>
      <c r="N480" s="10"/>
      <c r="O480" s="10"/>
    </row>
    <row r="481" spans="10:15" ht="12.75" x14ac:dyDescent="0.2">
      <c r="J481" s="10"/>
      <c r="K481" s="10"/>
      <c r="L481" s="10"/>
      <c r="M481" s="10"/>
      <c r="N481" s="10"/>
      <c r="O481" s="10"/>
    </row>
    <row r="482" spans="10:15" ht="12.75" x14ac:dyDescent="0.2">
      <c r="J482" s="10"/>
      <c r="K482" s="10"/>
      <c r="L482" s="10"/>
      <c r="M482" s="10"/>
      <c r="N482" s="10"/>
      <c r="O482" s="10"/>
    </row>
    <row r="483" spans="10:15" ht="12.75" x14ac:dyDescent="0.2">
      <c r="J483" s="10"/>
      <c r="K483" s="10"/>
      <c r="L483" s="10"/>
      <c r="M483" s="10"/>
      <c r="N483" s="10"/>
      <c r="O483" s="10"/>
    </row>
    <row r="484" spans="10:15" ht="12.75" x14ac:dyDescent="0.2">
      <c r="J484" s="10"/>
      <c r="K484" s="10"/>
      <c r="L484" s="10"/>
      <c r="M484" s="10"/>
      <c r="N484" s="10"/>
      <c r="O484" s="10"/>
    </row>
    <row r="485" spans="10:15" ht="12.75" x14ac:dyDescent="0.2">
      <c r="J485" s="10"/>
      <c r="K485" s="10"/>
      <c r="L485" s="10"/>
      <c r="M485" s="10"/>
      <c r="N485" s="10"/>
      <c r="O485" s="10"/>
    </row>
    <row r="486" spans="10:15" ht="12.75" x14ac:dyDescent="0.2">
      <c r="J486" s="10"/>
      <c r="K486" s="10"/>
      <c r="L486" s="10"/>
      <c r="M486" s="10"/>
      <c r="N486" s="10"/>
      <c r="O486" s="10"/>
    </row>
    <row r="487" spans="10:15" ht="12.75" x14ac:dyDescent="0.2">
      <c r="J487" s="10"/>
      <c r="K487" s="10"/>
      <c r="L487" s="10"/>
      <c r="M487" s="10"/>
      <c r="N487" s="10"/>
      <c r="O487" s="10"/>
    </row>
    <row r="488" spans="10:15" ht="12.75" x14ac:dyDescent="0.2">
      <c r="J488" s="10"/>
      <c r="K488" s="10"/>
      <c r="L488" s="10"/>
      <c r="M488" s="10"/>
      <c r="N488" s="10"/>
      <c r="O488" s="10"/>
    </row>
    <row r="489" spans="10:15" ht="12.75" x14ac:dyDescent="0.2">
      <c r="J489" s="10"/>
      <c r="K489" s="10"/>
      <c r="L489" s="10"/>
      <c r="M489" s="10"/>
      <c r="N489" s="10"/>
      <c r="O489" s="10"/>
    </row>
    <row r="490" spans="10:15" ht="12.75" x14ac:dyDescent="0.2">
      <c r="J490" s="10"/>
      <c r="K490" s="10"/>
      <c r="L490" s="10"/>
      <c r="M490" s="10"/>
      <c r="N490" s="10"/>
      <c r="O490" s="10"/>
    </row>
    <row r="491" spans="10:15" ht="12.75" x14ac:dyDescent="0.2">
      <c r="J491" s="10"/>
      <c r="K491" s="10"/>
      <c r="L491" s="10"/>
      <c r="M491" s="10"/>
      <c r="N491" s="10"/>
      <c r="O491" s="10"/>
    </row>
    <row r="492" spans="10:15" ht="12.75" x14ac:dyDescent="0.2">
      <c r="J492" s="10"/>
      <c r="K492" s="10"/>
      <c r="L492" s="10"/>
      <c r="M492" s="10"/>
      <c r="N492" s="10"/>
      <c r="O492" s="10"/>
    </row>
    <row r="493" spans="10:15" ht="12.75" x14ac:dyDescent="0.2">
      <c r="J493" s="10"/>
      <c r="K493" s="10"/>
      <c r="L493" s="10"/>
      <c r="M493" s="10"/>
      <c r="N493" s="10"/>
      <c r="O493" s="10"/>
    </row>
    <row r="494" spans="10:15" ht="12.75" x14ac:dyDescent="0.2">
      <c r="J494" s="10"/>
      <c r="K494" s="10"/>
      <c r="L494" s="10"/>
      <c r="M494" s="10"/>
      <c r="N494" s="10"/>
      <c r="O494" s="10"/>
    </row>
    <row r="495" spans="10:15" ht="12.75" x14ac:dyDescent="0.2">
      <c r="J495" s="10"/>
      <c r="K495" s="10"/>
      <c r="L495" s="10"/>
      <c r="M495" s="10"/>
      <c r="N495" s="10"/>
      <c r="O495" s="10"/>
    </row>
    <row r="496" spans="10:15" ht="12.75" x14ac:dyDescent="0.2">
      <c r="J496" s="10"/>
      <c r="K496" s="10"/>
      <c r="L496" s="10"/>
      <c r="M496" s="10"/>
      <c r="N496" s="10"/>
      <c r="O496" s="10"/>
    </row>
    <row r="497" spans="10:15" ht="12.75" x14ac:dyDescent="0.2">
      <c r="J497" s="10"/>
      <c r="K497" s="10"/>
      <c r="L497" s="10"/>
      <c r="M497" s="10"/>
      <c r="N497" s="10"/>
      <c r="O497" s="10"/>
    </row>
    <row r="498" spans="10:15" ht="12.75" x14ac:dyDescent="0.2">
      <c r="J498" s="10"/>
      <c r="K498" s="10"/>
      <c r="L498" s="10"/>
      <c r="M498" s="10"/>
      <c r="N498" s="10"/>
      <c r="O498" s="10"/>
    </row>
    <row r="499" spans="10:15" ht="12.75" x14ac:dyDescent="0.2">
      <c r="J499" s="10"/>
      <c r="K499" s="10"/>
      <c r="L499" s="10"/>
      <c r="M499" s="10"/>
      <c r="N499" s="10"/>
      <c r="O499" s="10"/>
    </row>
    <row r="500" spans="10:15" ht="12.75" x14ac:dyDescent="0.2">
      <c r="J500" s="10"/>
      <c r="K500" s="10"/>
      <c r="L500" s="10"/>
      <c r="M500" s="10"/>
      <c r="N500" s="10"/>
      <c r="O500" s="10"/>
    </row>
    <row r="501" spans="10:15" ht="12.75" x14ac:dyDescent="0.2">
      <c r="J501" s="10"/>
      <c r="K501" s="10"/>
      <c r="L501" s="10"/>
      <c r="M501" s="10"/>
      <c r="N501" s="10"/>
      <c r="O501" s="10"/>
    </row>
    <row r="502" spans="10:15" ht="12.75" x14ac:dyDescent="0.2">
      <c r="J502" s="10"/>
      <c r="K502" s="10"/>
      <c r="L502" s="10"/>
      <c r="M502" s="10"/>
      <c r="N502" s="10"/>
      <c r="O502" s="10"/>
    </row>
    <row r="503" spans="10:15" ht="12.75" x14ac:dyDescent="0.2">
      <c r="J503" s="10"/>
      <c r="K503" s="10"/>
      <c r="L503" s="10"/>
      <c r="M503" s="10"/>
      <c r="N503" s="10"/>
      <c r="O503" s="10"/>
    </row>
    <row r="504" spans="10:15" ht="12.75" x14ac:dyDescent="0.2">
      <c r="J504" s="10"/>
      <c r="K504" s="10"/>
      <c r="L504" s="10"/>
      <c r="M504" s="10"/>
      <c r="N504" s="10"/>
      <c r="O504" s="10"/>
    </row>
    <row r="505" spans="10:15" ht="12.75" x14ac:dyDescent="0.2">
      <c r="J505" s="10"/>
      <c r="K505" s="10"/>
      <c r="L505" s="10"/>
      <c r="M505" s="10"/>
      <c r="N505" s="10"/>
      <c r="O505" s="10"/>
    </row>
    <row r="506" spans="10:15" ht="12.75" x14ac:dyDescent="0.2">
      <c r="J506" s="10"/>
      <c r="K506" s="10"/>
      <c r="L506" s="10"/>
      <c r="M506" s="10"/>
      <c r="N506" s="10"/>
      <c r="O506" s="10"/>
    </row>
    <row r="507" spans="10:15" ht="12.75" x14ac:dyDescent="0.2">
      <c r="J507" s="10"/>
      <c r="K507" s="10"/>
      <c r="L507" s="10"/>
      <c r="M507" s="10"/>
      <c r="N507" s="10"/>
      <c r="O507" s="10"/>
    </row>
    <row r="508" spans="10:15" ht="12.75" x14ac:dyDescent="0.2">
      <c r="J508" s="10"/>
      <c r="K508" s="10"/>
      <c r="L508" s="10"/>
      <c r="M508" s="10"/>
      <c r="N508" s="10"/>
      <c r="O508" s="10"/>
    </row>
    <row r="509" spans="10:15" ht="12.75" x14ac:dyDescent="0.2">
      <c r="J509" s="10"/>
      <c r="K509" s="10"/>
      <c r="L509" s="10"/>
      <c r="M509" s="10"/>
      <c r="N509" s="10"/>
      <c r="O509" s="10"/>
    </row>
    <row r="510" spans="10:15" ht="12.75" x14ac:dyDescent="0.2">
      <c r="J510" s="10"/>
      <c r="K510" s="10"/>
      <c r="L510" s="10"/>
      <c r="M510" s="10"/>
      <c r="N510" s="10"/>
      <c r="O510" s="10"/>
    </row>
    <row r="511" spans="10:15" ht="12.75" x14ac:dyDescent="0.2">
      <c r="J511" s="10"/>
      <c r="K511" s="10"/>
      <c r="L511" s="10"/>
      <c r="M511" s="10"/>
      <c r="N511" s="10"/>
      <c r="O511" s="10"/>
    </row>
    <row r="512" spans="10:15" ht="12.75" x14ac:dyDescent="0.2">
      <c r="J512" s="10"/>
      <c r="K512" s="10"/>
      <c r="L512" s="10"/>
      <c r="M512" s="10"/>
      <c r="N512" s="10"/>
      <c r="O512" s="10"/>
    </row>
    <row r="513" spans="10:15" ht="12.75" x14ac:dyDescent="0.2">
      <c r="J513" s="10"/>
      <c r="K513" s="10"/>
      <c r="L513" s="10"/>
      <c r="M513" s="10"/>
      <c r="N513" s="10"/>
      <c r="O513" s="10"/>
    </row>
    <row r="514" spans="10:15" ht="12.75" x14ac:dyDescent="0.2">
      <c r="J514" s="10"/>
      <c r="K514" s="10"/>
      <c r="L514" s="10"/>
      <c r="M514" s="10"/>
      <c r="N514" s="10"/>
      <c r="O514" s="10"/>
    </row>
    <row r="515" spans="10:15" ht="12.75" x14ac:dyDescent="0.2">
      <c r="J515" s="10"/>
      <c r="K515" s="10"/>
      <c r="L515" s="10"/>
      <c r="M515" s="10"/>
      <c r="N515" s="10"/>
      <c r="O515" s="10"/>
    </row>
    <row r="516" spans="10:15" ht="12.75" x14ac:dyDescent="0.2">
      <c r="J516" s="10"/>
      <c r="K516" s="10"/>
      <c r="L516" s="10"/>
      <c r="M516" s="10"/>
      <c r="N516" s="10"/>
      <c r="O516" s="10"/>
    </row>
    <row r="517" spans="10:15" ht="12.75" x14ac:dyDescent="0.2">
      <c r="J517" s="10"/>
      <c r="K517" s="10"/>
      <c r="L517" s="10"/>
      <c r="M517" s="10"/>
      <c r="N517" s="10"/>
      <c r="O517" s="10"/>
    </row>
    <row r="518" spans="10:15" ht="12.75" x14ac:dyDescent="0.2">
      <c r="J518" s="10"/>
      <c r="K518" s="10"/>
      <c r="L518" s="10"/>
      <c r="M518" s="10"/>
      <c r="N518" s="10"/>
      <c r="O518" s="10"/>
    </row>
    <row r="519" spans="10:15" ht="12.75" x14ac:dyDescent="0.2">
      <c r="J519" s="10"/>
      <c r="K519" s="10"/>
      <c r="L519" s="10"/>
      <c r="M519" s="10"/>
      <c r="N519" s="10"/>
      <c r="O519" s="10"/>
    </row>
    <row r="520" spans="10:15" ht="12.75" x14ac:dyDescent="0.2">
      <c r="J520" s="10"/>
      <c r="K520" s="10"/>
      <c r="L520" s="10"/>
      <c r="M520" s="10"/>
      <c r="N520" s="10"/>
      <c r="O520" s="10"/>
    </row>
    <row r="521" spans="10:15" ht="12.75" x14ac:dyDescent="0.2">
      <c r="J521" s="10"/>
      <c r="K521" s="10"/>
      <c r="L521" s="10"/>
      <c r="M521" s="10"/>
      <c r="N521" s="10"/>
      <c r="O521" s="10"/>
    </row>
    <row r="522" spans="10:15" ht="12.75" x14ac:dyDescent="0.2">
      <c r="J522" s="10"/>
      <c r="K522" s="10"/>
      <c r="L522" s="10"/>
      <c r="M522" s="10"/>
      <c r="N522" s="10"/>
      <c r="O522" s="10"/>
    </row>
    <row r="523" spans="10:15" ht="12.75" x14ac:dyDescent="0.2">
      <c r="J523" s="10"/>
      <c r="K523" s="10"/>
      <c r="L523" s="10"/>
      <c r="M523" s="10"/>
      <c r="N523" s="10"/>
      <c r="O523" s="10"/>
    </row>
    <row r="524" spans="10:15" ht="12.75" x14ac:dyDescent="0.2">
      <c r="J524" s="10"/>
      <c r="K524" s="10"/>
      <c r="L524" s="10"/>
      <c r="M524" s="10"/>
      <c r="N524" s="10"/>
      <c r="O524" s="10"/>
    </row>
    <row r="525" spans="10:15" ht="12.75" x14ac:dyDescent="0.2">
      <c r="J525" s="10"/>
      <c r="K525" s="10"/>
      <c r="L525" s="10"/>
      <c r="M525" s="10"/>
      <c r="N525" s="10"/>
      <c r="O525" s="10"/>
    </row>
    <row r="526" spans="10:15" ht="12.75" x14ac:dyDescent="0.2">
      <c r="J526" s="10"/>
      <c r="K526" s="10"/>
      <c r="L526" s="10"/>
      <c r="M526" s="10"/>
      <c r="N526" s="10"/>
      <c r="O526" s="10"/>
    </row>
    <row r="527" spans="10:15" ht="12.75" x14ac:dyDescent="0.2">
      <c r="J527" s="10"/>
      <c r="K527" s="10"/>
      <c r="L527" s="10"/>
      <c r="M527" s="10"/>
      <c r="N527" s="10"/>
      <c r="O527" s="10"/>
    </row>
    <row r="528" spans="10:15" ht="12.75" x14ac:dyDescent="0.2">
      <c r="J528" s="10"/>
      <c r="K528" s="10"/>
      <c r="L528" s="10"/>
      <c r="M528" s="10"/>
      <c r="N528" s="10"/>
      <c r="O528" s="10"/>
    </row>
    <row r="529" spans="10:15" ht="12.75" x14ac:dyDescent="0.2">
      <c r="J529" s="10"/>
      <c r="K529" s="10"/>
      <c r="L529" s="10"/>
      <c r="M529" s="10"/>
      <c r="N529" s="10"/>
      <c r="O529" s="10"/>
    </row>
    <row r="530" spans="10:15" ht="12.75" x14ac:dyDescent="0.2">
      <c r="J530" s="10"/>
      <c r="K530" s="10"/>
      <c r="L530" s="10"/>
      <c r="M530" s="10"/>
      <c r="N530" s="10"/>
      <c r="O530" s="10"/>
    </row>
    <row r="531" spans="10:15" ht="12.75" x14ac:dyDescent="0.2">
      <c r="J531" s="10"/>
      <c r="K531" s="10"/>
      <c r="L531" s="10"/>
      <c r="M531" s="10"/>
      <c r="N531" s="10"/>
      <c r="O531" s="10"/>
    </row>
    <row r="532" spans="10:15" ht="12.75" x14ac:dyDescent="0.2">
      <c r="J532" s="10"/>
      <c r="K532" s="10"/>
      <c r="L532" s="10"/>
      <c r="M532" s="10"/>
      <c r="N532" s="10"/>
      <c r="O532" s="10"/>
    </row>
    <row r="533" spans="10:15" ht="12.75" x14ac:dyDescent="0.2">
      <c r="J533" s="10"/>
      <c r="K533" s="10"/>
      <c r="L533" s="10"/>
      <c r="M533" s="10"/>
      <c r="N533" s="10"/>
      <c r="O533" s="10"/>
    </row>
    <row r="534" spans="10:15" ht="12.75" x14ac:dyDescent="0.2">
      <c r="J534" s="10"/>
      <c r="K534" s="10"/>
      <c r="L534" s="10"/>
      <c r="M534" s="10"/>
      <c r="N534" s="10"/>
      <c r="O534" s="10"/>
    </row>
    <row r="535" spans="10:15" ht="12.75" x14ac:dyDescent="0.2">
      <c r="J535" s="10"/>
      <c r="K535" s="10"/>
      <c r="L535" s="10"/>
      <c r="M535" s="10"/>
      <c r="N535" s="10"/>
      <c r="O535" s="10"/>
    </row>
    <row r="536" spans="10:15" ht="12.75" x14ac:dyDescent="0.2">
      <c r="J536" s="10"/>
      <c r="K536" s="10"/>
      <c r="L536" s="10"/>
      <c r="M536" s="10"/>
      <c r="N536" s="10"/>
      <c r="O536" s="10"/>
    </row>
    <row r="537" spans="10:15" ht="12.75" x14ac:dyDescent="0.2">
      <c r="J537" s="10"/>
      <c r="K537" s="10"/>
      <c r="L537" s="10"/>
      <c r="M537" s="10"/>
      <c r="N537" s="10"/>
      <c r="O537" s="10"/>
    </row>
    <row r="538" spans="10:15" ht="12.75" x14ac:dyDescent="0.2">
      <c r="J538" s="10"/>
      <c r="K538" s="10"/>
      <c r="L538" s="10"/>
      <c r="M538" s="10"/>
      <c r="N538" s="10"/>
      <c r="O538" s="10"/>
    </row>
    <row r="539" spans="10:15" ht="12.75" x14ac:dyDescent="0.2">
      <c r="J539" s="10"/>
      <c r="K539" s="10"/>
      <c r="L539" s="10"/>
      <c r="M539" s="10"/>
      <c r="N539" s="10"/>
      <c r="O539" s="10"/>
    </row>
    <row r="540" spans="10:15" ht="12.75" x14ac:dyDescent="0.2">
      <c r="J540" s="10"/>
      <c r="K540" s="10"/>
      <c r="L540" s="10"/>
      <c r="M540" s="10"/>
      <c r="N540" s="10"/>
      <c r="O540" s="10"/>
    </row>
    <row r="541" spans="10:15" ht="12.75" x14ac:dyDescent="0.2">
      <c r="J541" s="10"/>
      <c r="K541" s="10"/>
      <c r="L541" s="10"/>
      <c r="M541" s="10"/>
      <c r="N541" s="10"/>
      <c r="O541" s="10"/>
    </row>
    <row r="542" spans="10:15" ht="12.75" x14ac:dyDescent="0.2">
      <c r="J542" s="10"/>
      <c r="K542" s="10"/>
      <c r="L542" s="10"/>
      <c r="M542" s="10"/>
      <c r="N542" s="10"/>
      <c r="O542" s="10"/>
    </row>
    <row r="543" spans="10:15" ht="12.75" x14ac:dyDescent="0.2">
      <c r="J543" s="10"/>
      <c r="K543" s="10"/>
      <c r="L543" s="10"/>
      <c r="M543" s="10"/>
      <c r="N543" s="10"/>
      <c r="O543" s="10"/>
    </row>
    <row r="544" spans="10:15" ht="12.75" x14ac:dyDescent="0.2">
      <c r="J544" s="10"/>
      <c r="K544" s="10"/>
      <c r="L544" s="10"/>
      <c r="M544" s="10"/>
      <c r="N544" s="10"/>
      <c r="O544" s="10"/>
    </row>
    <row r="545" spans="10:15" ht="12.75" x14ac:dyDescent="0.2">
      <c r="J545" s="10"/>
      <c r="K545" s="10"/>
      <c r="L545" s="10"/>
      <c r="M545" s="10"/>
      <c r="N545" s="10"/>
      <c r="O545" s="10"/>
    </row>
    <row r="546" spans="10:15" ht="12.75" x14ac:dyDescent="0.2">
      <c r="J546" s="10"/>
      <c r="K546" s="10"/>
      <c r="L546" s="10"/>
      <c r="M546" s="10"/>
      <c r="N546" s="10"/>
      <c r="O546" s="10"/>
    </row>
    <row r="547" spans="10:15" ht="12.75" x14ac:dyDescent="0.2">
      <c r="J547" s="10"/>
      <c r="K547" s="10"/>
      <c r="L547" s="10"/>
      <c r="M547" s="10"/>
      <c r="N547" s="10"/>
      <c r="O547" s="10"/>
    </row>
    <row r="548" spans="10:15" ht="12.75" x14ac:dyDescent="0.2">
      <c r="J548" s="10"/>
      <c r="K548" s="10"/>
      <c r="L548" s="10"/>
      <c r="M548" s="10"/>
      <c r="N548" s="10"/>
      <c r="O548" s="10"/>
    </row>
    <row r="549" spans="10:15" ht="12.75" x14ac:dyDescent="0.2">
      <c r="J549" s="10"/>
      <c r="K549" s="10"/>
      <c r="L549" s="10"/>
      <c r="M549" s="10"/>
      <c r="N549" s="10"/>
      <c r="O549" s="10"/>
    </row>
    <row r="550" spans="10:15" ht="12.75" x14ac:dyDescent="0.2">
      <c r="J550" s="10"/>
      <c r="K550" s="10"/>
      <c r="L550" s="10"/>
      <c r="M550" s="10"/>
      <c r="N550" s="10"/>
      <c r="O550" s="10"/>
    </row>
    <row r="551" spans="10:15" ht="12.75" x14ac:dyDescent="0.2">
      <c r="J551" s="10"/>
      <c r="K551" s="10"/>
      <c r="L551" s="10"/>
      <c r="M551" s="10"/>
      <c r="N551" s="10"/>
      <c r="O551" s="10"/>
    </row>
    <row r="552" spans="10:15" ht="12.75" x14ac:dyDescent="0.2">
      <c r="J552" s="10"/>
      <c r="K552" s="10"/>
      <c r="L552" s="10"/>
      <c r="M552" s="10"/>
      <c r="N552" s="10"/>
      <c r="O552" s="10"/>
    </row>
    <row r="553" spans="10:15" ht="12.75" x14ac:dyDescent="0.2">
      <c r="J553" s="10"/>
      <c r="K553" s="10"/>
      <c r="L553" s="10"/>
      <c r="M553" s="10"/>
      <c r="N553" s="10"/>
      <c r="O553" s="10"/>
    </row>
    <row r="554" spans="10:15" ht="12.75" x14ac:dyDescent="0.2">
      <c r="J554" s="10"/>
      <c r="K554" s="10"/>
      <c r="L554" s="10"/>
      <c r="M554" s="10"/>
      <c r="N554" s="10"/>
      <c r="O554" s="10"/>
    </row>
    <row r="555" spans="10:15" ht="12.75" x14ac:dyDescent="0.2">
      <c r="J555" s="10"/>
      <c r="K555" s="10"/>
      <c r="L555" s="10"/>
      <c r="M555" s="10"/>
      <c r="N555" s="10"/>
      <c r="O555" s="10"/>
    </row>
    <row r="556" spans="10:15" ht="12.75" x14ac:dyDescent="0.2">
      <c r="J556" s="10"/>
      <c r="K556" s="10"/>
      <c r="L556" s="10"/>
      <c r="M556" s="10"/>
      <c r="N556" s="10"/>
      <c r="O556" s="10"/>
    </row>
    <row r="557" spans="10:15" ht="12.75" x14ac:dyDescent="0.2">
      <c r="J557" s="10"/>
      <c r="K557" s="10"/>
      <c r="L557" s="10"/>
      <c r="M557" s="10"/>
      <c r="N557" s="10"/>
      <c r="O557" s="10"/>
    </row>
    <row r="558" spans="10:15" ht="12.75" x14ac:dyDescent="0.2">
      <c r="J558" s="10"/>
      <c r="K558" s="10"/>
      <c r="L558" s="10"/>
      <c r="M558" s="10"/>
      <c r="N558" s="10"/>
      <c r="O558" s="10"/>
    </row>
    <row r="559" spans="10:15" ht="12.75" x14ac:dyDescent="0.2">
      <c r="J559" s="10"/>
      <c r="K559" s="10"/>
      <c r="L559" s="10"/>
      <c r="M559" s="10"/>
      <c r="N559" s="10"/>
      <c r="O559" s="10"/>
    </row>
    <row r="560" spans="10:15" ht="12.75" x14ac:dyDescent="0.2">
      <c r="J560" s="10"/>
      <c r="K560" s="10"/>
      <c r="L560" s="10"/>
      <c r="M560" s="10"/>
      <c r="N560" s="10"/>
      <c r="O560" s="10"/>
    </row>
    <row r="561" spans="10:15" ht="12.75" x14ac:dyDescent="0.2">
      <c r="J561" s="10"/>
      <c r="K561" s="10"/>
      <c r="L561" s="10"/>
      <c r="M561" s="10"/>
      <c r="N561" s="10"/>
      <c r="O561" s="10"/>
    </row>
    <row r="562" spans="10:15" ht="12.75" x14ac:dyDescent="0.2">
      <c r="J562" s="10"/>
      <c r="K562" s="10"/>
      <c r="L562" s="10"/>
      <c r="M562" s="10"/>
      <c r="N562" s="10"/>
      <c r="O562" s="10"/>
    </row>
    <row r="563" spans="10:15" ht="12.75" x14ac:dyDescent="0.2">
      <c r="J563" s="10"/>
      <c r="K563" s="10"/>
      <c r="L563" s="10"/>
      <c r="M563" s="10"/>
      <c r="N563" s="10"/>
      <c r="O563" s="10"/>
    </row>
    <row r="564" spans="10:15" ht="12.75" x14ac:dyDescent="0.2">
      <c r="J564" s="10"/>
      <c r="K564" s="10"/>
      <c r="L564" s="10"/>
      <c r="M564" s="10"/>
      <c r="N564" s="10"/>
      <c r="O564" s="10"/>
    </row>
    <row r="565" spans="10:15" ht="12.75" x14ac:dyDescent="0.2">
      <c r="J565" s="10"/>
      <c r="K565" s="10"/>
      <c r="L565" s="10"/>
      <c r="M565" s="10"/>
      <c r="N565" s="10"/>
      <c r="O565" s="10"/>
    </row>
    <row r="566" spans="10:15" ht="12.75" x14ac:dyDescent="0.2">
      <c r="J566" s="10"/>
      <c r="K566" s="10"/>
      <c r="L566" s="10"/>
      <c r="M566" s="10"/>
      <c r="N566" s="10"/>
      <c r="O566" s="10"/>
    </row>
    <row r="567" spans="10:15" ht="12.75" x14ac:dyDescent="0.2">
      <c r="J567" s="10"/>
      <c r="K567" s="10"/>
      <c r="L567" s="10"/>
      <c r="M567" s="10"/>
      <c r="N567" s="10"/>
      <c r="O567" s="10"/>
    </row>
    <row r="568" spans="10:15" ht="12.75" x14ac:dyDescent="0.2">
      <c r="J568" s="10"/>
      <c r="K568" s="10"/>
      <c r="L568" s="10"/>
      <c r="M568" s="10"/>
      <c r="N568" s="10"/>
      <c r="O568" s="10"/>
    </row>
    <row r="569" spans="10:15" ht="12.75" x14ac:dyDescent="0.2">
      <c r="J569" s="10"/>
      <c r="K569" s="10"/>
      <c r="L569" s="10"/>
      <c r="M569" s="10"/>
      <c r="N569" s="10"/>
      <c r="O569" s="10"/>
    </row>
    <row r="570" spans="10:15" ht="12.75" x14ac:dyDescent="0.2">
      <c r="J570" s="10"/>
      <c r="K570" s="10"/>
      <c r="L570" s="10"/>
      <c r="M570" s="10"/>
      <c r="N570" s="10"/>
      <c r="O570" s="10"/>
    </row>
    <row r="571" spans="10:15" ht="12.75" x14ac:dyDescent="0.2">
      <c r="J571" s="10"/>
      <c r="K571" s="10"/>
      <c r="L571" s="10"/>
      <c r="M571" s="10"/>
      <c r="N571" s="10"/>
      <c r="O571" s="10"/>
    </row>
    <row r="572" spans="10:15" ht="12.75" x14ac:dyDescent="0.2">
      <c r="J572" s="10"/>
      <c r="K572" s="10"/>
      <c r="L572" s="10"/>
      <c r="M572" s="10"/>
      <c r="N572" s="10"/>
      <c r="O572" s="10"/>
    </row>
    <row r="573" spans="10:15" ht="12.75" x14ac:dyDescent="0.2">
      <c r="J573" s="10"/>
      <c r="K573" s="10"/>
      <c r="L573" s="10"/>
      <c r="M573" s="10"/>
      <c r="N573" s="10"/>
      <c r="O573" s="10"/>
    </row>
    <row r="574" spans="10:15" ht="12.75" x14ac:dyDescent="0.2">
      <c r="J574" s="10"/>
      <c r="K574" s="10"/>
      <c r="L574" s="10"/>
      <c r="M574" s="10"/>
      <c r="N574" s="10"/>
      <c r="O574" s="10"/>
    </row>
    <row r="575" spans="10:15" ht="12.75" x14ac:dyDescent="0.2">
      <c r="J575" s="10"/>
      <c r="K575" s="10"/>
      <c r="L575" s="10"/>
      <c r="M575" s="10"/>
      <c r="N575" s="10"/>
      <c r="O575" s="10"/>
    </row>
    <row r="576" spans="10:15" ht="12.75" x14ac:dyDescent="0.2">
      <c r="J576" s="10"/>
      <c r="K576" s="10"/>
      <c r="L576" s="10"/>
      <c r="M576" s="10"/>
      <c r="N576" s="10"/>
      <c r="O576" s="10"/>
    </row>
    <row r="577" spans="10:15" ht="12.75" x14ac:dyDescent="0.2">
      <c r="J577" s="10"/>
      <c r="K577" s="10"/>
      <c r="L577" s="10"/>
      <c r="M577" s="10"/>
      <c r="N577" s="10"/>
      <c r="O577" s="10"/>
    </row>
    <row r="578" spans="10:15" ht="12.75" x14ac:dyDescent="0.2">
      <c r="J578" s="10"/>
      <c r="K578" s="10"/>
      <c r="L578" s="10"/>
      <c r="M578" s="10"/>
      <c r="N578" s="10"/>
      <c r="O578" s="10"/>
    </row>
    <row r="579" spans="10:15" ht="12.75" x14ac:dyDescent="0.2">
      <c r="J579" s="10"/>
      <c r="K579" s="10"/>
      <c r="L579" s="10"/>
      <c r="M579" s="10"/>
      <c r="N579" s="10"/>
      <c r="O579" s="10"/>
    </row>
    <row r="580" spans="10:15" ht="12.75" x14ac:dyDescent="0.2">
      <c r="J580" s="10"/>
      <c r="K580" s="10"/>
      <c r="L580" s="10"/>
      <c r="M580" s="10"/>
      <c r="N580" s="10"/>
      <c r="O580" s="10"/>
    </row>
    <row r="581" spans="10:15" ht="12.75" x14ac:dyDescent="0.2">
      <c r="J581" s="10"/>
      <c r="K581" s="10"/>
      <c r="L581" s="10"/>
      <c r="M581" s="10"/>
      <c r="N581" s="10"/>
      <c r="O581" s="10"/>
    </row>
    <row r="582" spans="10:15" ht="12.75" x14ac:dyDescent="0.2">
      <c r="J582" s="10"/>
      <c r="K582" s="10"/>
      <c r="L582" s="10"/>
      <c r="M582" s="10"/>
      <c r="N582" s="10"/>
      <c r="O582" s="10"/>
    </row>
    <row r="583" spans="10:15" ht="12.75" x14ac:dyDescent="0.2">
      <c r="J583" s="10"/>
      <c r="K583" s="10"/>
      <c r="L583" s="10"/>
      <c r="M583" s="10"/>
      <c r="N583" s="10"/>
      <c r="O583" s="10"/>
    </row>
    <row r="584" spans="10:15" ht="12.75" x14ac:dyDescent="0.2">
      <c r="J584" s="10"/>
      <c r="K584" s="10"/>
      <c r="L584" s="10"/>
      <c r="M584" s="10"/>
      <c r="N584" s="10"/>
      <c r="O584" s="10"/>
    </row>
    <row r="585" spans="10:15" ht="12.75" x14ac:dyDescent="0.2">
      <c r="J585" s="10"/>
      <c r="K585" s="10"/>
      <c r="L585" s="10"/>
      <c r="M585" s="10"/>
      <c r="N585" s="10"/>
      <c r="O585" s="10"/>
    </row>
    <row r="586" spans="10:15" ht="12.75" x14ac:dyDescent="0.2">
      <c r="J586" s="10"/>
      <c r="K586" s="10"/>
      <c r="L586" s="10"/>
      <c r="M586" s="10"/>
      <c r="N586" s="10"/>
      <c r="O586" s="10"/>
    </row>
    <row r="587" spans="10:15" ht="12.75" x14ac:dyDescent="0.2">
      <c r="J587" s="10"/>
      <c r="K587" s="10"/>
      <c r="L587" s="10"/>
      <c r="M587" s="10"/>
      <c r="N587" s="10"/>
      <c r="O587" s="10"/>
    </row>
    <row r="588" spans="10:15" ht="12.75" x14ac:dyDescent="0.2">
      <c r="J588" s="10"/>
      <c r="K588" s="10"/>
      <c r="L588" s="10"/>
      <c r="M588" s="10"/>
      <c r="N588" s="10"/>
      <c r="O588" s="10"/>
    </row>
    <row r="589" spans="10:15" ht="12.75" x14ac:dyDescent="0.2">
      <c r="J589" s="10"/>
      <c r="K589" s="10"/>
      <c r="L589" s="10"/>
      <c r="M589" s="10"/>
      <c r="N589" s="10"/>
      <c r="O589" s="10"/>
    </row>
    <row r="590" spans="10:15" ht="12.75" x14ac:dyDescent="0.2">
      <c r="J590" s="10"/>
      <c r="K590" s="10"/>
      <c r="L590" s="10"/>
      <c r="M590" s="10"/>
      <c r="N590" s="10"/>
      <c r="O590" s="10"/>
    </row>
    <row r="591" spans="10:15" ht="12.75" x14ac:dyDescent="0.2">
      <c r="J591" s="10"/>
      <c r="K591" s="10"/>
      <c r="L591" s="10"/>
      <c r="M591" s="10"/>
      <c r="N591" s="10"/>
      <c r="O591" s="10"/>
    </row>
    <row r="592" spans="10:15" ht="12.75" x14ac:dyDescent="0.2">
      <c r="J592" s="10"/>
      <c r="K592" s="10"/>
      <c r="L592" s="10"/>
      <c r="M592" s="10"/>
      <c r="N592" s="10"/>
      <c r="O592" s="10"/>
    </row>
    <row r="593" spans="10:15" ht="12.75" x14ac:dyDescent="0.2">
      <c r="J593" s="10"/>
      <c r="K593" s="10"/>
      <c r="L593" s="10"/>
      <c r="M593" s="10"/>
      <c r="N593" s="10"/>
      <c r="O593" s="10"/>
    </row>
    <row r="594" spans="10:15" ht="12.75" x14ac:dyDescent="0.2">
      <c r="J594" s="10"/>
      <c r="K594" s="10"/>
      <c r="L594" s="10"/>
      <c r="M594" s="10"/>
      <c r="N594" s="10"/>
      <c r="O594" s="10"/>
    </row>
    <row r="595" spans="10:15" ht="12.75" x14ac:dyDescent="0.2">
      <c r="J595" s="10"/>
      <c r="K595" s="10"/>
      <c r="L595" s="10"/>
      <c r="M595" s="10"/>
      <c r="N595" s="10"/>
      <c r="O595" s="10"/>
    </row>
    <row r="596" spans="10:15" ht="12.75" x14ac:dyDescent="0.2">
      <c r="J596" s="10"/>
      <c r="K596" s="10"/>
      <c r="L596" s="10"/>
      <c r="M596" s="10"/>
      <c r="N596" s="10"/>
      <c r="O596" s="10"/>
    </row>
    <row r="597" spans="10:15" ht="12.75" x14ac:dyDescent="0.2">
      <c r="J597" s="10"/>
      <c r="K597" s="10"/>
      <c r="L597" s="10"/>
      <c r="M597" s="10"/>
      <c r="N597" s="10"/>
      <c r="O597" s="10"/>
    </row>
    <row r="598" spans="10:15" ht="12.75" x14ac:dyDescent="0.2">
      <c r="J598" s="10"/>
      <c r="K598" s="10"/>
      <c r="L598" s="10"/>
      <c r="M598" s="10"/>
      <c r="N598" s="10"/>
      <c r="O598" s="10"/>
    </row>
    <row r="599" spans="10:15" ht="12.75" x14ac:dyDescent="0.2">
      <c r="J599" s="10"/>
      <c r="K599" s="10"/>
      <c r="L599" s="10"/>
      <c r="M599" s="10"/>
      <c r="N599" s="10"/>
      <c r="O599" s="10"/>
    </row>
    <row r="600" spans="10:15" ht="12.75" x14ac:dyDescent="0.2">
      <c r="J600" s="10"/>
      <c r="K600" s="10"/>
      <c r="L600" s="10"/>
      <c r="M600" s="10"/>
      <c r="N600" s="10"/>
      <c r="O600" s="10"/>
    </row>
    <row r="601" spans="10:15" ht="12.75" x14ac:dyDescent="0.2">
      <c r="J601" s="10"/>
      <c r="K601" s="10"/>
      <c r="L601" s="10"/>
      <c r="M601" s="10"/>
      <c r="N601" s="10"/>
      <c r="O601" s="10"/>
    </row>
    <row r="602" spans="10:15" ht="12.75" x14ac:dyDescent="0.2">
      <c r="J602" s="10"/>
      <c r="K602" s="10"/>
      <c r="L602" s="10"/>
      <c r="M602" s="10"/>
      <c r="N602" s="10"/>
      <c r="O602" s="10"/>
    </row>
    <row r="603" spans="10:15" ht="12.75" x14ac:dyDescent="0.2">
      <c r="J603" s="10"/>
      <c r="K603" s="10"/>
      <c r="L603" s="10"/>
      <c r="M603" s="10"/>
      <c r="N603" s="10"/>
      <c r="O603" s="10"/>
    </row>
    <row r="604" spans="10:15" ht="12.75" x14ac:dyDescent="0.2">
      <c r="J604" s="10"/>
      <c r="K604" s="10"/>
      <c r="L604" s="10"/>
      <c r="M604" s="10"/>
      <c r="N604" s="10"/>
      <c r="O604" s="10"/>
    </row>
    <row r="605" spans="10:15" ht="12.75" x14ac:dyDescent="0.2">
      <c r="J605" s="10"/>
      <c r="K605" s="10"/>
      <c r="L605" s="10"/>
      <c r="M605" s="10"/>
      <c r="N605" s="10"/>
      <c r="O605" s="10"/>
    </row>
    <row r="606" spans="10:15" ht="12.75" x14ac:dyDescent="0.2">
      <c r="J606" s="10"/>
      <c r="K606" s="10"/>
      <c r="L606" s="10"/>
      <c r="M606" s="10"/>
      <c r="N606" s="10"/>
      <c r="O606" s="10"/>
    </row>
    <row r="607" spans="10:15" ht="12.75" x14ac:dyDescent="0.2">
      <c r="J607" s="10"/>
      <c r="K607" s="10"/>
      <c r="L607" s="10"/>
      <c r="M607" s="10"/>
      <c r="N607" s="10"/>
      <c r="O607" s="10"/>
    </row>
    <row r="608" spans="10:15" ht="12.75" x14ac:dyDescent="0.2">
      <c r="J608" s="10"/>
      <c r="K608" s="10"/>
      <c r="L608" s="10"/>
      <c r="M608" s="10"/>
      <c r="N608" s="10"/>
      <c r="O608" s="10"/>
    </row>
    <row r="609" spans="10:15" ht="12.75" x14ac:dyDescent="0.2">
      <c r="J609" s="10"/>
      <c r="K609" s="10"/>
      <c r="L609" s="10"/>
      <c r="M609" s="10"/>
      <c r="N609" s="10"/>
      <c r="O609" s="10"/>
    </row>
    <row r="610" spans="10:15" ht="12.75" x14ac:dyDescent="0.2">
      <c r="J610" s="10"/>
      <c r="K610" s="10"/>
      <c r="L610" s="10"/>
      <c r="M610" s="10"/>
      <c r="N610" s="10"/>
      <c r="O610" s="10"/>
    </row>
    <row r="611" spans="10:15" ht="12.75" x14ac:dyDescent="0.2">
      <c r="J611" s="10"/>
      <c r="K611" s="10"/>
      <c r="L611" s="10"/>
      <c r="M611" s="10"/>
      <c r="N611" s="10"/>
      <c r="O611" s="10"/>
    </row>
    <row r="612" spans="10:15" ht="12.75" x14ac:dyDescent="0.2">
      <c r="J612" s="10"/>
      <c r="K612" s="10"/>
      <c r="L612" s="10"/>
      <c r="M612" s="10"/>
      <c r="N612" s="10"/>
      <c r="O612" s="10"/>
    </row>
    <row r="613" spans="10:15" ht="12.75" x14ac:dyDescent="0.2">
      <c r="J613" s="10"/>
      <c r="K613" s="10"/>
      <c r="L613" s="10"/>
      <c r="M613" s="10"/>
      <c r="N613" s="10"/>
      <c r="O613" s="10"/>
    </row>
    <row r="614" spans="10:15" ht="12.75" x14ac:dyDescent="0.2">
      <c r="J614" s="10"/>
      <c r="K614" s="10"/>
      <c r="L614" s="10"/>
      <c r="M614" s="10"/>
      <c r="N614" s="10"/>
      <c r="O614" s="10"/>
    </row>
    <row r="615" spans="10:15" ht="12.75" x14ac:dyDescent="0.2">
      <c r="J615" s="10"/>
      <c r="K615" s="10"/>
      <c r="L615" s="10"/>
      <c r="M615" s="10"/>
      <c r="N615" s="10"/>
      <c r="O615" s="10"/>
    </row>
    <row r="616" spans="10:15" ht="12.75" x14ac:dyDescent="0.2">
      <c r="J616" s="10"/>
      <c r="K616" s="10"/>
      <c r="L616" s="10"/>
      <c r="M616" s="10"/>
      <c r="N616" s="10"/>
      <c r="O616" s="10"/>
    </row>
    <row r="617" spans="10:15" ht="12.75" x14ac:dyDescent="0.2">
      <c r="J617" s="10"/>
      <c r="K617" s="10"/>
      <c r="L617" s="10"/>
      <c r="M617" s="10"/>
      <c r="N617" s="10"/>
      <c r="O617" s="10"/>
    </row>
    <row r="618" spans="10:15" ht="12.75" x14ac:dyDescent="0.2">
      <c r="J618" s="10"/>
      <c r="K618" s="10"/>
      <c r="L618" s="10"/>
      <c r="M618" s="10"/>
      <c r="N618" s="10"/>
      <c r="O618" s="10"/>
    </row>
    <row r="619" spans="10:15" ht="12.75" x14ac:dyDescent="0.2">
      <c r="J619" s="10"/>
      <c r="K619" s="10"/>
      <c r="L619" s="10"/>
      <c r="M619" s="10"/>
      <c r="N619" s="10"/>
      <c r="O619" s="10"/>
    </row>
    <row r="620" spans="10:15" ht="12.75" x14ac:dyDescent="0.2">
      <c r="J620" s="10"/>
      <c r="K620" s="10"/>
      <c r="L620" s="10"/>
      <c r="M620" s="10"/>
      <c r="N620" s="10"/>
      <c r="O620" s="10"/>
    </row>
    <row r="621" spans="10:15" ht="12.75" x14ac:dyDescent="0.2">
      <c r="J621" s="10"/>
      <c r="K621" s="10"/>
      <c r="L621" s="10"/>
      <c r="M621" s="10"/>
      <c r="N621" s="10"/>
      <c r="O621" s="10"/>
    </row>
    <row r="622" spans="10:15" ht="12.75" x14ac:dyDescent="0.2">
      <c r="J622" s="10"/>
      <c r="K622" s="10"/>
      <c r="L622" s="10"/>
      <c r="M622" s="10"/>
      <c r="N622" s="10"/>
      <c r="O622" s="10"/>
    </row>
    <row r="623" spans="10:15" ht="12.75" x14ac:dyDescent="0.2">
      <c r="J623" s="10"/>
      <c r="K623" s="10"/>
      <c r="L623" s="10"/>
      <c r="M623" s="10"/>
      <c r="N623" s="10"/>
      <c r="O623" s="10"/>
    </row>
    <row r="624" spans="10:15" ht="12.75" x14ac:dyDescent="0.2">
      <c r="J624" s="10"/>
      <c r="K624" s="10"/>
      <c r="L624" s="10"/>
      <c r="M624" s="10"/>
      <c r="N624" s="10"/>
      <c r="O624" s="10"/>
    </row>
    <row r="625" spans="10:15" ht="12.75" x14ac:dyDescent="0.2">
      <c r="J625" s="10"/>
      <c r="K625" s="10"/>
      <c r="L625" s="10"/>
      <c r="M625" s="10"/>
      <c r="N625" s="10"/>
      <c r="O625" s="10"/>
    </row>
    <row r="626" spans="10:15" ht="12.75" x14ac:dyDescent="0.2">
      <c r="J626" s="10"/>
      <c r="K626" s="10"/>
      <c r="L626" s="10"/>
      <c r="M626" s="10"/>
      <c r="N626" s="10"/>
      <c r="O626" s="10"/>
    </row>
    <row r="627" spans="10:15" ht="12.75" x14ac:dyDescent="0.2">
      <c r="J627" s="10"/>
      <c r="K627" s="10"/>
      <c r="L627" s="10"/>
      <c r="M627" s="10"/>
      <c r="N627" s="10"/>
      <c r="O627" s="10"/>
    </row>
    <row r="628" spans="10:15" ht="12.75" x14ac:dyDescent="0.2">
      <c r="J628" s="10"/>
      <c r="K628" s="10"/>
      <c r="L628" s="10"/>
      <c r="M628" s="10"/>
      <c r="N628" s="10"/>
      <c r="O628" s="10"/>
    </row>
    <row r="629" spans="10:15" ht="12.75" x14ac:dyDescent="0.2">
      <c r="J629" s="10"/>
      <c r="K629" s="10"/>
      <c r="L629" s="10"/>
      <c r="M629" s="10"/>
      <c r="N629" s="10"/>
      <c r="O629" s="10"/>
    </row>
    <row r="630" spans="10:15" ht="12.75" x14ac:dyDescent="0.2">
      <c r="J630" s="10"/>
      <c r="K630" s="10"/>
      <c r="L630" s="10"/>
      <c r="M630" s="10"/>
      <c r="N630" s="10"/>
      <c r="O630" s="10"/>
    </row>
    <row r="631" spans="10:15" ht="12.75" x14ac:dyDescent="0.2">
      <c r="J631" s="10"/>
      <c r="K631" s="10"/>
      <c r="L631" s="10"/>
      <c r="M631" s="10"/>
      <c r="N631" s="10"/>
      <c r="O631" s="10"/>
    </row>
    <row r="632" spans="10:15" ht="12.75" x14ac:dyDescent="0.2">
      <c r="J632" s="10"/>
      <c r="K632" s="10"/>
      <c r="L632" s="10"/>
      <c r="M632" s="10"/>
      <c r="N632" s="10"/>
      <c r="O632" s="10"/>
    </row>
    <row r="633" spans="10:15" ht="12.75" x14ac:dyDescent="0.2">
      <c r="J633" s="10"/>
      <c r="K633" s="10"/>
      <c r="L633" s="10"/>
      <c r="M633" s="10"/>
      <c r="N633" s="10"/>
      <c r="O633" s="10"/>
    </row>
    <row r="634" spans="10:15" ht="12.75" x14ac:dyDescent="0.2">
      <c r="J634" s="10"/>
      <c r="K634" s="10"/>
      <c r="L634" s="10"/>
      <c r="M634" s="10"/>
      <c r="N634" s="10"/>
      <c r="O634" s="10"/>
    </row>
    <row r="635" spans="10:15" ht="12.75" x14ac:dyDescent="0.2">
      <c r="J635" s="10"/>
      <c r="K635" s="10"/>
      <c r="L635" s="10"/>
      <c r="M635" s="10"/>
      <c r="N635" s="10"/>
      <c r="O635" s="10"/>
    </row>
    <row r="636" spans="10:15" ht="12.75" x14ac:dyDescent="0.2">
      <c r="J636" s="10"/>
      <c r="K636" s="10"/>
      <c r="L636" s="10"/>
      <c r="M636" s="10"/>
      <c r="N636" s="10"/>
      <c r="O636" s="10"/>
    </row>
    <row r="637" spans="10:15" ht="12.75" x14ac:dyDescent="0.2">
      <c r="J637" s="10"/>
      <c r="K637" s="10"/>
      <c r="L637" s="10"/>
      <c r="M637" s="10"/>
      <c r="N637" s="10"/>
      <c r="O637" s="10"/>
    </row>
    <row r="638" spans="10:15" ht="12.75" x14ac:dyDescent="0.2">
      <c r="J638" s="10"/>
      <c r="K638" s="10"/>
      <c r="L638" s="10"/>
      <c r="M638" s="10"/>
      <c r="N638" s="10"/>
      <c r="O638" s="10"/>
    </row>
    <row r="639" spans="10:15" ht="12.75" x14ac:dyDescent="0.2">
      <c r="J639" s="10"/>
      <c r="K639" s="10"/>
      <c r="L639" s="10"/>
      <c r="M639" s="10"/>
      <c r="N639" s="10"/>
      <c r="O639" s="10"/>
    </row>
    <row r="640" spans="10:15" ht="12.75" x14ac:dyDescent="0.2">
      <c r="J640" s="10"/>
      <c r="K640" s="10"/>
      <c r="L640" s="10"/>
      <c r="M640" s="10"/>
      <c r="N640" s="10"/>
      <c r="O640" s="10"/>
    </row>
    <row r="641" spans="10:15" ht="12.75" x14ac:dyDescent="0.2">
      <c r="J641" s="10"/>
      <c r="K641" s="10"/>
      <c r="L641" s="10"/>
      <c r="M641" s="10"/>
      <c r="N641" s="10"/>
      <c r="O641" s="10"/>
    </row>
    <row r="642" spans="10:15" ht="12.75" x14ac:dyDescent="0.2">
      <c r="J642" s="10"/>
      <c r="K642" s="10"/>
      <c r="L642" s="10"/>
      <c r="M642" s="10"/>
      <c r="N642" s="10"/>
      <c r="O642" s="10"/>
    </row>
    <row r="643" spans="10:15" ht="12.75" x14ac:dyDescent="0.2">
      <c r="J643" s="10"/>
      <c r="K643" s="10"/>
      <c r="L643" s="10"/>
      <c r="M643" s="10"/>
      <c r="N643" s="10"/>
      <c r="O643" s="10"/>
    </row>
    <row r="644" spans="10:15" ht="12.75" x14ac:dyDescent="0.2">
      <c r="J644" s="10"/>
      <c r="K644" s="10"/>
      <c r="L644" s="10"/>
      <c r="M644" s="10"/>
      <c r="N644" s="10"/>
      <c r="O644" s="10"/>
    </row>
    <row r="645" spans="10:15" ht="12.75" x14ac:dyDescent="0.2">
      <c r="J645" s="10"/>
      <c r="K645" s="10"/>
      <c r="L645" s="10"/>
      <c r="M645" s="10"/>
      <c r="N645" s="10"/>
      <c r="O645" s="10"/>
    </row>
    <row r="646" spans="10:15" ht="12.75" x14ac:dyDescent="0.2">
      <c r="J646" s="10"/>
      <c r="K646" s="10"/>
      <c r="L646" s="10"/>
      <c r="M646" s="10"/>
      <c r="N646" s="10"/>
      <c r="O646" s="10"/>
    </row>
    <row r="647" spans="10:15" ht="12.75" x14ac:dyDescent="0.2">
      <c r="J647" s="10"/>
      <c r="K647" s="10"/>
      <c r="L647" s="10"/>
      <c r="M647" s="10"/>
      <c r="N647" s="10"/>
      <c r="O647" s="10"/>
    </row>
    <row r="648" spans="10:15" ht="12.75" x14ac:dyDescent="0.2">
      <c r="J648" s="10"/>
      <c r="K648" s="10"/>
      <c r="L648" s="10"/>
      <c r="M648" s="10"/>
      <c r="N648" s="10"/>
      <c r="O648" s="10"/>
    </row>
    <row r="649" spans="10:15" ht="12.75" x14ac:dyDescent="0.2">
      <c r="J649" s="10"/>
      <c r="K649" s="10"/>
      <c r="L649" s="10"/>
      <c r="M649" s="10"/>
      <c r="N649" s="10"/>
      <c r="O649" s="10"/>
    </row>
    <row r="650" spans="10:15" ht="12.75" x14ac:dyDescent="0.2">
      <c r="J650" s="10"/>
      <c r="K650" s="10"/>
      <c r="L650" s="10"/>
      <c r="M650" s="10"/>
      <c r="N650" s="10"/>
      <c r="O650" s="10"/>
    </row>
    <row r="651" spans="10:15" ht="12.75" x14ac:dyDescent="0.2">
      <c r="J651" s="10"/>
      <c r="K651" s="10"/>
      <c r="L651" s="10"/>
      <c r="M651" s="10"/>
      <c r="N651" s="10"/>
      <c r="O651" s="10"/>
    </row>
    <row r="652" spans="10:15" ht="12.75" x14ac:dyDescent="0.2">
      <c r="J652" s="10"/>
      <c r="K652" s="10"/>
      <c r="L652" s="10"/>
      <c r="M652" s="10"/>
      <c r="N652" s="10"/>
      <c r="O652" s="10"/>
    </row>
    <row r="653" spans="10:15" ht="12.75" x14ac:dyDescent="0.2">
      <c r="J653" s="10"/>
      <c r="K653" s="10"/>
      <c r="L653" s="10"/>
      <c r="M653" s="10"/>
      <c r="N653" s="10"/>
      <c r="O653" s="10"/>
    </row>
    <row r="654" spans="10:15" ht="12.75" x14ac:dyDescent="0.2">
      <c r="J654" s="10"/>
      <c r="K654" s="10"/>
      <c r="L654" s="10"/>
      <c r="M654" s="10"/>
      <c r="N654" s="10"/>
      <c r="O654" s="10"/>
    </row>
    <row r="655" spans="10:15" ht="12.75" x14ac:dyDescent="0.2">
      <c r="J655" s="10"/>
      <c r="K655" s="10"/>
      <c r="L655" s="10"/>
      <c r="M655" s="10"/>
      <c r="N655" s="10"/>
      <c r="O655" s="10"/>
    </row>
    <row r="656" spans="10:15" ht="12.75" x14ac:dyDescent="0.2">
      <c r="J656" s="10"/>
      <c r="K656" s="10"/>
      <c r="L656" s="10"/>
      <c r="M656" s="10"/>
      <c r="N656" s="10"/>
      <c r="O656" s="10"/>
    </row>
    <row r="657" spans="10:15" ht="12.75" x14ac:dyDescent="0.2">
      <c r="J657" s="10"/>
      <c r="K657" s="10"/>
      <c r="L657" s="10"/>
      <c r="M657" s="10"/>
      <c r="N657" s="10"/>
      <c r="O657" s="10"/>
    </row>
    <row r="658" spans="10:15" ht="12.75" x14ac:dyDescent="0.2">
      <c r="J658" s="10"/>
      <c r="K658" s="10"/>
      <c r="L658" s="10"/>
      <c r="M658" s="10"/>
      <c r="N658" s="10"/>
      <c r="O658" s="10"/>
    </row>
    <row r="659" spans="10:15" ht="12.75" x14ac:dyDescent="0.2">
      <c r="J659" s="10"/>
      <c r="K659" s="10"/>
      <c r="L659" s="10"/>
      <c r="M659" s="10"/>
      <c r="N659" s="10"/>
      <c r="O659" s="10"/>
    </row>
    <row r="660" spans="10:15" ht="12.75" x14ac:dyDescent="0.2">
      <c r="J660" s="10"/>
      <c r="K660" s="10"/>
      <c r="L660" s="10"/>
      <c r="M660" s="10"/>
      <c r="N660" s="10"/>
      <c r="O660" s="10"/>
    </row>
    <row r="661" spans="10:15" ht="12.75" x14ac:dyDescent="0.2">
      <c r="J661" s="10"/>
      <c r="K661" s="10"/>
      <c r="L661" s="10"/>
      <c r="M661" s="10"/>
      <c r="N661" s="10"/>
      <c r="O661" s="10"/>
    </row>
    <row r="662" spans="10:15" ht="12.75" x14ac:dyDescent="0.2">
      <c r="J662" s="10"/>
      <c r="K662" s="10"/>
      <c r="L662" s="10"/>
      <c r="M662" s="10"/>
      <c r="N662" s="10"/>
      <c r="O662" s="10"/>
    </row>
    <row r="663" spans="10:15" ht="12.75" x14ac:dyDescent="0.2">
      <c r="J663" s="10"/>
      <c r="K663" s="10"/>
      <c r="L663" s="10"/>
      <c r="M663" s="10"/>
      <c r="N663" s="10"/>
      <c r="O663" s="10"/>
    </row>
    <row r="664" spans="10:15" ht="12.75" x14ac:dyDescent="0.2">
      <c r="J664" s="10"/>
      <c r="K664" s="10"/>
      <c r="L664" s="10"/>
      <c r="M664" s="10"/>
      <c r="N664" s="10"/>
      <c r="O664" s="10"/>
    </row>
    <row r="665" spans="10:15" ht="12.75" x14ac:dyDescent="0.2">
      <c r="J665" s="10"/>
      <c r="K665" s="10"/>
      <c r="L665" s="10"/>
      <c r="M665" s="10"/>
      <c r="N665" s="10"/>
      <c r="O665" s="10"/>
    </row>
    <row r="666" spans="10:15" ht="12.75" x14ac:dyDescent="0.2">
      <c r="J666" s="10"/>
      <c r="K666" s="10"/>
      <c r="L666" s="10"/>
      <c r="M666" s="10"/>
      <c r="N666" s="10"/>
      <c r="O666" s="10"/>
    </row>
    <row r="667" spans="10:15" ht="12.75" x14ac:dyDescent="0.2">
      <c r="J667" s="10"/>
      <c r="K667" s="10"/>
      <c r="L667" s="10"/>
      <c r="M667" s="10"/>
      <c r="N667" s="10"/>
      <c r="O667" s="10"/>
    </row>
    <row r="668" spans="10:15" ht="12.75" x14ac:dyDescent="0.2">
      <c r="J668" s="10"/>
      <c r="K668" s="10"/>
      <c r="L668" s="10"/>
      <c r="M668" s="10"/>
      <c r="N668" s="10"/>
      <c r="O668" s="10"/>
    </row>
    <row r="669" spans="10:15" ht="12.75" x14ac:dyDescent="0.2">
      <c r="J669" s="10"/>
      <c r="K669" s="10"/>
      <c r="L669" s="10"/>
      <c r="M669" s="10"/>
      <c r="N669" s="10"/>
      <c r="O669" s="10"/>
    </row>
    <row r="670" spans="10:15" ht="12.75" x14ac:dyDescent="0.2">
      <c r="J670" s="10"/>
      <c r="K670" s="10"/>
      <c r="L670" s="10"/>
      <c r="M670" s="10"/>
      <c r="N670" s="10"/>
      <c r="O670" s="10"/>
    </row>
    <row r="671" spans="10:15" ht="12.75" x14ac:dyDescent="0.2">
      <c r="J671" s="10"/>
      <c r="K671" s="10"/>
      <c r="L671" s="10"/>
      <c r="M671" s="10"/>
      <c r="N671" s="10"/>
      <c r="O671" s="10"/>
    </row>
    <row r="672" spans="10:15" ht="12.75" x14ac:dyDescent="0.2">
      <c r="J672" s="10"/>
      <c r="K672" s="10"/>
      <c r="L672" s="10"/>
      <c r="M672" s="10"/>
      <c r="N672" s="10"/>
      <c r="O672" s="10"/>
    </row>
    <row r="673" spans="10:15" ht="12.75" x14ac:dyDescent="0.2">
      <c r="J673" s="10"/>
      <c r="K673" s="10"/>
      <c r="L673" s="10"/>
      <c r="M673" s="10"/>
      <c r="N673" s="10"/>
      <c r="O673" s="10"/>
    </row>
    <row r="674" spans="10:15" ht="12.75" x14ac:dyDescent="0.2">
      <c r="J674" s="10"/>
      <c r="K674" s="10"/>
      <c r="L674" s="10"/>
      <c r="M674" s="10"/>
      <c r="N674" s="10"/>
      <c r="O674" s="10"/>
    </row>
    <row r="675" spans="10:15" ht="12.75" x14ac:dyDescent="0.2">
      <c r="J675" s="10"/>
      <c r="K675" s="10"/>
      <c r="L675" s="10"/>
      <c r="M675" s="10"/>
      <c r="N675" s="10"/>
      <c r="O675" s="10"/>
    </row>
    <row r="676" spans="10:15" ht="12.75" x14ac:dyDescent="0.2">
      <c r="J676" s="10"/>
      <c r="K676" s="10"/>
      <c r="L676" s="10"/>
      <c r="M676" s="10"/>
      <c r="N676" s="10"/>
      <c r="O676" s="10"/>
    </row>
    <row r="677" spans="10:15" ht="12.75" x14ac:dyDescent="0.2">
      <c r="J677" s="10"/>
      <c r="K677" s="10"/>
      <c r="L677" s="10"/>
      <c r="M677" s="10"/>
      <c r="N677" s="10"/>
      <c r="O677" s="10"/>
    </row>
    <row r="678" spans="10:15" ht="12.75" x14ac:dyDescent="0.2">
      <c r="J678" s="10"/>
      <c r="K678" s="10"/>
      <c r="L678" s="10"/>
      <c r="M678" s="10"/>
      <c r="N678" s="10"/>
      <c r="O678" s="10"/>
    </row>
    <row r="679" spans="10:15" ht="12.75" x14ac:dyDescent="0.2">
      <c r="J679" s="10"/>
      <c r="K679" s="10"/>
      <c r="L679" s="10"/>
      <c r="M679" s="10"/>
      <c r="N679" s="10"/>
      <c r="O679" s="10"/>
    </row>
    <row r="680" spans="10:15" ht="12.75" x14ac:dyDescent="0.2">
      <c r="J680" s="10"/>
      <c r="K680" s="10"/>
      <c r="L680" s="10"/>
      <c r="M680" s="10"/>
      <c r="N680" s="10"/>
      <c r="O680" s="10"/>
    </row>
    <row r="681" spans="10:15" ht="12.75" x14ac:dyDescent="0.2">
      <c r="J681" s="10"/>
      <c r="K681" s="10"/>
      <c r="L681" s="10"/>
      <c r="M681" s="10"/>
      <c r="N681" s="10"/>
      <c r="O681" s="10"/>
    </row>
    <row r="682" spans="10:15" ht="12.75" x14ac:dyDescent="0.2">
      <c r="J682" s="10"/>
      <c r="K682" s="10"/>
      <c r="L682" s="10"/>
      <c r="M682" s="10"/>
      <c r="N682" s="10"/>
      <c r="O682" s="10"/>
    </row>
    <row r="683" spans="10:15" ht="12.75" x14ac:dyDescent="0.2">
      <c r="J683" s="10"/>
      <c r="K683" s="10"/>
      <c r="L683" s="10"/>
      <c r="M683" s="10"/>
      <c r="N683" s="10"/>
      <c r="O683" s="10"/>
    </row>
    <row r="684" spans="10:15" ht="12.75" x14ac:dyDescent="0.2">
      <c r="J684" s="10"/>
      <c r="K684" s="10"/>
      <c r="L684" s="10"/>
      <c r="M684" s="10"/>
      <c r="N684" s="10"/>
      <c r="O684" s="10"/>
    </row>
    <row r="685" spans="10:15" ht="12.75" x14ac:dyDescent="0.2">
      <c r="J685" s="10"/>
      <c r="K685" s="10"/>
      <c r="L685" s="10"/>
      <c r="M685" s="10"/>
      <c r="N685" s="10"/>
      <c r="O685" s="10"/>
    </row>
    <row r="686" spans="10:15" ht="12.75" x14ac:dyDescent="0.2">
      <c r="J686" s="10"/>
      <c r="K686" s="10"/>
      <c r="L686" s="10"/>
      <c r="M686" s="10"/>
      <c r="N686" s="10"/>
      <c r="O686" s="10"/>
    </row>
    <row r="687" spans="10:15" ht="12.75" x14ac:dyDescent="0.2">
      <c r="J687" s="10"/>
      <c r="K687" s="10"/>
      <c r="L687" s="10"/>
      <c r="M687" s="10"/>
      <c r="N687" s="10"/>
      <c r="O687" s="10"/>
    </row>
    <row r="688" spans="10:15" ht="12.75" x14ac:dyDescent="0.2">
      <c r="J688" s="10"/>
      <c r="K688" s="10"/>
      <c r="L688" s="10"/>
      <c r="M688" s="10"/>
      <c r="N688" s="10"/>
      <c r="O688" s="10"/>
    </row>
    <row r="689" spans="10:15" ht="12.75" x14ac:dyDescent="0.2">
      <c r="J689" s="10"/>
      <c r="K689" s="10"/>
      <c r="L689" s="10"/>
      <c r="M689" s="10"/>
      <c r="N689" s="10"/>
      <c r="O689" s="10"/>
    </row>
    <row r="690" spans="10:15" ht="12.75" x14ac:dyDescent="0.2">
      <c r="J690" s="10"/>
      <c r="K690" s="10"/>
      <c r="L690" s="10"/>
      <c r="M690" s="10"/>
      <c r="N690" s="10"/>
      <c r="O690" s="10"/>
    </row>
    <row r="691" spans="10:15" ht="12.75" x14ac:dyDescent="0.2">
      <c r="J691" s="10"/>
      <c r="K691" s="10"/>
      <c r="L691" s="10"/>
      <c r="M691" s="10"/>
      <c r="N691" s="10"/>
      <c r="O691" s="10"/>
    </row>
    <row r="692" spans="10:15" ht="12.75" x14ac:dyDescent="0.2">
      <c r="J692" s="10"/>
      <c r="K692" s="10"/>
      <c r="L692" s="10"/>
      <c r="M692" s="10"/>
      <c r="N692" s="10"/>
      <c r="O692" s="10"/>
    </row>
    <row r="693" spans="10:15" ht="12.75" x14ac:dyDescent="0.2">
      <c r="J693" s="10"/>
      <c r="K693" s="10"/>
      <c r="L693" s="10"/>
      <c r="M693" s="10"/>
      <c r="N693" s="10"/>
      <c r="O693" s="10"/>
    </row>
    <row r="694" spans="10:15" ht="12.75" x14ac:dyDescent="0.2">
      <c r="J694" s="10"/>
      <c r="K694" s="10"/>
      <c r="L694" s="10"/>
      <c r="M694" s="10"/>
      <c r="N694" s="10"/>
      <c r="O694" s="10"/>
    </row>
    <row r="695" spans="10:15" ht="12.75" x14ac:dyDescent="0.2">
      <c r="J695" s="10"/>
      <c r="K695" s="10"/>
      <c r="L695" s="10"/>
      <c r="M695" s="10"/>
      <c r="N695" s="10"/>
      <c r="O695" s="10"/>
    </row>
    <row r="696" spans="10:15" ht="12.75" x14ac:dyDescent="0.2">
      <c r="J696" s="10"/>
      <c r="K696" s="10"/>
      <c r="L696" s="10"/>
      <c r="M696" s="10"/>
      <c r="N696" s="10"/>
      <c r="O696" s="10"/>
    </row>
    <row r="697" spans="10:15" ht="12.75" x14ac:dyDescent="0.2">
      <c r="J697" s="10"/>
      <c r="K697" s="10"/>
      <c r="L697" s="10"/>
      <c r="M697" s="10"/>
      <c r="N697" s="10"/>
      <c r="O697" s="10"/>
    </row>
    <row r="698" spans="10:15" ht="12.75" x14ac:dyDescent="0.2">
      <c r="J698" s="10"/>
      <c r="K698" s="10"/>
      <c r="L698" s="10"/>
      <c r="M698" s="10"/>
      <c r="N698" s="10"/>
      <c r="O698" s="10"/>
    </row>
    <row r="699" spans="10:15" ht="12.75" x14ac:dyDescent="0.2">
      <c r="J699" s="10"/>
      <c r="K699" s="10"/>
      <c r="L699" s="10"/>
      <c r="M699" s="10"/>
      <c r="N699" s="10"/>
      <c r="O699" s="10"/>
    </row>
    <row r="700" spans="10:15" ht="12.75" x14ac:dyDescent="0.2">
      <c r="J700" s="10"/>
      <c r="K700" s="10"/>
      <c r="L700" s="10"/>
      <c r="M700" s="10"/>
      <c r="N700" s="10"/>
      <c r="O700" s="10"/>
    </row>
    <row r="701" spans="10:15" ht="12.75" x14ac:dyDescent="0.2">
      <c r="J701" s="10"/>
      <c r="K701" s="10"/>
      <c r="L701" s="10"/>
      <c r="M701" s="10"/>
      <c r="N701" s="10"/>
      <c r="O701" s="10"/>
    </row>
    <row r="702" spans="10:15" ht="12.75" x14ac:dyDescent="0.2">
      <c r="J702" s="10"/>
      <c r="K702" s="10"/>
      <c r="L702" s="10"/>
      <c r="M702" s="10"/>
      <c r="N702" s="10"/>
      <c r="O702" s="10"/>
    </row>
    <row r="703" spans="10:15" ht="12.75" x14ac:dyDescent="0.2">
      <c r="J703" s="10"/>
      <c r="K703" s="10"/>
      <c r="L703" s="10"/>
      <c r="M703" s="10"/>
      <c r="N703" s="10"/>
      <c r="O703" s="10"/>
    </row>
    <row r="704" spans="10:15" ht="12.75" x14ac:dyDescent="0.2">
      <c r="J704" s="10"/>
      <c r="K704" s="10"/>
      <c r="L704" s="10"/>
      <c r="M704" s="10"/>
      <c r="N704" s="10"/>
      <c r="O704" s="10"/>
    </row>
    <row r="705" spans="10:15" ht="12.75" x14ac:dyDescent="0.2">
      <c r="J705" s="10"/>
      <c r="K705" s="10"/>
      <c r="L705" s="10"/>
      <c r="M705" s="10"/>
      <c r="N705" s="10"/>
      <c r="O705" s="10"/>
    </row>
    <row r="706" spans="10:15" ht="12.75" x14ac:dyDescent="0.2">
      <c r="J706" s="10"/>
      <c r="K706" s="10"/>
      <c r="L706" s="10"/>
      <c r="M706" s="10"/>
      <c r="N706" s="10"/>
      <c r="O706" s="10"/>
    </row>
    <row r="707" spans="10:15" ht="12.75" x14ac:dyDescent="0.2">
      <c r="J707" s="10"/>
      <c r="K707" s="10"/>
      <c r="L707" s="10"/>
      <c r="M707" s="10"/>
      <c r="N707" s="10"/>
      <c r="O707" s="10"/>
    </row>
    <row r="708" spans="10:15" ht="12.75" x14ac:dyDescent="0.2">
      <c r="J708" s="10"/>
      <c r="K708" s="10"/>
      <c r="L708" s="10"/>
      <c r="M708" s="10"/>
      <c r="N708" s="10"/>
      <c r="O708" s="10"/>
    </row>
    <row r="709" spans="10:15" ht="12.75" x14ac:dyDescent="0.2">
      <c r="J709" s="10"/>
      <c r="K709" s="10"/>
      <c r="L709" s="10"/>
      <c r="M709" s="10"/>
      <c r="N709" s="10"/>
      <c r="O709" s="10"/>
    </row>
    <row r="710" spans="10:15" ht="12.75" x14ac:dyDescent="0.2">
      <c r="J710" s="10"/>
      <c r="K710" s="10"/>
      <c r="L710" s="10"/>
      <c r="M710" s="10"/>
      <c r="N710" s="10"/>
      <c r="O710" s="10"/>
    </row>
    <row r="711" spans="10:15" ht="12.75" x14ac:dyDescent="0.2">
      <c r="J711" s="10"/>
      <c r="K711" s="10"/>
      <c r="L711" s="10"/>
      <c r="M711" s="10"/>
      <c r="N711" s="10"/>
      <c r="O711" s="10"/>
    </row>
    <row r="712" spans="10:15" ht="12.75" x14ac:dyDescent="0.2">
      <c r="J712" s="10"/>
      <c r="K712" s="10"/>
      <c r="L712" s="10"/>
      <c r="M712" s="10"/>
      <c r="N712" s="10"/>
      <c r="O712" s="10"/>
    </row>
    <row r="713" spans="10:15" ht="12.75" x14ac:dyDescent="0.2">
      <c r="J713" s="10"/>
      <c r="K713" s="10"/>
      <c r="L713" s="10"/>
      <c r="M713" s="10"/>
      <c r="N713" s="10"/>
      <c r="O713" s="10"/>
    </row>
    <row r="714" spans="10:15" ht="12.75" x14ac:dyDescent="0.2">
      <c r="J714" s="10"/>
      <c r="K714" s="10"/>
      <c r="L714" s="10"/>
      <c r="M714" s="10"/>
      <c r="N714" s="10"/>
      <c r="O714" s="10"/>
    </row>
    <row r="715" spans="10:15" ht="12.75" x14ac:dyDescent="0.2">
      <c r="J715" s="10"/>
      <c r="K715" s="10"/>
      <c r="L715" s="10"/>
      <c r="M715" s="10"/>
      <c r="N715" s="10"/>
      <c r="O715" s="10"/>
    </row>
    <row r="716" spans="10:15" ht="12.75" x14ac:dyDescent="0.2">
      <c r="J716" s="10"/>
      <c r="K716" s="10"/>
      <c r="L716" s="10"/>
      <c r="M716" s="10"/>
      <c r="N716" s="10"/>
      <c r="O716" s="10"/>
    </row>
    <row r="717" spans="10:15" ht="12.75" x14ac:dyDescent="0.2">
      <c r="J717" s="10"/>
      <c r="K717" s="10"/>
      <c r="L717" s="10"/>
      <c r="M717" s="10"/>
      <c r="N717" s="10"/>
      <c r="O717" s="10"/>
    </row>
    <row r="718" spans="10:15" ht="12.75" x14ac:dyDescent="0.2">
      <c r="J718" s="10"/>
      <c r="K718" s="10"/>
      <c r="L718" s="10"/>
      <c r="M718" s="10"/>
      <c r="N718" s="10"/>
      <c r="O718" s="10"/>
    </row>
    <row r="719" spans="10:15" ht="12.75" x14ac:dyDescent="0.2">
      <c r="J719" s="10"/>
      <c r="K719" s="10"/>
      <c r="L719" s="10"/>
      <c r="M719" s="10"/>
      <c r="N719" s="10"/>
      <c r="O719" s="10"/>
    </row>
    <row r="720" spans="10:15" ht="12.75" x14ac:dyDescent="0.2">
      <c r="J720" s="10"/>
      <c r="K720" s="10"/>
      <c r="L720" s="10"/>
      <c r="M720" s="10"/>
      <c r="N720" s="10"/>
      <c r="O720" s="10"/>
    </row>
    <row r="721" spans="10:15" ht="12.75" x14ac:dyDescent="0.2">
      <c r="J721" s="10"/>
      <c r="K721" s="10"/>
      <c r="L721" s="10"/>
      <c r="M721" s="10"/>
      <c r="N721" s="10"/>
      <c r="O721" s="10"/>
    </row>
    <row r="722" spans="10:15" ht="12.75" x14ac:dyDescent="0.2">
      <c r="J722" s="10"/>
      <c r="K722" s="10"/>
      <c r="L722" s="10"/>
      <c r="M722" s="10"/>
      <c r="N722" s="10"/>
      <c r="O722" s="10"/>
    </row>
    <row r="723" spans="10:15" ht="12.75" x14ac:dyDescent="0.2">
      <c r="J723" s="10"/>
      <c r="K723" s="10"/>
      <c r="L723" s="10"/>
      <c r="M723" s="10"/>
      <c r="N723" s="10"/>
      <c r="O723" s="10"/>
    </row>
    <row r="724" spans="10:15" ht="12.75" x14ac:dyDescent="0.2">
      <c r="J724" s="10"/>
      <c r="K724" s="10"/>
      <c r="L724" s="10"/>
      <c r="M724" s="10"/>
      <c r="N724" s="10"/>
      <c r="O724" s="10"/>
    </row>
    <row r="725" spans="10:15" ht="12.75" x14ac:dyDescent="0.2">
      <c r="J725" s="10"/>
      <c r="K725" s="10"/>
      <c r="L725" s="10"/>
      <c r="M725" s="10"/>
      <c r="N725" s="10"/>
      <c r="O725" s="10"/>
    </row>
    <row r="726" spans="10:15" ht="12.75" x14ac:dyDescent="0.2">
      <c r="J726" s="10"/>
      <c r="K726" s="10"/>
      <c r="L726" s="10"/>
      <c r="M726" s="10"/>
      <c r="N726" s="10"/>
      <c r="O726" s="10"/>
    </row>
    <row r="727" spans="10:15" ht="12.75" x14ac:dyDescent="0.2">
      <c r="J727" s="10"/>
      <c r="K727" s="10"/>
      <c r="L727" s="10"/>
      <c r="M727" s="10"/>
      <c r="N727" s="10"/>
      <c r="O727" s="10"/>
    </row>
    <row r="728" spans="10:15" ht="12.75" x14ac:dyDescent="0.2">
      <c r="J728" s="10"/>
      <c r="K728" s="10"/>
      <c r="L728" s="10"/>
      <c r="M728" s="10"/>
      <c r="N728" s="10"/>
      <c r="O728" s="10"/>
    </row>
    <row r="729" spans="10:15" ht="12.75" x14ac:dyDescent="0.2">
      <c r="J729" s="10"/>
      <c r="K729" s="10"/>
      <c r="L729" s="10"/>
      <c r="M729" s="10"/>
      <c r="N729" s="10"/>
      <c r="O729" s="10"/>
    </row>
    <row r="730" spans="10:15" ht="12.75" x14ac:dyDescent="0.2">
      <c r="J730" s="10"/>
      <c r="K730" s="10"/>
      <c r="L730" s="10"/>
      <c r="M730" s="10"/>
      <c r="N730" s="10"/>
      <c r="O730" s="10"/>
    </row>
    <row r="731" spans="10:15" ht="12.75" x14ac:dyDescent="0.2">
      <c r="J731" s="10"/>
      <c r="K731" s="10"/>
      <c r="L731" s="10"/>
      <c r="M731" s="10"/>
      <c r="N731" s="10"/>
      <c r="O731" s="10"/>
    </row>
    <row r="732" spans="10:15" ht="12.75" x14ac:dyDescent="0.2">
      <c r="J732" s="10"/>
      <c r="K732" s="10"/>
      <c r="L732" s="10"/>
      <c r="M732" s="10"/>
      <c r="N732" s="10"/>
      <c r="O732" s="10"/>
    </row>
    <row r="733" spans="10:15" ht="12.75" x14ac:dyDescent="0.2">
      <c r="J733" s="10"/>
      <c r="K733" s="10"/>
      <c r="L733" s="10"/>
      <c r="M733" s="10"/>
      <c r="N733" s="10"/>
      <c r="O733" s="10"/>
    </row>
    <row r="734" spans="10:15" ht="12.75" x14ac:dyDescent="0.2">
      <c r="J734" s="10"/>
      <c r="K734" s="10"/>
      <c r="L734" s="10"/>
      <c r="M734" s="10"/>
      <c r="N734" s="10"/>
      <c r="O734" s="10"/>
    </row>
    <row r="735" spans="10:15" ht="12.75" x14ac:dyDescent="0.2">
      <c r="J735" s="10"/>
      <c r="K735" s="10"/>
      <c r="L735" s="10"/>
      <c r="M735" s="10"/>
      <c r="N735" s="10"/>
      <c r="O735" s="10"/>
    </row>
    <row r="736" spans="10:15" ht="12.75" x14ac:dyDescent="0.2">
      <c r="J736" s="10"/>
      <c r="K736" s="10"/>
      <c r="L736" s="10"/>
      <c r="M736" s="10"/>
      <c r="N736" s="10"/>
      <c r="O736" s="10"/>
    </row>
    <row r="737" spans="10:15" ht="12.75" x14ac:dyDescent="0.2">
      <c r="J737" s="10"/>
      <c r="K737" s="10"/>
      <c r="L737" s="10"/>
      <c r="M737" s="10"/>
      <c r="N737" s="10"/>
      <c r="O737" s="10"/>
    </row>
    <row r="738" spans="10:15" ht="12.75" x14ac:dyDescent="0.2">
      <c r="J738" s="10"/>
      <c r="K738" s="10"/>
      <c r="L738" s="10"/>
      <c r="M738" s="10"/>
      <c r="N738" s="10"/>
      <c r="O738" s="10"/>
    </row>
    <row r="739" spans="10:15" ht="12.75" x14ac:dyDescent="0.2">
      <c r="J739" s="10"/>
      <c r="K739" s="10"/>
      <c r="L739" s="10"/>
      <c r="M739" s="10"/>
      <c r="N739" s="10"/>
      <c r="O739" s="10"/>
    </row>
    <row r="740" spans="10:15" ht="12.75" x14ac:dyDescent="0.2">
      <c r="J740" s="10"/>
      <c r="K740" s="10"/>
      <c r="L740" s="10"/>
      <c r="M740" s="10"/>
      <c r="N740" s="10"/>
      <c r="O740" s="10"/>
    </row>
    <row r="741" spans="10:15" ht="12.75" x14ac:dyDescent="0.2">
      <c r="J741" s="10"/>
      <c r="K741" s="10"/>
      <c r="L741" s="10"/>
      <c r="M741" s="10"/>
      <c r="N741" s="10"/>
      <c r="O741" s="10"/>
    </row>
    <row r="742" spans="10:15" ht="12.75" x14ac:dyDescent="0.2">
      <c r="J742" s="10"/>
      <c r="K742" s="10"/>
      <c r="L742" s="10"/>
      <c r="M742" s="10"/>
      <c r="N742" s="10"/>
      <c r="O742" s="10"/>
    </row>
    <row r="743" spans="10:15" ht="12.75" x14ac:dyDescent="0.2">
      <c r="J743" s="10"/>
      <c r="K743" s="10"/>
      <c r="L743" s="10"/>
      <c r="M743" s="10"/>
      <c r="N743" s="10"/>
      <c r="O743" s="10"/>
    </row>
    <row r="744" spans="10:15" ht="12.75" x14ac:dyDescent="0.2">
      <c r="J744" s="10"/>
      <c r="K744" s="10"/>
      <c r="L744" s="10"/>
      <c r="M744" s="10"/>
      <c r="N744" s="10"/>
      <c r="O744" s="10"/>
    </row>
    <row r="745" spans="10:15" ht="12.75" x14ac:dyDescent="0.2">
      <c r="J745" s="10"/>
      <c r="K745" s="10"/>
      <c r="L745" s="10"/>
      <c r="M745" s="10"/>
      <c r="N745" s="10"/>
      <c r="O745" s="10"/>
    </row>
    <row r="746" spans="10:15" ht="12.75" x14ac:dyDescent="0.2">
      <c r="J746" s="10"/>
      <c r="K746" s="10"/>
      <c r="L746" s="10"/>
      <c r="M746" s="10"/>
      <c r="N746" s="10"/>
      <c r="O746" s="10"/>
    </row>
    <row r="747" spans="10:15" ht="12.75" x14ac:dyDescent="0.2">
      <c r="J747" s="10"/>
      <c r="K747" s="10"/>
      <c r="L747" s="10"/>
      <c r="M747" s="10"/>
      <c r="N747" s="10"/>
      <c r="O747" s="10"/>
    </row>
    <row r="748" spans="10:15" ht="12.75" x14ac:dyDescent="0.2">
      <c r="J748" s="10"/>
      <c r="K748" s="10"/>
      <c r="L748" s="10"/>
      <c r="M748" s="10"/>
      <c r="N748" s="10"/>
      <c r="O748" s="10"/>
    </row>
    <row r="749" spans="10:15" ht="12.75" x14ac:dyDescent="0.2">
      <c r="J749" s="10"/>
      <c r="K749" s="10"/>
      <c r="L749" s="10"/>
      <c r="M749" s="10"/>
      <c r="N749" s="10"/>
      <c r="O749" s="10"/>
    </row>
    <row r="750" spans="10:15" ht="12.75" x14ac:dyDescent="0.2">
      <c r="J750" s="10"/>
      <c r="K750" s="10"/>
      <c r="L750" s="10"/>
      <c r="M750" s="10"/>
      <c r="N750" s="10"/>
      <c r="O750" s="10"/>
    </row>
    <row r="751" spans="10:15" ht="12.75" x14ac:dyDescent="0.2">
      <c r="J751" s="10"/>
      <c r="K751" s="10"/>
      <c r="L751" s="10"/>
      <c r="M751" s="10"/>
      <c r="N751" s="10"/>
      <c r="O751" s="10"/>
    </row>
    <row r="752" spans="10:15" ht="12.75" x14ac:dyDescent="0.2">
      <c r="J752" s="10"/>
      <c r="K752" s="10"/>
      <c r="L752" s="10"/>
      <c r="M752" s="10"/>
      <c r="N752" s="10"/>
      <c r="O752" s="10"/>
    </row>
    <row r="753" spans="10:15" ht="12.75" x14ac:dyDescent="0.2">
      <c r="J753" s="10"/>
      <c r="K753" s="10"/>
      <c r="L753" s="10"/>
      <c r="M753" s="10"/>
      <c r="N753" s="10"/>
      <c r="O753" s="10"/>
    </row>
    <row r="754" spans="10:15" ht="12.75" x14ac:dyDescent="0.2">
      <c r="J754" s="10"/>
      <c r="K754" s="10"/>
      <c r="L754" s="10"/>
      <c r="M754" s="10"/>
      <c r="N754" s="10"/>
      <c r="O754" s="10"/>
    </row>
    <row r="755" spans="10:15" ht="12.75" x14ac:dyDescent="0.2">
      <c r="J755" s="10"/>
      <c r="K755" s="10"/>
      <c r="L755" s="10"/>
      <c r="M755" s="10"/>
      <c r="N755" s="10"/>
      <c r="O755" s="10"/>
    </row>
    <row r="756" spans="10:15" ht="12.75" x14ac:dyDescent="0.2">
      <c r="J756" s="10"/>
      <c r="K756" s="10"/>
      <c r="L756" s="10"/>
      <c r="M756" s="10"/>
      <c r="N756" s="10"/>
      <c r="O756" s="10"/>
    </row>
    <row r="757" spans="10:15" ht="12.75" x14ac:dyDescent="0.2">
      <c r="J757" s="10"/>
      <c r="K757" s="10"/>
      <c r="L757" s="10"/>
      <c r="M757" s="10"/>
      <c r="N757" s="10"/>
      <c r="O757" s="10"/>
    </row>
    <row r="758" spans="10:15" ht="12.75" x14ac:dyDescent="0.2">
      <c r="J758" s="10"/>
      <c r="K758" s="10"/>
      <c r="L758" s="10"/>
      <c r="M758" s="10"/>
      <c r="N758" s="10"/>
      <c r="O758" s="10"/>
    </row>
    <row r="759" spans="10:15" ht="12.75" x14ac:dyDescent="0.2">
      <c r="J759" s="10"/>
      <c r="K759" s="10"/>
      <c r="L759" s="10"/>
      <c r="M759" s="10"/>
      <c r="N759" s="10"/>
      <c r="O759" s="10"/>
    </row>
    <row r="760" spans="10:15" ht="12.75" x14ac:dyDescent="0.2">
      <c r="J760" s="10"/>
      <c r="K760" s="10"/>
      <c r="L760" s="10"/>
      <c r="M760" s="10"/>
      <c r="N760" s="10"/>
      <c r="O760" s="10"/>
    </row>
    <row r="761" spans="10:15" ht="12.75" x14ac:dyDescent="0.2">
      <c r="J761" s="10"/>
      <c r="K761" s="10"/>
      <c r="L761" s="10"/>
      <c r="M761" s="10"/>
      <c r="N761" s="10"/>
      <c r="O761" s="10"/>
    </row>
    <row r="762" spans="10:15" ht="12.75" x14ac:dyDescent="0.2">
      <c r="J762" s="10"/>
      <c r="K762" s="10"/>
      <c r="L762" s="10"/>
      <c r="M762" s="10"/>
      <c r="N762" s="10"/>
      <c r="O762" s="10"/>
    </row>
    <row r="763" spans="10:15" ht="12.75" x14ac:dyDescent="0.2">
      <c r="J763" s="10"/>
      <c r="K763" s="10"/>
      <c r="L763" s="10"/>
      <c r="M763" s="10"/>
      <c r="N763" s="10"/>
      <c r="O763" s="10"/>
    </row>
    <row r="764" spans="10:15" ht="12.75" x14ac:dyDescent="0.2">
      <c r="J764" s="10"/>
      <c r="K764" s="10"/>
      <c r="L764" s="10"/>
      <c r="M764" s="10"/>
      <c r="N764" s="10"/>
      <c r="O764" s="10"/>
    </row>
    <row r="765" spans="10:15" ht="12.75" x14ac:dyDescent="0.2">
      <c r="J765" s="10"/>
      <c r="K765" s="10"/>
      <c r="L765" s="10"/>
      <c r="M765" s="10"/>
      <c r="N765" s="10"/>
      <c r="O765" s="10"/>
    </row>
    <row r="766" spans="10:15" ht="12.75" x14ac:dyDescent="0.2">
      <c r="J766" s="10"/>
      <c r="K766" s="10"/>
      <c r="L766" s="10"/>
      <c r="M766" s="10"/>
      <c r="N766" s="10"/>
      <c r="O766" s="10"/>
    </row>
    <row r="767" spans="10:15" ht="12.75" x14ac:dyDescent="0.2">
      <c r="J767" s="10"/>
      <c r="K767" s="10"/>
      <c r="L767" s="10"/>
      <c r="M767" s="10"/>
      <c r="N767" s="10"/>
      <c r="O767" s="10"/>
    </row>
    <row r="768" spans="10:15" ht="12.75" x14ac:dyDescent="0.2">
      <c r="J768" s="10"/>
      <c r="K768" s="10"/>
      <c r="L768" s="10"/>
      <c r="M768" s="10"/>
      <c r="N768" s="10"/>
      <c r="O768" s="10"/>
    </row>
    <row r="769" spans="10:15" ht="12.75" x14ac:dyDescent="0.2">
      <c r="J769" s="10"/>
      <c r="K769" s="10"/>
      <c r="L769" s="10"/>
      <c r="M769" s="10"/>
      <c r="N769" s="10"/>
      <c r="O769" s="10"/>
    </row>
    <row r="770" spans="10:15" ht="12.75" x14ac:dyDescent="0.2">
      <c r="J770" s="10"/>
      <c r="K770" s="10"/>
      <c r="L770" s="10"/>
      <c r="M770" s="10"/>
      <c r="N770" s="10"/>
      <c r="O770" s="10"/>
    </row>
    <row r="771" spans="10:15" ht="12.75" x14ac:dyDescent="0.2">
      <c r="J771" s="10"/>
      <c r="K771" s="10"/>
      <c r="L771" s="10"/>
      <c r="M771" s="10"/>
      <c r="N771" s="10"/>
      <c r="O771" s="10"/>
    </row>
    <row r="772" spans="10:15" ht="12.75" x14ac:dyDescent="0.2">
      <c r="J772" s="10"/>
      <c r="K772" s="10"/>
      <c r="L772" s="10"/>
      <c r="M772" s="10"/>
      <c r="N772" s="10"/>
      <c r="O772" s="10"/>
    </row>
    <row r="773" spans="10:15" ht="12.75" x14ac:dyDescent="0.2">
      <c r="J773" s="10"/>
      <c r="K773" s="10"/>
      <c r="L773" s="10"/>
      <c r="M773" s="10"/>
      <c r="N773" s="10"/>
      <c r="O773" s="10"/>
    </row>
    <row r="774" spans="10:15" ht="12.75" x14ac:dyDescent="0.2">
      <c r="J774" s="10"/>
      <c r="K774" s="10"/>
      <c r="L774" s="10"/>
      <c r="M774" s="10"/>
      <c r="N774" s="10"/>
      <c r="O774" s="10"/>
    </row>
    <row r="775" spans="10:15" ht="12.75" x14ac:dyDescent="0.2">
      <c r="J775" s="10"/>
      <c r="K775" s="10"/>
      <c r="L775" s="10"/>
      <c r="M775" s="10"/>
      <c r="N775" s="10"/>
      <c r="O775" s="10"/>
    </row>
    <row r="776" spans="10:15" ht="12.75" x14ac:dyDescent="0.2">
      <c r="J776" s="10"/>
      <c r="K776" s="10"/>
      <c r="L776" s="10"/>
      <c r="M776" s="10"/>
      <c r="N776" s="10"/>
      <c r="O776" s="10"/>
    </row>
    <row r="777" spans="10:15" ht="12.75" x14ac:dyDescent="0.2">
      <c r="J777" s="10"/>
      <c r="K777" s="10"/>
      <c r="L777" s="10"/>
      <c r="M777" s="10"/>
      <c r="N777" s="10"/>
      <c r="O777" s="10"/>
    </row>
    <row r="778" spans="10:15" ht="12.75" x14ac:dyDescent="0.2">
      <c r="J778" s="10"/>
      <c r="K778" s="10"/>
      <c r="L778" s="10"/>
      <c r="M778" s="10"/>
      <c r="N778" s="10"/>
      <c r="O778" s="10"/>
    </row>
    <row r="779" spans="10:15" ht="12.75" x14ac:dyDescent="0.2">
      <c r="J779" s="10"/>
      <c r="K779" s="10"/>
      <c r="L779" s="10"/>
      <c r="M779" s="10"/>
      <c r="N779" s="10"/>
      <c r="O779" s="10"/>
    </row>
    <row r="780" spans="10:15" ht="12.75" x14ac:dyDescent="0.2">
      <c r="J780" s="10"/>
      <c r="K780" s="10"/>
      <c r="L780" s="10"/>
      <c r="M780" s="10"/>
      <c r="N780" s="10"/>
      <c r="O780" s="10"/>
    </row>
    <row r="781" spans="10:15" ht="12.75" x14ac:dyDescent="0.2">
      <c r="J781" s="10"/>
      <c r="K781" s="10"/>
      <c r="L781" s="10"/>
      <c r="M781" s="10"/>
      <c r="N781" s="10"/>
      <c r="O781" s="10"/>
    </row>
    <row r="782" spans="10:15" ht="12.75" x14ac:dyDescent="0.2">
      <c r="J782" s="10"/>
      <c r="K782" s="10"/>
      <c r="L782" s="10"/>
      <c r="M782" s="10"/>
      <c r="N782" s="10"/>
      <c r="O782" s="10"/>
    </row>
    <row r="783" spans="10:15" ht="12.75" x14ac:dyDescent="0.2">
      <c r="J783" s="10"/>
      <c r="K783" s="10"/>
      <c r="L783" s="10"/>
      <c r="M783" s="10"/>
      <c r="N783" s="10"/>
      <c r="O783" s="10"/>
    </row>
    <row r="784" spans="10:15" ht="12.75" x14ac:dyDescent="0.2">
      <c r="J784" s="10"/>
      <c r="K784" s="10"/>
      <c r="L784" s="10"/>
      <c r="M784" s="10"/>
      <c r="N784" s="10"/>
      <c r="O784" s="10"/>
    </row>
    <row r="785" spans="10:15" ht="12.75" x14ac:dyDescent="0.2">
      <c r="J785" s="10"/>
      <c r="K785" s="10"/>
      <c r="L785" s="10"/>
      <c r="M785" s="10"/>
      <c r="N785" s="10"/>
      <c r="O785" s="10"/>
    </row>
    <row r="786" spans="10:15" ht="12.75" x14ac:dyDescent="0.2">
      <c r="J786" s="10"/>
      <c r="K786" s="10"/>
      <c r="L786" s="10"/>
      <c r="M786" s="10"/>
      <c r="N786" s="10"/>
      <c r="O786" s="10"/>
    </row>
    <row r="787" spans="10:15" ht="12.75" x14ac:dyDescent="0.2">
      <c r="J787" s="10"/>
      <c r="K787" s="10"/>
      <c r="L787" s="10"/>
      <c r="M787" s="10"/>
      <c r="N787" s="10"/>
      <c r="O787" s="10"/>
    </row>
    <row r="788" spans="10:15" ht="12.75" x14ac:dyDescent="0.2">
      <c r="J788" s="10"/>
      <c r="K788" s="10"/>
      <c r="L788" s="10"/>
      <c r="M788" s="10"/>
      <c r="N788" s="10"/>
      <c r="O788" s="10"/>
    </row>
    <row r="789" spans="10:15" ht="12.75" x14ac:dyDescent="0.2">
      <c r="J789" s="10"/>
      <c r="K789" s="10"/>
      <c r="L789" s="10"/>
      <c r="M789" s="10"/>
      <c r="N789" s="10"/>
      <c r="O789" s="10"/>
    </row>
    <row r="790" spans="10:15" ht="12.75" x14ac:dyDescent="0.2">
      <c r="J790" s="10"/>
      <c r="K790" s="10"/>
      <c r="L790" s="10"/>
      <c r="M790" s="10"/>
      <c r="N790" s="10"/>
      <c r="O790" s="10"/>
    </row>
    <row r="791" spans="10:15" ht="12.75" x14ac:dyDescent="0.2">
      <c r="J791" s="10"/>
      <c r="K791" s="10"/>
      <c r="L791" s="10"/>
      <c r="M791" s="10"/>
      <c r="N791" s="10"/>
      <c r="O791" s="10"/>
    </row>
    <row r="792" spans="10:15" ht="12.75" x14ac:dyDescent="0.2">
      <c r="J792" s="10"/>
      <c r="K792" s="10"/>
      <c r="L792" s="10"/>
      <c r="M792" s="10"/>
      <c r="N792" s="10"/>
      <c r="O792" s="10"/>
    </row>
    <row r="793" spans="10:15" ht="12.75" x14ac:dyDescent="0.2">
      <c r="J793" s="10"/>
      <c r="K793" s="10"/>
      <c r="L793" s="10"/>
      <c r="M793" s="10"/>
      <c r="N793" s="10"/>
      <c r="O793" s="10"/>
    </row>
    <row r="794" spans="10:15" ht="12.75" x14ac:dyDescent="0.2">
      <c r="J794" s="10"/>
      <c r="K794" s="10"/>
      <c r="L794" s="10"/>
      <c r="M794" s="10"/>
      <c r="N794" s="10"/>
      <c r="O794" s="10"/>
    </row>
    <row r="795" spans="10:15" ht="12.75" x14ac:dyDescent="0.2">
      <c r="J795" s="10"/>
      <c r="K795" s="10"/>
      <c r="L795" s="10"/>
      <c r="M795" s="10"/>
      <c r="N795" s="10"/>
      <c r="O795" s="10"/>
    </row>
    <row r="796" spans="10:15" ht="12.75" x14ac:dyDescent="0.2">
      <c r="J796" s="10"/>
      <c r="K796" s="10"/>
      <c r="L796" s="10"/>
      <c r="M796" s="10"/>
      <c r="N796" s="10"/>
      <c r="O796" s="10"/>
    </row>
    <row r="797" spans="10:15" ht="12.75" x14ac:dyDescent="0.2">
      <c r="J797" s="10"/>
      <c r="K797" s="10"/>
      <c r="L797" s="10"/>
      <c r="M797" s="10"/>
      <c r="N797" s="10"/>
      <c r="O797" s="10"/>
    </row>
    <row r="798" spans="10:15" ht="12.75" x14ac:dyDescent="0.2">
      <c r="J798" s="10"/>
      <c r="K798" s="10"/>
      <c r="L798" s="10"/>
      <c r="M798" s="10"/>
      <c r="N798" s="10"/>
      <c r="O798" s="10"/>
    </row>
    <row r="799" spans="10:15" ht="12.75" x14ac:dyDescent="0.2">
      <c r="J799" s="10"/>
      <c r="K799" s="10"/>
      <c r="L799" s="10"/>
      <c r="M799" s="10"/>
      <c r="N799" s="10"/>
      <c r="O799" s="10"/>
    </row>
    <row r="800" spans="10:15" ht="12.75" x14ac:dyDescent="0.2">
      <c r="J800" s="10"/>
      <c r="K800" s="10"/>
      <c r="L800" s="10"/>
      <c r="M800" s="10"/>
      <c r="N800" s="10"/>
      <c r="O800" s="10"/>
    </row>
    <row r="801" spans="10:15" ht="12.75" x14ac:dyDescent="0.2">
      <c r="J801" s="10"/>
      <c r="K801" s="10"/>
      <c r="L801" s="10"/>
      <c r="M801" s="10"/>
      <c r="N801" s="10"/>
      <c r="O801" s="10"/>
    </row>
    <row r="802" spans="10:15" ht="12.75" x14ac:dyDescent="0.2">
      <c r="J802" s="10"/>
      <c r="K802" s="10"/>
      <c r="L802" s="10"/>
      <c r="M802" s="10"/>
      <c r="N802" s="10"/>
      <c r="O802" s="10"/>
    </row>
    <row r="803" spans="10:15" ht="12.75" x14ac:dyDescent="0.2">
      <c r="J803" s="10"/>
      <c r="K803" s="10"/>
      <c r="L803" s="10"/>
      <c r="M803" s="10"/>
      <c r="N803" s="10"/>
      <c r="O803" s="10"/>
    </row>
    <row r="804" spans="10:15" ht="12.75" x14ac:dyDescent="0.2">
      <c r="J804" s="10"/>
      <c r="K804" s="10"/>
      <c r="L804" s="10"/>
      <c r="M804" s="10"/>
      <c r="N804" s="10"/>
      <c r="O804" s="10"/>
    </row>
    <row r="805" spans="10:15" ht="12.75" x14ac:dyDescent="0.2">
      <c r="J805" s="10"/>
      <c r="K805" s="10"/>
      <c r="L805" s="10"/>
      <c r="M805" s="10"/>
      <c r="N805" s="10"/>
      <c r="O805" s="10"/>
    </row>
    <row r="806" spans="10:15" ht="12.75" x14ac:dyDescent="0.2">
      <c r="J806" s="10"/>
      <c r="K806" s="10"/>
      <c r="L806" s="10"/>
      <c r="M806" s="10"/>
      <c r="N806" s="10"/>
      <c r="O806" s="10"/>
    </row>
    <row r="807" spans="10:15" ht="12.75" x14ac:dyDescent="0.2">
      <c r="J807" s="10"/>
      <c r="K807" s="10"/>
      <c r="L807" s="10"/>
      <c r="M807" s="10"/>
      <c r="N807" s="10"/>
      <c r="O807" s="10"/>
    </row>
    <row r="808" spans="10:15" ht="12.75" x14ac:dyDescent="0.2">
      <c r="J808" s="10"/>
      <c r="K808" s="10"/>
      <c r="L808" s="10"/>
      <c r="M808" s="10"/>
      <c r="N808" s="10"/>
      <c r="O808" s="10"/>
    </row>
    <row r="809" spans="10:15" ht="12.75" x14ac:dyDescent="0.2">
      <c r="J809" s="10"/>
      <c r="K809" s="10"/>
      <c r="L809" s="10"/>
      <c r="M809" s="10"/>
      <c r="N809" s="10"/>
      <c r="O809" s="10"/>
    </row>
    <row r="810" spans="10:15" ht="12.75" x14ac:dyDescent="0.2">
      <c r="J810" s="10"/>
      <c r="K810" s="10"/>
      <c r="L810" s="10"/>
      <c r="M810" s="10"/>
      <c r="N810" s="10"/>
      <c r="O810" s="10"/>
    </row>
    <row r="811" spans="10:15" ht="12.75" x14ac:dyDescent="0.2">
      <c r="J811" s="10"/>
      <c r="K811" s="10"/>
      <c r="L811" s="10"/>
      <c r="M811" s="10"/>
      <c r="N811" s="10"/>
      <c r="O811" s="10"/>
    </row>
    <row r="812" spans="10:15" ht="12.75" x14ac:dyDescent="0.2">
      <c r="J812" s="10"/>
      <c r="K812" s="10"/>
      <c r="L812" s="10"/>
      <c r="M812" s="10"/>
      <c r="N812" s="10"/>
      <c r="O812" s="10"/>
    </row>
    <row r="813" spans="10:15" ht="12.75" x14ac:dyDescent="0.2">
      <c r="J813" s="10"/>
      <c r="K813" s="10"/>
      <c r="L813" s="10"/>
      <c r="M813" s="10"/>
      <c r="N813" s="10"/>
      <c r="O813" s="10"/>
    </row>
    <row r="814" spans="10:15" ht="12.75" x14ac:dyDescent="0.2">
      <c r="J814" s="10"/>
      <c r="K814" s="10"/>
      <c r="L814" s="10"/>
      <c r="M814" s="10"/>
      <c r="N814" s="10"/>
      <c r="O814" s="10"/>
    </row>
    <row r="815" spans="10:15" ht="12.75" x14ac:dyDescent="0.2">
      <c r="J815" s="10"/>
      <c r="K815" s="10"/>
      <c r="L815" s="10"/>
      <c r="M815" s="10"/>
      <c r="N815" s="10"/>
      <c r="O815" s="10"/>
    </row>
    <row r="816" spans="10:15" ht="12.75" x14ac:dyDescent="0.2">
      <c r="J816" s="10"/>
      <c r="K816" s="10"/>
      <c r="L816" s="10"/>
      <c r="M816" s="10"/>
      <c r="N816" s="10"/>
      <c r="O816" s="10"/>
    </row>
    <row r="817" spans="10:15" ht="12.75" x14ac:dyDescent="0.2">
      <c r="J817" s="10"/>
      <c r="K817" s="10"/>
      <c r="L817" s="10"/>
      <c r="M817" s="10"/>
      <c r="N817" s="10"/>
      <c r="O817" s="10"/>
    </row>
    <row r="818" spans="10:15" ht="12.75" x14ac:dyDescent="0.2">
      <c r="J818" s="10"/>
      <c r="K818" s="10"/>
      <c r="L818" s="10"/>
      <c r="M818" s="10"/>
      <c r="N818" s="10"/>
      <c r="O818" s="10"/>
    </row>
    <row r="819" spans="10:15" ht="12.75" x14ac:dyDescent="0.2">
      <c r="J819" s="10"/>
      <c r="K819" s="10"/>
      <c r="L819" s="10"/>
      <c r="M819" s="10"/>
      <c r="N819" s="10"/>
      <c r="O819" s="10"/>
    </row>
    <row r="820" spans="10:15" ht="12.75" x14ac:dyDescent="0.2">
      <c r="J820" s="10"/>
      <c r="K820" s="10"/>
      <c r="L820" s="10"/>
      <c r="M820" s="10"/>
      <c r="N820" s="10"/>
      <c r="O820" s="10"/>
    </row>
    <row r="821" spans="10:15" ht="12.75" x14ac:dyDescent="0.2">
      <c r="J821" s="10"/>
      <c r="K821" s="10"/>
      <c r="L821" s="10"/>
      <c r="M821" s="10"/>
      <c r="N821" s="10"/>
      <c r="O821" s="10"/>
    </row>
    <row r="822" spans="10:15" ht="12.75" x14ac:dyDescent="0.2">
      <c r="J822" s="10"/>
      <c r="K822" s="10"/>
      <c r="L822" s="10"/>
      <c r="M822" s="10"/>
      <c r="N822" s="10"/>
      <c r="O822" s="10"/>
    </row>
    <row r="823" spans="10:15" ht="12.75" x14ac:dyDescent="0.2">
      <c r="J823" s="10"/>
      <c r="K823" s="10"/>
      <c r="L823" s="10"/>
      <c r="M823" s="10"/>
      <c r="N823" s="10"/>
      <c r="O823" s="10"/>
    </row>
    <row r="824" spans="10:15" ht="12.75" x14ac:dyDescent="0.2">
      <c r="J824" s="10"/>
      <c r="K824" s="10"/>
      <c r="L824" s="10"/>
      <c r="M824" s="10"/>
      <c r="N824" s="10"/>
      <c r="O824" s="10"/>
    </row>
    <row r="825" spans="10:15" ht="12.75" x14ac:dyDescent="0.2">
      <c r="J825" s="10"/>
      <c r="K825" s="10"/>
      <c r="L825" s="10"/>
      <c r="M825" s="10"/>
      <c r="N825" s="10"/>
      <c r="O825" s="10"/>
    </row>
    <row r="826" spans="10:15" ht="12.75" x14ac:dyDescent="0.2">
      <c r="J826" s="10"/>
      <c r="K826" s="10"/>
      <c r="L826" s="10"/>
      <c r="M826" s="10"/>
      <c r="N826" s="10"/>
      <c r="O826" s="10"/>
    </row>
    <row r="827" spans="10:15" ht="12.75" x14ac:dyDescent="0.2">
      <c r="J827" s="10"/>
      <c r="K827" s="10"/>
      <c r="L827" s="10"/>
      <c r="M827" s="10"/>
      <c r="N827" s="10"/>
      <c r="O827" s="10"/>
    </row>
    <row r="828" spans="10:15" ht="12.75" x14ac:dyDescent="0.2">
      <c r="J828" s="10"/>
      <c r="K828" s="10"/>
      <c r="L828" s="10"/>
      <c r="M828" s="10"/>
      <c r="N828" s="10"/>
      <c r="O828" s="10"/>
    </row>
    <row r="829" spans="10:15" ht="12.75" x14ac:dyDescent="0.2">
      <c r="J829" s="10"/>
      <c r="K829" s="10"/>
      <c r="L829" s="10"/>
      <c r="M829" s="10"/>
      <c r="N829" s="10"/>
      <c r="O829" s="10"/>
    </row>
    <row r="830" spans="10:15" ht="12.75" x14ac:dyDescent="0.2">
      <c r="J830" s="10"/>
      <c r="K830" s="10"/>
      <c r="L830" s="10"/>
      <c r="M830" s="10"/>
      <c r="N830" s="10"/>
      <c r="O830" s="10"/>
    </row>
    <row r="831" spans="10:15" ht="12.75" x14ac:dyDescent="0.2">
      <c r="J831" s="10"/>
      <c r="K831" s="10"/>
      <c r="L831" s="10"/>
      <c r="M831" s="10"/>
      <c r="N831" s="10"/>
      <c r="O831" s="10"/>
    </row>
    <row r="832" spans="10:15" ht="12.75" x14ac:dyDescent="0.2">
      <c r="J832" s="10"/>
      <c r="K832" s="10"/>
      <c r="L832" s="10"/>
      <c r="M832" s="10"/>
      <c r="N832" s="10"/>
      <c r="O832" s="10"/>
    </row>
    <row r="833" spans="10:15" ht="12.75" x14ac:dyDescent="0.2">
      <c r="J833" s="10"/>
      <c r="K833" s="10"/>
      <c r="L833" s="10"/>
      <c r="M833" s="10"/>
      <c r="N833" s="10"/>
      <c r="O833" s="10"/>
    </row>
    <row r="834" spans="10:15" ht="12.75" x14ac:dyDescent="0.2">
      <c r="J834" s="10"/>
      <c r="K834" s="10"/>
      <c r="L834" s="10"/>
      <c r="M834" s="10"/>
      <c r="N834" s="10"/>
      <c r="O834" s="10"/>
    </row>
    <row r="835" spans="10:15" ht="12.75" x14ac:dyDescent="0.2">
      <c r="J835" s="10"/>
      <c r="K835" s="10"/>
      <c r="L835" s="10"/>
      <c r="M835" s="10"/>
      <c r="N835" s="10"/>
      <c r="O835" s="10"/>
    </row>
    <row r="836" spans="10:15" ht="12.75" x14ac:dyDescent="0.2">
      <c r="J836" s="10"/>
      <c r="K836" s="10"/>
      <c r="L836" s="10"/>
      <c r="M836" s="10"/>
      <c r="N836" s="10"/>
      <c r="O836" s="10"/>
    </row>
    <row r="837" spans="10:15" ht="12.75" x14ac:dyDescent="0.2">
      <c r="J837" s="10"/>
      <c r="K837" s="10"/>
      <c r="L837" s="10"/>
      <c r="M837" s="10"/>
      <c r="N837" s="10"/>
      <c r="O837" s="10"/>
    </row>
    <row r="838" spans="10:15" ht="12.75" x14ac:dyDescent="0.2">
      <c r="J838" s="10"/>
      <c r="K838" s="10"/>
      <c r="L838" s="10"/>
      <c r="M838" s="10"/>
      <c r="N838" s="10"/>
      <c r="O838" s="10"/>
    </row>
    <row r="839" spans="10:15" ht="12.75" x14ac:dyDescent="0.2">
      <c r="J839" s="10"/>
      <c r="K839" s="10"/>
      <c r="L839" s="10"/>
      <c r="M839" s="10"/>
      <c r="N839" s="10"/>
      <c r="O839" s="10"/>
    </row>
    <row r="840" spans="10:15" ht="12.75" x14ac:dyDescent="0.2">
      <c r="J840" s="10"/>
      <c r="K840" s="10"/>
      <c r="L840" s="10"/>
      <c r="M840" s="10"/>
      <c r="N840" s="10"/>
      <c r="O840" s="10"/>
    </row>
    <row r="841" spans="10:15" ht="12.75" x14ac:dyDescent="0.2">
      <c r="J841" s="10"/>
      <c r="K841" s="10"/>
      <c r="L841" s="10"/>
      <c r="M841" s="10"/>
      <c r="N841" s="10"/>
      <c r="O841" s="10"/>
    </row>
    <row r="842" spans="10:15" ht="12.75" x14ac:dyDescent="0.2">
      <c r="J842" s="10"/>
      <c r="K842" s="10"/>
      <c r="L842" s="10"/>
      <c r="M842" s="10"/>
      <c r="N842" s="10"/>
      <c r="O842" s="10"/>
    </row>
    <row r="843" spans="10:15" ht="12.75" x14ac:dyDescent="0.2">
      <c r="J843" s="10"/>
      <c r="K843" s="10"/>
      <c r="L843" s="10"/>
      <c r="M843" s="10"/>
      <c r="N843" s="10"/>
      <c r="O843" s="10"/>
    </row>
    <row r="844" spans="10:15" ht="12.75" x14ac:dyDescent="0.2">
      <c r="J844" s="10"/>
      <c r="K844" s="10"/>
      <c r="L844" s="10"/>
      <c r="M844" s="10"/>
      <c r="N844" s="10"/>
      <c r="O844" s="10"/>
    </row>
    <row r="845" spans="10:15" ht="12.75" x14ac:dyDescent="0.2">
      <c r="J845" s="10"/>
      <c r="K845" s="10"/>
      <c r="L845" s="10"/>
      <c r="M845" s="10"/>
      <c r="N845" s="10"/>
      <c r="O845" s="10"/>
    </row>
    <row r="846" spans="10:15" ht="12.75" x14ac:dyDescent="0.2">
      <c r="J846" s="10"/>
      <c r="K846" s="10"/>
      <c r="L846" s="10"/>
      <c r="M846" s="10"/>
      <c r="N846" s="10"/>
      <c r="O846" s="10"/>
    </row>
    <row r="847" spans="10:15" ht="12.75" x14ac:dyDescent="0.2">
      <c r="J847" s="10"/>
      <c r="K847" s="10"/>
      <c r="L847" s="10"/>
      <c r="M847" s="10"/>
      <c r="N847" s="10"/>
      <c r="O847" s="10"/>
    </row>
    <row r="848" spans="10:15" ht="12.75" x14ac:dyDescent="0.2">
      <c r="J848" s="10"/>
      <c r="K848" s="10"/>
      <c r="L848" s="10"/>
      <c r="M848" s="10"/>
      <c r="N848" s="10"/>
      <c r="O848" s="10"/>
    </row>
    <row r="849" spans="10:15" ht="12.75" x14ac:dyDescent="0.2">
      <c r="J849" s="10"/>
      <c r="K849" s="10"/>
      <c r="L849" s="10"/>
      <c r="M849" s="10"/>
      <c r="N849" s="10"/>
      <c r="O849" s="10"/>
    </row>
    <row r="850" spans="10:15" ht="12.75" x14ac:dyDescent="0.2">
      <c r="J850" s="10"/>
      <c r="K850" s="10"/>
      <c r="L850" s="10"/>
      <c r="M850" s="10"/>
      <c r="N850" s="10"/>
      <c r="O850" s="10"/>
    </row>
    <row r="851" spans="10:15" ht="12.75" x14ac:dyDescent="0.2">
      <c r="J851" s="10"/>
      <c r="K851" s="10"/>
      <c r="L851" s="10"/>
      <c r="M851" s="10"/>
      <c r="N851" s="10"/>
      <c r="O851" s="10"/>
    </row>
    <row r="852" spans="10:15" ht="12.75" x14ac:dyDescent="0.2">
      <c r="J852" s="10"/>
      <c r="K852" s="10"/>
      <c r="L852" s="10"/>
      <c r="M852" s="10"/>
      <c r="N852" s="10"/>
      <c r="O852" s="10"/>
    </row>
    <row r="853" spans="10:15" ht="12.75" x14ac:dyDescent="0.2">
      <c r="J853" s="10"/>
      <c r="K853" s="10"/>
      <c r="L853" s="10"/>
      <c r="M853" s="10"/>
      <c r="N853" s="10"/>
      <c r="O853" s="10"/>
    </row>
    <row r="854" spans="10:15" ht="12.75" x14ac:dyDescent="0.2">
      <c r="J854" s="10"/>
      <c r="K854" s="10"/>
      <c r="L854" s="10"/>
      <c r="M854" s="10"/>
      <c r="N854" s="10"/>
      <c r="O854" s="10"/>
    </row>
    <row r="855" spans="10:15" ht="12.75" x14ac:dyDescent="0.2">
      <c r="J855" s="10"/>
      <c r="K855" s="10"/>
      <c r="L855" s="10"/>
      <c r="M855" s="10"/>
      <c r="N855" s="10"/>
      <c r="O855" s="10"/>
    </row>
    <row r="856" spans="10:15" ht="12.75" x14ac:dyDescent="0.2">
      <c r="J856" s="10"/>
      <c r="K856" s="10"/>
      <c r="L856" s="10"/>
      <c r="M856" s="10"/>
      <c r="N856" s="10"/>
      <c r="O856" s="10"/>
    </row>
    <row r="857" spans="10:15" ht="12.75" x14ac:dyDescent="0.2">
      <c r="J857" s="10"/>
      <c r="K857" s="10"/>
      <c r="L857" s="10"/>
      <c r="M857" s="10"/>
      <c r="N857" s="10"/>
      <c r="O857" s="10"/>
    </row>
    <row r="858" spans="10:15" ht="12.75" x14ac:dyDescent="0.2">
      <c r="J858" s="10"/>
      <c r="K858" s="10"/>
      <c r="L858" s="10"/>
      <c r="M858" s="10"/>
      <c r="N858" s="10"/>
      <c r="O858" s="10"/>
    </row>
    <row r="859" spans="10:15" ht="12.75" x14ac:dyDescent="0.2">
      <c r="J859" s="10"/>
      <c r="K859" s="10"/>
      <c r="L859" s="10"/>
      <c r="M859" s="10"/>
      <c r="N859" s="10"/>
      <c r="O859" s="10"/>
    </row>
    <row r="860" spans="10:15" ht="12.75" x14ac:dyDescent="0.2">
      <c r="J860" s="10"/>
      <c r="K860" s="10"/>
      <c r="L860" s="10"/>
      <c r="M860" s="10"/>
      <c r="N860" s="10"/>
      <c r="O860" s="10"/>
    </row>
    <row r="861" spans="10:15" ht="12.75" x14ac:dyDescent="0.2">
      <c r="J861" s="10"/>
      <c r="K861" s="10"/>
      <c r="L861" s="10"/>
      <c r="M861" s="10"/>
      <c r="N861" s="10"/>
      <c r="O861" s="10"/>
    </row>
    <row r="862" spans="10:15" ht="12.75" x14ac:dyDescent="0.2">
      <c r="J862" s="10"/>
      <c r="K862" s="10"/>
      <c r="L862" s="10"/>
      <c r="M862" s="10"/>
      <c r="N862" s="10"/>
      <c r="O862" s="10"/>
    </row>
    <row r="863" spans="10:15" ht="12.75" x14ac:dyDescent="0.2">
      <c r="J863" s="10"/>
      <c r="K863" s="10"/>
      <c r="L863" s="10"/>
      <c r="M863" s="10"/>
      <c r="N863" s="10"/>
      <c r="O863" s="10"/>
    </row>
    <row r="864" spans="10:15" ht="12.75" x14ac:dyDescent="0.2">
      <c r="J864" s="10"/>
      <c r="K864" s="10"/>
      <c r="L864" s="10"/>
      <c r="M864" s="10"/>
      <c r="N864" s="10"/>
      <c r="O864" s="10"/>
    </row>
    <row r="865" spans="10:15" ht="12.75" x14ac:dyDescent="0.2">
      <c r="J865" s="10"/>
      <c r="K865" s="10"/>
      <c r="L865" s="10"/>
      <c r="M865" s="10"/>
      <c r="N865" s="10"/>
      <c r="O865" s="10"/>
    </row>
    <row r="866" spans="10:15" ht="12.75" x14ac:dyDescent="0.2">
      <c r="J866" s="10"/>
      <c r="K866" s="10"/>
      <c r="L866" s="10"/>
      <c r="M866" s="10"/>
      <c r="N866" s="10"/>
      <c r="O866" s="10"/>
    </row>
    <row r="867" spans="10:15" ht="12.75" x14ac:dyDescent="0.2">
      <c r="J867" s="10"/>
      <c r="K867" s="10"/>
      <c r="L867" s="10"/>
      <c r="M867" s="10"/>
      <c r="N867" s="10"/>
      <c r="O867" s="10"/>
    </row>
    <row r="868" spans="10:15" ht="12.75" x14ac:dyDescent="0.2">
      <c r="J868" s="10"/>
      <c r="K868" s="10"/>
      <c r="L868" s="10"/>
      <c r="M868" s="10"/>
      <c r="N868" s="10"/>
      <c r="O868" s="10"/>
    </row>
    <row r="869" spans="10:15" ht="12.75" x14ac:dyDescent="0.2">
      <c r="J869" s="10"/>
      <c r="K869" s="10"/>
      <c r="L869" s="10"/>
      <c r="M869" s="10"/>
      <c r="N869" s="10"/>
      <c r="O869" s="10"/>
    </row>
    <row r="870" spans="10:15" ht="12.75" x14ac:dyDescent="0.2">
      <c r="J870" s="10"/>
      <c r="K870" s="10"/>
      <c r="L870" s="10"/>
      <c r="M870" s="10"/>
      <c r="N870" s="10"/>
      <c r="O870" s="10"/>
    </row>
    <row r="871" spans="10:15" ht="12.75" x14ac:dyDescent="0.2">
      <c r="J871" s="10"/>
      <c r="K871" s="10"/>
      <c r="L871" s="10"/>
      <c r="M871" s="10"/>
      <c r="N871" s="10"/>
      <c r="O871" s="10"/>
    </row>
    <row r="872" spans="10:15" ht="12.75" x14ac:dyDescent="0.2">
      <c r="J872" s="10"/>
      <c r="K872" s="10"/>
      <c r="L872" s="10"/>
      <c r="M872" s="10"/>
      <c r="N872" s="10"/>
      <c r="O872" s="10"/>
    </row>
    <row r="873" spans="10:15" ht="12.75" x14ac:dyDescent="0.2">
      <c r="J873" s="10"/>
      <c r="K873" s="10"/>
      <c r="L873" s="10"/>
      <c r="M873" s="10"/>
      <c r="N873" s="10"/>
      <c r="O873" s="10"/>
    </row>
    <row r="874" spans="10:15" ht="12.75" x14ac:dyDescent="0.2">
      <c r="J874" s="10"/>
      <c r="K874" s="10"/>
      <c r="L874" s="10"/>
      <c r="M874" s="10"/>
      <c r="N874" s="10"/>
      <c r="O874" s="10"/>
    </row>
    <row r="875" spans="10:15" ht="12.75" x14ac:dyDescent="0.2">
      <c r="J875" s="10"/>
      <c r="K875" s="10"/>
      <c r="L875" s="10"/>
      <c r="M875" s="10"/>
      <c r="N875" s="10"/>
      <c r="O875" s="10"/>
    </row>
    <row r="876" spans="10:15" ht="12.75" x14ac:dyDescent="0.2">
      <c r="J876" s="10"/>
      <c r="K876" s="10"/>
      <c r="L876" s="10"/>
      <c r="M876" s="10"/>
      <c r="N876" s="10"/>
      <c r="O876" s="10"/>
    </row>
    <row r="877" spans="10:15" ht="12.75" x14ac:dyDescent="0.2">
      <c r="J877" s="10"/>
      <c r="K877" s="10"/>
      <c r="L877" s="10"/>
      <c r="M877" s="10"/>
      <c r="N877" s="10"/>
      <c r="O877" s="10"/>
    </row>
    <row r="878" spans="10:15" ht="12.75" x14ac:dyDescent="0.2">
      <c r="J878" s="10"/>
      <c r="K878" s="10"/>
      <c r="L878" s="10"/>
      <c r="M878" s="10"/>
      <c r="N878" s="10"/>
      <c r="O878" s="10"/>
    </row>
    <row r="879" spans="10:15" ht="12.75" x14ac:dyDescent="0.2">
      <c r="J879" s="10"/>
      <c r="K879" s="10"/>
      <c r="L879" s="10"/>
      <c r="M879" s="10"/>
      <c r="N879" s="10"/>
      <c r="O879" s="10"/>
    </row>
    <row r="880" spans="10:15" ht="12.75" x14ac:dyDescent="0.2">
      <c r="J880" s="10"/>
      <c r="K880" s="10"/>
      <c r="L880" s="10"/>
      <c r="M880" s="10"/>
      <c r="N880" s="10"/>
      <c r="O880" s="10"/>
    </row>
    <row r="881" spans="10:15" ht="12.75" x14ac:dyDescent="0.2">
      <c r="J881" s="10"/>
      <c r="K881" s="10"/>
      <c r="L881" s="10"/>
      <c r="M881" s="10"/>
      <c r="N881" s="10"/>
      <c r="O881" s="10"/>
    </row>
    <row r="882" spans="10:15" ht="12.75" x14ac:dyDescent="0.2">
      <c r="J882" s="10"/>
      <c r="K882" s="10"/>
      <c r="L882" s="10"/>
      <c r="M882" s="10"/>
      <c r="N882" s="10"/>
      <c r="O882" s="10"/>
    </row>
    <row r="883" spans="10:15" ht="12.75" x14ac:dyDescent="0.2">
      <c r="J883" s="10"/>
      <c r="K883" s="10"/>
      <c r="L883" s="10"/>
      <c r="M883" s="10"/>
      <c r="N883" s="10"/>
      <c r="O883" s="10"/>
    </row>
    <row r="884" spans="10:15" ht="12.75" x14ac:dyDescent="0.2">
      <c r="J884" s="10"/>
      <c r="K884" s="10"/>
      <c r="L884" s="10"/>
      <c r="M884" s="10"/>
      <c r="N884" s="10"/>
      <c r="O884" s="10"/>
    </row>
    <row r="885" spans="10:15" ht="12.75" x14ac:dyDescent="0.2">
      <c r="J885" s="10"/>
      <c r="K885" s="10"/>
      <c r="L885" s="10"/>
      <c r="M885" s="10"/>
      <c r="N885" s="10"/>
      <c r="O885" s="10"/>
    </row>
    <row r="886" spans="10:15" ht="12.75" x14ac:dyDescent="0.2">
      <c r="J886" s="10"/>
      <c r="K886" s="10"/>
      <c r="L886" s="10"/>
      <c r="M886" s="10"/>
      <c r="N886" s="10"/>
      <c r="O886" s="10"/>
    </row>
    <row r="887" spans="10:15" ht="12.75" x14ac:dyDescent="0.2">
      <c r="J887" s="10"/>
      <c r="K887" s="10"/>
      <c r="L887" s="10"/>
      <c r="M887" s="10"/>
      <c r="N887" s="10"/>
      <c r="O887" s="10"/>
    </row>
    <row r="888" spans="10:15" ht="12.75" x14ac:dyDescent="0.2">
      <c r="J888" s="10"/>
      <c r="K888" s="10"/>
      <c r="L888" s="10"/>
      <c r="M888" s="10"/>
      <c r="N888" s="10"/>
      <c r="O888" s="10"/>
    </row>
    <row r="889" spans="10:15" ht="12.75" x14ac:dyDescent="0.2">
      <c r="J889" s="10"/>
      <c r="K889" s="10"/>
      <c r="L889" s="10"/>
      <c r="M889" s="10"/>
      <c r="N889" s="10"/>
      <c r="O889" s="10"/>
    </row>
    <row r="890" spans="10:15" ht="12.75" x14ac:dyDescent="0.2">
      <c r="J890" s="10"/>
      <c r="K890" s="10"/>
      <c r="L890" s="10"/>
      <c r="M890" s="10"/>
      <c r="N890" s="10"/>
      <c r="O890" s="10"/>
    </row>
    <row r="891" spans="10:15" ht="12.75" x14ac:dyDescent="0.2">
      <c r="J891" s="10"/>
      <c r="K891" s="10"/>
      <c r="L891" s="10"/>
      <c r="M891" s="10"/>
      <c r="N891" s="10"/>
      <c r="O891" s="10"/>
    </row>
    <row r="892" spans="10:15" ht="12.75" x14ac:dyDescent="0.2">
      <c r="J892" s="10"/>
      <c r="K892" s="10"/>
      <c r="L892" s="10"/>
      <c r="M892" s="10"/>
      <c r="N892" s="10"/>
      <c r="O892" s="10"/>
    </row>
    <row r="893" spans="10:15" ht="12.75" x14ac:dyDescent="0.2">
      <c r="J893" s="10"/>
      <c r="K893" s="10"/>
      <c r="L893" s="10"/>
      <c r="M893" s="10"/>
      <c r="N893" s="10"/>
      <c r="O893" s="10"/>
    </row>
    <row r="894" spans="10:15" ht="12.75" x14ac:dyDescent="0.2">
      <c r="J894" s="10"/>
      <c r="K894" s="10"/>
      <c r="L894" s="10"/>
      <c r="M894" s="10"/>
      <c r="N894" s="10"/>
      <c r="O894" s="10"/>
    </row>
    <row r="895" spans="10:15" ht="12.75" x14ac:dyDescent="0.2">
      <c r="J895" s="10"/>
      <c r="K895" s="10"/>
      <c r="L895" s="10"/>
      <c r="M895" s="10"/>
      <c r="N895" s="10"/>
      <c r="O895" s="10"/>
    </row>
    <row r="896" spans="10:15" ht="12.75" x14ac:dyDescent="0.2">
      <c r="J896" s="10"/>
      <c r="K896" s="10"/>
      <c r="L896" s="10"/>
      <c r="M896" s="10"/>
      <c r="N896" s="10"/>
      <c r="O896" s="10"/>
    </row>
    <row r="897" spans="10:15" ht="12.75" x14ac:dyDescent="0.2">
      <c r="J897" s="10"/>
      <c r="K897" s="10"/>
      <c r="L897" s="10"/>
      <c r="M897" s="10"/>
      <c r="N897" s="10"/>
      <c r="O897" s="10"/>
    </row>
    <row r="898" spans="10:15" ht="12.75" x14ac:dyDescent="0.2">
      <c r="J898" s="10"/>
      <c r="K898" s="10"/>
      <c r="L898" s="10"/>
      <c r="M898" s="10"/>
      <c r="N898" s="10"/>
      <c r="O898" s="10"/>
    </row>
    <row r="899" spans="10:15" ht="12.75" x14ac:dyDescent="0.2">
      <c r="J899" s="10"/>
      <c r="K899" s="10"/>
      <c r="L899" s="10"/>
      <c r="M899" s="10"/>
      <c r="N899" s="10"/>
      <c r="O899" s="10"/>
    </row>
    <row r="900" spans="10:15" ht="12.75" x14ac:dyDescent="0.2">
      <c r="J900" s="10"/>
      <c r="K900" s="10"/>
      <c r="L900" s="10"/>
      <c r="M900" s="10"/>
      <c r="N900" s="10"/>
      <c r="O900" s="10"/>
    </row>
    <row r="901" spans="10:15" ht="12.75" x14ac:dyDescent="0.2">
      <c r="J901" s="10"/>
      <c r="K901" s="10"/>
      <c r="L901" s="10"/>
      <c r="M901" s="10"/>
      <c r="N901" s="10"/>
      <c r="O901" s="10"/>
    </row>
    <row r="902" spans="10:15" ht="12.75" x14ac:dyDescent="0.2">
      <c r="J902" s="10"/>
      <c r="K902" s="10"/>
      <c r="L902" s="10"/>
      <c r="M902" s="10"/>
      <c r="N902" s="10"/>
      <c r="O902" s="10"/>
    </row>
    <row r="903" spans="10:15" ht="12.75" x14ac:dyDescent="0.2">
      <c r="J903" s="10"/>
      <c r="K903" s="10"/>
      <c r="L903" s="10"/>
      <c r="M903" s="10"/>
      <c r="N903" s="10"/>
      <c r="O903" s="10"/>
    </row>
    <row r="904" spans="10:15" ht="12.75" x14ac:dyDescent="0.2">
      <c r="J904" s="10"/>
      <c r="K904" s="10"/>
      <c r="L904" s="10"/>
      <c r="M904" s="10"/>
      <c r="N904" s="10"/>
      <c r="O904" s="10"/>
    </row>
    <row r="905" spans="10:15" ht="12.75" x14ac:dyDescent="0.2">
      <c r="J905" s="10"/>
      <c r="K905" s="10"/>
      <c r="L905" s="10"/>
      <c r="M905" s="10"/>
      <c r="N905" s="10"/>
      <c r="O905" s="10"/>
    </row>
    <row r="906" spans="10:15" ht="12.75" x14ac:dyDescent="0.2">
      <c r="J906" s="10"/>
      <c r="K906" s="10"/>
      <c r="L906" s="10"/>
      <c r="M906" s="10"/>
      <c r="N906" s="10"/>
      <c r="O906" s="10"/>
    </row>
    <row r="907" spans="10:15" ht="12.75" x14ac:dyDescent="0.2">
      <c r="J907" s="10"/>
      <c r="K907" s="10"/>
      <c r="L907" s="10"/>
      <c r="M907" s="10"/>
      <c r="N907" s="10"/>
      <c r="O907" s="10"/>
    </row>
    <row r="908" spans="10:15" ht="12.75" x14ac:dyDescent="0.2">
      <c r="J908" s="10"/>
      <c r="K908" s="10"/>
      <c r="L908" s="10"/>
      <c r="M908" s="10"/>
      <c r="N908" s="10"/>
      <c r="O908" s="10"/>
    </row>
    <row r="909" spans="10:15" ht="12.75" x14ac:dyDescent="0.2">
      <c r="J909" s="10"/>
      <c r="K909" s="10"/>
      <c r="L909" s="10"/>
      <c r="M909" s="10"/>
      <c r="N909" s="10"/>
      <c r="O909" s="10"/>
    </row>
    <row r="910" spans="10:15" ht="12.75" x14ac:dyDescent="0.2">
      <c r="J910" s="10"/>
      <c r="K910" s="10"/>
      <c r="L910" s="10"/>
      <c r="M910" s="10"/>
      <c r="N910" s="10"/>
      <c r="O910" s="10"/>
    </row>
    <row r="911" spans="10:15" ht="12.75" x14ac:dyDescent="0.2">
      <c r="J911" s="10"/>
      <c r="K911" s="10"/>
      <c r="L911" s="10"/>
      <c r="M911" s="10"/>
      <c r="N911" s="10"/>
      <c r="O911" s="10"/>
    </row>
    <row r="912" spans="10:15" ht="12.75" x14ac:dyDescent="0.2">
      <c r="J912" s="10"/>
      <c r="K912" s="10"/>
      <c r="L912" s="10"/>
      <c r="M912" s="10"/>
      <c r="N912" s="10"/>
      <c r="O912" s="10"/>
    </row>
    <row r="913" spans="10:15" ht="12.75" x14ac:dyDescent="0.2">
      <c r="J913" s="10"/>
      <c r="K913" s="10"/>
      <c r="L913" s="10"/>
      <c r="M913" s="10"/>
      <c r="N913" s="10"/>
      <c r="O913" s="10"/>
    </row>
    <row r="914" spans="10:15" ht="12.75" x14ac:dyDescent="0.2">
      <c r="J914" s="10"/>
      <c r="K914" s="10"/>
      <c r="L914" s="10"/>
      <c r="M914" s="10"/>
      <c r="N914" s="10"/>
      <c r="O914" s="10"/>
    </row>
    <row r="915" spans="10:15" ht="12.75" x14ac:dyDescent="0.2">
      <c r="J915" s="10"/>
      <c r="K915" s="10"/>
      <c r="L915" s="10"/>
      <c r="M915" s="10"/>
      <c r="N915" s="10"/>
      <c r="O915" s="10"/>
    </row>
    <row r="916" spans="10:15" ht="12.75" x14ac:dyDescent="0.2">
      <c r="J916" s="10"/>
      <c r="K916" s="10"/>
      <c r="L916" s="10"/>
      <c r="M916" s="10"/>
      <c r="N916" s="10"/>
      <c r="O916" s="10"/>
    </row>
    <row r="917" spans="10:15" ht="12.75" x14ac:dyDescent="0.2">
      <c r="J917" s="10"/>
      <c r="K917" s="10"/>
      <c r="L917" s="10"/>
      <c r="M917" s="10"/>
      <c r="N917" s="10"/>
      <c r="O917" s="10"/>
    </row>
    <row r="918" spans="10:15" ht="12.75" x14ac:dyDescent="0.2">
      <c r="J918" s="10"/>
      <c r="K918" s="10"/>
      <c r="L918" s="10"/>
      <c r="M918" s="10"/>
      <c r="N918" s="10"/>
      <c r="O918" s="10"/>
    </row>
    <row r="919" spans="10:15" ht="12.75" x14ac:dyDescent="0.2">
      <c r="J919" s="10"/>
      <c r="K919" s="10"/>
      <c r="L919" s="10"/>
      <c r="M919" s="10"/>
      <c r="N919" s="10"/>
      <c r="O919" s="10"/>
    </row>
    <row r="920" spans="10:15" ht="12.75" x14ac:dyDescent="0.2">
      <c r="J920" s="10"/>
      <c r="K920" s="10"/>
      <c r="L920" s="10"/>
      <c r="M920" s="10"/>
      <c r="N920" s="10"/>
      <c r="O920" s="10"/>
    </row>
    <row r="921" spans="10:15" ht="12.75" x14ac:dyDescent="0.2">
      <c r="J921" s="10"/>
      <c r="K921" s="10"/>
      <c r="L921" s="10"/>
      <c r="M921" s="10"/>
      <c r="N921" s="10"/>
      <c r="O921" s="10"/>
    </row>
    <row r="922" spans="10:15" ht="12.75" x14ac:dyDescent="0.2">
      <c r="J922" s="10"/>
      <c r="K922" s="10"/>
      <c r="L922" s="10"/>
      <c r="M922" s="10"/>
      <c r="N922" s="10"/>
      <c r="O922" s="10"/>
    </row>
    <row r="923" spans="10:15" ht="12.75" x14ac:dyDescent="0.2">
      <c r="J923" s="10"/>
      <c r="K923" s="10"/>
      <c r="L923" s="10"/>
      <c r="M923" s="10"/>
      <c r="N923" s="10"/>
      <c r="O923" s="10"/>
    </row>
    <row r="924" spans="10:15" ht="12.75" x14ac:dyDescent="0.2">
      <c r="J924" s="10"/>
      <c r="K924" s="10"/>
      <c r="L924" s="10"/>
      <c r="M924" s="10"/>
      <c r="N924" s="10"/>
      <c r="O924" s="10"/>
    </row>
    <row r="925" spans="10:15" ht="12.75" x14ac:dyDescent="0.2">
      <c r="J925" s="10"/>
      <c r="K925" s="10"/>
      <c r="L925" s="10"/>
      <c r="M925" s="10"/>
      <c r="N925" s="10"/>
      <c r="O925" s="10"/>
    </row>
    <row r="926" spans="10:15" ht="12.75" x14ac:dyDescent="0.2">
      <c r="J926" s="10"/>
      <c r="K926" s="10"/>
      <c r="L926" s="10"/>
      <c r="M926" s="10"/>
      <c r="N926" s="10"/>
      <c r="O926" s="10"/>
    </row>
    <row r="927" spans="10:15" ht="12.75" x14ac:dyDescent="0.2">
      <c r="J927" s="10"/>
      <c r="K927" s="10"/>
      <c r="L927" s="10"/>
      <c r="M927" s="10"/>
      <c r="N927" s="10"/>
      <c r="O927" s="10"/>
    </row>
    <row r="928" spans="10:15" ht="12.75" x14ac:dyDescent="0.2">
      <c r="J928" s="10"/>
      <c r="K928" s="10"/>
      <c r="L928" s="10"/>
      <c r="M928" s="10"/>
      <c r="N928" s="10"/>
      <c r="O928" s="10"/>
    </row>
    <row r="929" spans="10:15" ht="12.75" x14ac:dyDescent="0.2">
      <c r="J929" s="10"/>
      <c r="K929" s="10"/>
      <c r="L929" s="10"/>
      <c r="M929" s="10"/>
      <c r="N929" s="10"/>
      <c r="O929" s="10"/>
    </row>
    <row r="930" spans="10:15" ht="12.75" x14ac:dyDescent="0.2">
      <c r="J930" s="10"/>
      <c r="K930" s="10"/>
      <c r="L930" s="10"/>
      <c r="M930" s="10"/>
      <c r="N930" s="10"/>
      <c r="O930" s="10"/>
    </row>
    <row r="931" spans="10:15" ht="12.75" x14ac:dyDescent="0.2">
      <c r="J931" s="10"/>
      <c r="K931" s="10"/>
      <c r="L931" s="10"/>
      <c r="M931" s="10"/>
      <c r="N931" s="10"/>
      <c r="O931" s="10"/>
    </row>
    <row r="932" spans="10:15" ht="12.75" x14ac:dyDescent="0.2">
      <c r="J932" s="10"/>
      <c r="K932" s="10"/>
      <c r="L932" s="10"/>
      <c r="M932" s="10"/>
      <c r="N932" s="10"/>
      <c r="O932" s="10"/>
    </row>
    <row r="933" spans="10:15" ht="12.75" x14ac:dyDescent="0.2">
      <c r="J933" s="10"/>
      <c r="K933" s="10"/>
      <c r="L933" s="10"/>
      <c r="M933" s="10"/>
      <c r="N933" s="10"/>
      <c r="O933" s="10"/>
    </row>
    <row r="934" spans="10:15" ht="12.75" x14ac:dyDescent="0.2">
      <c r="J934" s="10"/>
      <c r="K934" s="10"/>
      <c r="L934" s="10"/>
      <c r="M934" s="10"/>
      <c r="N934" s="10"/>
      <c r="O934" s="10"/>
    </row>
    <row r="935" spans="10:15" ht="12.75" x14ac:dyDescent="0.2">
      <c r="J935" s="10"/>
      <c r="K935" s="10"/>
      <c r="L935" s="10"/>
      <c r="M935" s="10"/>
      <c r="N935" s="10"/>
      <c r="O935" s="10"/>
    </row>
    <row r="936" spans="10:15" ht="12.75" x14ac:dyDescent="0.2">
      <c r="J936" s="10"/>
      <c r="K936" s="10"/>
      <c r="L936" s="10"/>
      <c r="M936" s="10"/>
      <c r="N936" s="10"/>
      <c r="O936" s="10"/>
    </row>
    <row r="937" spans="10:15" ht="12.75" x14ac:dyDescent="0.2">
      <c r="J937" s="10"/>
      <c r="K937" s="10"/>
      <c r="L937" s="10"/>
      <c r="M937" s="10"/>
      <c r="N937" s="10"/>
      <c r="O937" s="10"/>
    </row>
    <row r="938" spans="10:15" ht="12.75" x14ac:dyDescent="0.2">
      <c r="J938" s="10"/>
      <c r="K938" s="10"/>
      <c r="L938" s="10"/>
      <c r="M938" s="10"/>
      <c r="N938" s="10"/>
      <c r="O938" s="10"/>
    </row>
    <row r="939" spans="10:15" ht="12.75" x14ac:dyDescent="0.2">
      <c r="J939" s="10"/>
      <c r="K939" s="10"/>
      <c r="L939" s="10"/>
      <c r="M939" s="10"/>
      <c r="N939" s="10"/>
      <c r="O939" s="10"/>
    </row>
    <row r="940" spans="10:15" ht="12.75" x14ac:dyDescent="0.2">
      <c r="J940" s="10"/>
      <c r="K940" s="10"/>
      <c r="L940" s="10"/>
      <c r="M940" s="10"/>
      <c r="N940" s="10"/>
      <c r="O940" s="10"/>
    </row>
    <row r="941" spans="10:15" ht="12.75" x14ac:dyDescent="0.2">
      <c r="J941" s="10"/>
      <c r="K941" s="10"/>
      <c r="L941" s="10"/>
      <c r="M941" s="10"/>
      <c r="N941" s="10"/>
      <c r="O941" s="10"/>
    </row>
    <row r="942" spans="10:15" ht="12.75" x14ac:dyDescent="0.2">
      <c r="J942" s="10"/>
      <c r="K942" s="10"/>
      <c r="L942" s="10"/>
      <c r="M942" s="10"/>
      <c r="N942" s="10"/>
      <c r="O942" s="10"/>
    </row>
    <row r="943" spans="10:15" ht="12.75" x14ac:dyDescent="0.2">
      <c r="J943" s="10"/>
      <c r="K943" s="10"/>
      <c r="L943" s="10"/>
      <c r="M943" s="10"/>
      <c r="N943" s="10"/>
      <c r="O943" s="10"/>
    </row>
    <row r="944" spans="10:15" ht="12.75" x14ac:dyDescent="0.2">
      <c r="J944" s="10"/>
      <c r="K944" s="10"/>
      <c r="L944" s="10"/>
      <c r="M944" s="10"/>
      <c r="N944" s="10"/>
      <c r="O944" s="10"/>
    </row>
    <row r="945" spans="10:15" ht="12.75" x14ac:dyDescent="0.2">
      <c r="J945" s="10"/>
      <c r="K945" s="10"/>
      <c r="L945" s="10"/>
      <c r="M945" s="10"/>
      <c r="N945" s="10"/>
      <c r="O945" s="10"/>
    </row>
    <row r="946" spans="10:15" ht="12.75" x14ac:dyDescent="0.2">
      <c r="J946" s="10"/>
      <c r="K946" s="10"/>
      <c r="L946" s="10"/>
      <c r="M946" s="10"/>
      <c r="N946" s="10"/>
      <c r="O946" s="10"/>
    </row>
    <row r="947" spans="10:15" ht="12.75" x14ac:dyDescent="0.2">
      <c r="J947" s="10"/>
      <c r="K947" s="10"/>
      <c r="L947" s="10"/>
      <c r="M947" s="10"/>
      <c r="N947" s="10"/>
      <c r="O947" s="10"/>
    </row>
    <row r="948" spans="10:15" ht="12.75" x14ac:dyDescent="0.2">
      <c r="J948" s="10"/>
      <c r="K948" s="10"/>
      <c r="L948" s="10"/>
      <c r="M948" s="10"/>
      <c r="N948" s="10"/>
      <c r="O948" s="10"/>
    </row>
    <row r="949" spans="10:15" ht="12.75" x14ac:dyDescent="0.2">
      <c r="J949" s="10"/>
      <c r="K949" s="10"/>
      <c r="L949" s="10"/>
      <c r="M949" s="10"/>
      <c r="N949" s="10"/>
      <c r="O949" s="10"/>
    </row>
    <row r="950" spans="10:15" ht="12.75" x14ac:dyDescent="0.2">
      <c r="J950" s="10"/>
      <c r="K950" s="10"/>
      <c r="L950" s="10"/>
      <c r="M950" s="10"/>
      <c r="N950" s="10"/>
      <c r="O950" s="10"/>
    </row>
    <row r="951" spans="10:15" ht="12.75" x14ac:dyDescent="0.2">
      <c r="J951" s="10"/>
      <c r="K951" s="10"/>
      <c r="L951" s="10"/>
      <c r="M951" s="10"/>
      <c r="N951" s="10"/>
      <c r="O951" s="10"/>
    </row>
    <row r="952" spans="10:15" ht="12.75" x14ac:dyDescent="0.2">
      <c r="J952" s="10"/>
      <c r="K952" s="10"/>
      <c r="L952" s="10"/>
      <c r="M952" s="10"/>
      <c r="N952" s="10"/>
      <c r="O952" s="10"/>
    </row>
    <row r="953" spans="10:15" ht="12.75" x14ac:dyDescent="0.2">
      <c r="J953" s="10"/>
      <c r="K953" s="10"/>
      <c r="L953" s="10"/>
      <c r="M953" s="10"/>
      <c r="N953" s="10"/>
      <c r="O953" s="10"/>
    </row>
    <row r="954" spans="10:15" ht="12.75" x14ac:dyDescent="0.2">
      <c r="J954" s="10"/>
      <c r="K954" s="10"/>
      <c r="L954" s="10"/>
      <c r="M954" s="10"/>
      <c r="N954" s="10"/>
      <c r="O954" s="10"/>
    </row>
    <row r="955" spans="10:15" ht="12.75" x14ac:dyDescent="0.2">
      <c r="J955" s="10"/>
      <c r="K955" s="10"/>
      <c r="L955" s="10"/>
      <c r="M955" s="10"/>
      <c r="N955" s="10"/>
      <c r="O955" s="10"/>
    </row>
    <row r="956" spans="10:15" ht="12.75" x14ac:dyDescent="0.2">
      <c r="J956" s="10"/>
      <c r="K956" s="10"/>
      <c r="L956" s="10"/>
      <c r="M956" s="10"/>
      <c r="N956" s="10"/>
      <c r="O956" s="10"/>
    </row>
    <row r="957" spans="10:15" ht="12.75" x14ac:dyDescent="0.2">
      <c r="J957" s="10"/>
      <c r="K957" s="10"/>
      <c r="L957" s="10"/>
      <c r="M957" s="10"/>
      <c r="N957" s="10"/>
      <c r="O957" s="10"/>
    </row>
    <row r="958" spans="10:15" ht="12.75" x14ac:dyDescent="0.2">
      <c r="J958" s="10"/>
      <c r="K958" s="10"/>
      <c r="L958" s="10"/>
      <c r="M958" s="10"/>
      <c r="N958" s="10"/>
      <c r="O958" s="10"/>
    </row>
    <row r="959" spans="10:15" ht="12.75" x14ac:dyDescent="0.2">
      <c r="J959" s="10"/>
      <c r="K959" s="10"/>
      <c r="L959" s="10"/>
      <c r="M959" s="10"/>
      <c r="N959" s="10"/>
      <c r="O959" s="10"/>
    </row>
    <row r="960" spans="10:15" ht="12.75" x14ac:dyDescent="0.2">
      <c r="J960" s="10"/>
      <c r="K960" s="10"/>
      <c r="L960" s="10"/>
      <c r="M960" s="10"/>
      <c r="N960" s="10"/>
      <c r="O960" s="10"/>
    </row>
    <row r="961" spans="10:15" ht="12.75" x14ac:dyDescent="0.2">
      <c r="J961" s="10"/>
      <c r="K961" s="10"/>
      <c r="L961" s="10"/>
      <c r="M961" s="10"/>
      <c r="N961" s="10"/>
      <c r="O961" s="10"/>
    </row>
    <row r="962" spans="10:15" ht="12.75" x14ac:dyDescent="0.2">
      <c r="J962" s="10"/>
      <c r="K962" s="10"/>
      <c r="L962" s="10"/>
      <c r="M962" s="10"/>
      <c r="N962" s="10"/>
      <c r="O962" s="10"/>
    </row>
    <row r="963" spans="10:15" ht="12.75" x14ac:dyDescent="0.2">
      <c r="J963" s="10"/>
      <c r="K963" s="10"/>
      <c r="L963" s="10"/>
      <c r="M963" s="10"/>
      <c r="N963" s="10"/>
      <c r="O963" s="10"/>
    </row>
    <row r="964" spans="10:15" ht="12.75" x14ac:dyDescent="0.2">
      <c r="J964" s="10"/>
      <c r="K964" s="10"/>
      <c r="L964" s="10"/>
      <c r="M964" s="10"/>
      <c r="N964" s="10"/>
      <c r="O964" s="10"/>
    </row>
    <row r="965" spans="10:15" ht="12.75" x14ac:dyDescent="0.2">
      <c r="J965" s="10"/>
      <c r="K965" s="10"/>
      <c r="L965" s="10"/>
      <c r="M965" s="10"/>
      <c r="N965" s="10"/>
      <c r="O965" s="10"/>
    </row>
    <row r="966" spans="10:15" ht="12.75" x14ac:dyDescent="0.2">
      <c r="J966" s="10"/>
      <c r="K966" s="10"/>
      <c r="L966" s="10"/>
      <c r="M966" s="10"/>
      <c r="N966" s="10"/>
      <c r="O966" s="10"/>
    </row>
    <row r="967" spans="10:15" ht="12.75" x14ac:dyDescent="0.2">
      <c r="J967" s="10"/>
      <c r="K967" s="10"/>
      <c r="L967" s="10"/>
      <c r="M967" s="10"/>
      <c r="N967" s="10"/>
      <c r="O967" s="10"/>
    </row>
    <row r="968" spans="10:15" ht="12.75" x14ac:dyDescent="0.2">
      <c r="J968" s="10"/>
      <c r="K968" s="10"/>
      <c r="L968" s="10"/>
      <c r="M968" s="10"/>
      <c r="N968" s="10"/>
      <c r="O968" s="10"/>
    </row>
    <row r="969" spans="10:15" ht="12.75" x14ac:dyDescent="0.2">
      <c r="J969" s="10"/>
      <c r="K969" s="10"/>
      <c r="L969" s="10"/>
      <c r="M969" s="10"/>
      <c r="N969" s="10"/>
      <c r="O969" s="10"/>
    </row>
    <row r="970" spans="10:15" ht="12.75" x14ac:dyDescent="0.2">
      <c r="J970" s="10"/>
      <c r="K970" s="10"/>
      <c r="L970" s="10"/>
      <c r="M970" s="10"/>
      <c r="N970" s="10"/>
      <c r="O970" s="10"/>
    </row>
    <row r="971" spans="10:15" ht="12.75" x14ac:dyDescent="0.2">
      <c r="J971" s="10"/>
      <c r="K971" s="10"/>
      <c r="L971" s="10"/>
      <c r="M971" s="10"/>
      <c r="N971" s="10"/>
      <c r="O971" s="10"/>
    </row>
    <row r="972" spans="10:15" ht="12.75" x14ac:dyDescent="0.2">
      <c r="J972" s="10"/>
      <c r="K972" s="10"/>
      <c r="L972" s="10"/>
      <c r="M972" s="10"/>
      <c r="N972" s="10"/>
      <c r="O972" s="10"/>
    </row>
    <row r="973" spans="10:15" ht="12.75" x14ac:dyDescent="0.2">
      <c r="J973" s="10"/>
      <c r="K973" s="10"/>
      <c r="L973" s="10"/>
      <c r="M973" s="10"/>
      <c r="N973" s="10"/>
      <c r="O973" s="10"/>
    </row>
    <row r="974" spans="10:15" ht="12.75" x14ac:dyDescent="0.2">
      <c r="J974" s="10"/>
      <c r="K974" s="10"/>
      <c r="L974" s="10"/>
      <c r="M974" s="10"/>
      <c r="N974" s="10"/>
      <c r="O974" s="10"/>
    </row>
    <row r="975" spans="10:15" ht="12.75" x14ac:dyDescent="0.2">
      <c r="J975" s="10"/>
      <c r="K975" s="10"/>
      <c r="L975" s="10"/>
      <c r="M975" s="10"/>
      <c r="N975" s="10"/>
      <c r="O975" s="10"/>
    </row>
    <row r="976" spans="10:15" ht="12.75" x14ac:dyDescent="0.2">
      <c r="J976" s="10"/>
      <c r="K976" s="10"/>
      <c r="L976" s="10"/>
      <c r="M976" s="10"/>
      <c r="N976" s="10"/>
      <c r="O976" s="10"/>
    </row>
    <row r="977" spans="10:15" ht="12.75" x14ac:dyDescent="0.2">
      <c r="J977" s="10"/>
      <c r="K977" s="10"/>
      <c r="L977" s="10"/>
      <c r="M977" s="10"/>
      <c r="N977" s="10"/>
      <c r="O977" s="10"/>
    </row>
    <row r="978" spans="10:15" ht="12.75" x14ac:dyDescent="0.2">
      <c r="J978" s="10"/>
      <c r="K978" s="10"/>
      <c r="L978" s="10"/>
      <c r="M978" s="10"/>
      <c r="N978" s="10"/>
      <c r="O978" s="10"/>
    </row>
    <row r="979" spans="10:15" ht="12.75" x14ac:dyDescent="0.2">
      <c r="J979" s="10"/>
      <c r="K979" s="10"/>
      <c r="L979" s="10"/>
      <c r="M979" s="10"/>
      <c r="N979" s="10"/>
      <c r="O979" s="10"/>
    </row>
    <row r="980" spans="10:15" ht="12.75" x14ac:dyDescent="0.2">
      <c r="J980" s="10"/>
      <c r="K980" s="10"/>
      <c r="L980" s="10"/>
      <c r="M980" s="10"/>
      <c r="N980" s="10"/>
      <c r="O980" s="10"/>
    </row>
    <row r="981" spans="10:15" ht="12.75" x14ac:dyDescent="0.2">
      <c r="J981" s="10"/>
      <c r="K981" s="10"/>
      <c r="L981" s="10"/>
      <c r="M981" s="10"/>
      <c r="N981" s="10"/>
      <c r="O981" s="10"/>
    </row>
    <row r="982" spans="10:15" ht="12.75" x14ac:dyDescent="0.2">
      <c r="J982" s="10"/>
      <c r="K982" s="10"/>
      <c r="L982" s="10"/>
      <c r="M982" s="10"/>
      <c r="N982" s="10"/>
      <c r="O982" s="10"/>
    </row>
    <row r="983" spans="10:15" ht="12.75" x14ac:dyDescent="0.2">
      <c r="J983" s="10"/>
      <c r="K983" s="10"/>
      <c r="L983" s="10"/>
      <c r="M983" s="10"/>
      <c r="N983" s="10"/>
      <c r="O983" s="10"/>
    </row>
    <row r="984" spans="10:15" ht="12.75" x14ac:dyDescent="0.2">
      <c r="J984" s="10"/>
      <c r="K984" s="10"/>
      <c r="L984" s="10"/>
      <c r="M984" s="10"/>
      <c r="N984" s="10"/>
      <c r="O984" s="10"/>
    </row>
    <row r="985" spans="10:15" ht="12.75" x14ac:dyDescent="0.2">
      <c r="J985" s="10"/>
      <c r="K985" s="10"/>
      <c r="L985" s="10"/>
      <c r="M985" s="10"/>
      <c r="N985" s="10"/>
      <c r="O985" s="10"/>
    </row>
    <row r="986" spans="10:15" ht="12.75" x14ac:dyDescent="0.2">
      <c r="J986" s="10"/>
      <c r="K986" s="10"/>
      <c r="L986" s="10"/>
      <c r="M986" s="10"/>
      <c r="N986" s="10"/>
      <c r="O986" s="10"/>
    </row>
    <row r="987" spans="10:15" ht="12.75" x14ac:dyDescent="0.2">
      <c r="J987" s="10"/>
      <c r="K987" s="10"/>
      <c r="L987" s="10"/>
      <c r="M987" s="10"/>
      <c r="N987" s="10"/>
      <c r="O987" s="10"/>
    </row>
    <row r="988" spans="10:15" ht="12.75" x14ac:dyDescent="0.2">
      <c r="J988" s="10"/>
      <c r="K988" s="10"/>
      <c r="L988" s="10"/>
      <c r="M988" s="10"/>
      <c r="N988" s="10"/>
      <c r="O988" s="10"/>
    </row>
    <row r="989" spans="10:15" ht="12.75" x14ac:dyDescent="0.2">
      <c r="J989" s="10"/>
      <c r="K989" s="10"/>
      <c r="L989" s="10"/>
      <c r="M989" s="10"/>
      <c r="N989" s="10"/>
      <c r="O989" s="10"/>
    </row>
    <row r="990" spans="10:15" ht="12.75" x14ac:dyDescent="0.2">
      <c r="J990" s="10"/>
      <c r="K990" s="10"/>
      <c r="L990" s="10"/>
      <c r="M990" s="10"/>
      <c r="N990" s="10"/>
      <c r="O990" s="10"/>
    </row>
    <row r="991" spans="10:15" ht="12.75" x14ac:dyDescent="0.2">
      <c r="J991" s="10"/>
      <c r="K991" s="10"/>
      <c r="L991" s="10"/>
      <c r="M991" s="10"/>
      <c r="N991" s="10"/>
      <c r="O991" s="10"/>
    </row>
    <row r="992" spans="10:15" ht="12.75" x14ac:dyDescent="0.2">
      <c r="J992" s="10"/>
      <c r="K992" s="10"/>
      <c r="L992" s="10"/>
      <c r="M992" s="10"/>
      <c r="N992" s="10"/>
      <c r="O992" s="10"/>
    </row>
    <row r="993" spans="10:15" ht="12.75" x14ac:dyDescent="0.2">
      <c r="J993" s="10"/>
      <c r="K993" s="10"/>
      <c r="L993" s="10"/>
      <c r="M993" s="10"/>
      <c r="N993" s="10"/>
      <c r="O993" s="10"/>
    </row>
    <row r="994" spans="10:15" ht="12.75" x14ac:dyDescent="0.2">
      <c r="J994" s="10"/>
      <c r="K994" s="10"/>
      <c r="L994" s="10"/>
      <c r="M994" s="10"/>
      <c r="N994" s="10"/>
      <c r="O994" s="10"/>
    </row>
    <row r="995" spans="10:15" ht="12.75" x14ac:dyDescent="0.2">
      <c r="J995" s="10"/>
      <c r="K995" s="10"/>
      <c r="L995" s="10"/>
      <c r="M995" s="10"/>
      <c r="N995" s="10"/>
      <c r="O995" s="10"/>
    </row>
    <row r="996" spans="10:15" ht="12.75" x14ac:dyDescent="0.2">
      <c r="J996" s="10"/>
      <c r="K996" s="10"/>
      <c r="L996" s="10"/>
      <c r="M996" s="10"/>
      <c r="N996" s="10"/>
      <c r="O996" s="10"/>
    </row>
    <row r="997" spans="10:15" ht="12.75" x14ac:dyDescent="0.2">
      <c r="J997" s="10"/>
      <c r="K997" s="10"/>
      <c r="L997" s="10"/>
      <c r="M997" s="10"/>
      <c r="N997" s="10"/>
      <c r="O997" s="10"/>
    </row>
    <row r="998" spans="10:15" ht="12.75" x14ac:dyDescent="0.2">
      <c r="J998" s="10"/>
      <c r="K998" s="10"/>
      <c r="L998" s="10"/>
      <c r="M998" s="10"/>
      <c r="N998" s="10"/>
      <c r="O998" s="10"/>
    </row>
    <row r="999" spans="10:15" ht="12.75" x14ac:dyDescent="0.2">
      <c r="J999" s="10"/>
      <c r="K999" s="10"/>
      <c r="L999" s="10"/>
      <c r="M999" s="10"/>
      <c r="N999" s="10"/>
      <c r="O999" s="10"/>
    </row>
    <row r="1000" spans="10:15" ht="12.75" x14ac:dyDescent="0.2">
      <c r="J1000" s="10"/>
      <c r="K1000" s="10"/>
      <c r="L1000" s="10"/>
      <c r="M1000" s="10"/>
      <c r="N1000" s="10"/>
      <c r="O1000" s="10"/>
    </row>
    <row r="1001" spans="10:15" ht="12.75" x14ac:dyDescent="0.2">
      <c r="J1001" s="10"/>
      <c r="K1001" s="10"/>
      <c r="L1001" s="10"/>
      <c r="M1001" s="10"/>
      <c r="N1001" s="10"/>
      <c r="O1001" s="10"/>
    </row>
    <row r="1002" spans="10:15" ht="12.75" x14ac:dyDescent="0.2">
      <c r="J1002" s="10"/>
      <c r="K1002" s="10"/>
      <c r="L1002" s="10"/>
      <c r="M1002" s="10"/>
      <c r="N1002" s="10"/>
      <c r="O1002" s="10"/>
    </row>
    <row r="1003" spans="10:15" ht="12.75" x14ac:dyDescent="0.2">
      <c r="J1003" s="10"/>
      <c r="K1003" s="10"/>
      <c r="L1003" s="10"/>
      <c r="M1003" s="10"/>
      <c r="N1003" s="10"/>
      <c r="O1003" s="10"/>
    </row>
    <row r="1004" spans="10:15" ht="12.75" x14ac:dyDescent="0.2">
      <c r="J1004" s="10"/>
      <c r="K1004" s="10"/>
      <c r="L1004" s="10"/>
      <c r="M1004" s="10"/>
      <c r="N1004" s="10"/>
      <c r="O1004"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3"/>
  <sheetViews>
    <sheetView workbookViewId="0"/>
  </sheetViews>
  <sheetFormatPr defaultColWidth="14.42578125" defaultRowHeight="15.75" customHeight="1" x14ac:dyDescent="0.2"/>
  <cols>
    <col min="1" max="1" width="26" customWidth="1"/>
    <col min="3" max="3" width="27" customWidth="1"/>
    <col min="4" max="4" width="8.5703125" customWidth="1"/>
    <col min="5" max="5" width="9.140625" customWidth="1"/>
    <col min="6" max="6" width="8.28515625" customWidth="1"/>
    <col min="7" max="7" width="5.28515625" customWidth="1"/>
    <col min="8" max="8" width="6.28515625" customWidth="1"/>
    <col min="9" max="9" width="33.140625" customWidth="1"/>
  </cols>
  <sheetData>
    <row r="1" spans="1:9" ht="15.75" customHeight="1" x14ac:dyDescent="0.2">
      <c r="A1" s="1" t="s">
        <v>1</v>
      </c>
      <c r="B1" s="1" t="s">
        <v>2</v>
      </c>
      <c r="C1" s="1" t="s">
        <v>4</v>
      </c>
      <c r="D1" s="1" t="s">
        <v>5</v>
      </c>
      <c r="E1" s="1" t="s">
        <v>7</v>
      </c>
      <c r="F1" s="1" t="s">
        <v>9</v>
      </c>
      <c r="G1" s="1" t="s">
        <v>11</v>
      </c>
      <c r="H1" s="1" t="s">
        <v>13</v>
      </c>
      <c r="I1" s="1" t="s">
        <v>15</v>
      </c>
    </row>
    <row r="2" spans="1:9" ht="15.75" customHeight="1" x14ac:dyDescent="0.2">
      <c r="A2" s="1" t="s">
        <v>18</v>
      </c>
      <c r="B2" s="1"/>
      <c r="C2" s="1" t="s">
        <v>19</v>
      </c>
      <c r="D2" s="1" t="s">
        <v>20</v>
      </c>
      <c r="E2" s="21">
        <v>41917</v>
      </c>
      <c r="F2" s="1">
        <v>100</v>
      </c>
      <c r="G2" s="1">
        <v>2</v>
      </c>
      <c r="H2" s="1">
        <v>4</v>
      </c>
      <c r="I2" s="1" t="s">
        <v>289</v>
      </c>
    </row>
    <row r="3" spans="1:9" ht="15.75" customHeight="1" x14ac:dyDescent="0.2">
      <c r="A3" s="1" t="s">
        <v>294</v>
      </c>
      <c r="C3" s="1" t="s">
        <v>298</v>
      </c>
      <c r="D3" s="1" t="s">
        <v>300</v>
      </c>
      <c r="E3" s="21">
        <v>41640</v>
      </c>
      <c r="F3" s="1">
        <v>300</v>
      </c>
      <c r="G3" s="1">
        <v>2</v>
      </c>
      <c r="H3" s="1">
        <v>4.5</v>
      </c>
      <c r="I3" s="1" t="s">
        <v>308</v>
      </c>
    </row>
    <row r="4" spans="1:9" ht="15.75" customHeight="1" x14ac:dyDescent="0.2">
      <c r="A4" s="1" t="s">
        <v>309</v>
      </c>
      <c r="C4" s="1" t="s">
        <v>310</v>
      </c>
      <c r="D4" s="1" t="s">
        <v>312</v>
      </c>
      <c r="E4" s="21">
        <v>41641</v>
      </c>
      <c r="F4" s="1">
        <v>400</v>
      </c>
      <c r="G4" s="1">
        <v>3</v>
      </c>
      <c r="H4" s="1">
        <v>3.5</v>
      </c>
      <c r="I4" s="1" t="s">
        <v>315</v>
      </c>
    </row>
    <row r="5" spans="1:9" ht="15.75" customHeight="1" x14ac:dyDescent="0.2">
      <c r="A5" s="1" t="s">
        <v>317</v>
      </c>
      <c r="C5" s="1" t="s">
        <v>318</v>
      </c>
      <c r="D5" s="1" t="s">
        <v>320</v>
      </c>
      <c r="E5" s="21">
        <v>41642</v>
      </c>
      <c r="F5" s="1">
        <v>800</v>
      </c>
      <c r="G5" s="1">
        <v>2</v>
      </c>
      <c r="H5" s="1">
        <v>3</v>
      </c>
      <c r="I5" s="1" t="s">
        <v>322</v>
      </c>
    </row>
    <row r="6" spans="1:9" ht="15.75" customHeight="1" x14ac:dyDescent="0.2">
      <c r="A6" s="1" t="s">
        <v>325</v>
      </c>
      <c r="C6" s="1" t="s">
        <v>326</v>
      </c>
      <c r="D6" s="5" t="s">
        <v>327</v>
      </c>
      <c r="E6" s="21">
        <v>41643</v>
      </c>
      <c r="F6" s="1">
        <v>200</v>
      </c>
      <c r="G6" s="1">
        <v>3</v>
      </c>
      <c r="H6" s="1">
        <v>3</v>
      </c>
      <c r="I6" s="1" t="s">
        <v>330</v>
      </c>
    </row>
    <row r="15" spans="1:9" ht="15.75" customHeight="1" x14ac:dyDescent="0.2">
      <c r="A15" s="9" t="s">
        <v>335</v>
      </c>
    </row>
    <row r="16" spans="1:9" ht="15.75" customHeight="1" x14ac:dyDescent="0.2">
      <c r="A16" s="1" t="s">
        <v>337</v>
      </c>
    </row>
    <row r="17" spans="1:2" ht="15.75" customHeight="1" x14ac:dyDescent="0.2">
      <c r="A17" s="1" t="s">
        <v>339</v>
      </c>
    </row>
    <row r="18" spans="1:2" ht="15.75" customHeight="1" x14ac:dyDescent="0.2">
      <c r="A18" s="1" t="s">
        <v>342</v>
      </c>
    </row>
    <row r="19" spans="1:2" ht="15.75" customHeight="1" x14ac:dyDescent="0.2">
      <c r="A19" s="1" t="s">
        <v>345</v>
      </c>
    </row>
    <row r="20" spans="1:2" ht="15.75" customHeight="1" x14ac:dyDescent="0.2">
      <c r="A20" s="1" t="s">
        <v>346</v>
      </c>
    </row>
    <row r="21" spans="1:2" ht="15.75" customHeight="1" x14ac:dyDescent="0.2">
      <c r="A21" s="1" t="s">
        <v>349</v>
      </c>
    </row>
    <row r="22" spans="1:2" ht="15.75" customHeight="1" x14ac:dyDescent="0.2">
      <c r="A22" s="1" t="s">
        <v>351</v>
      </c>
    </row>
    <row r="23" spans="1:2" ht="15.75" customHeight="1" x14ac:dyDescent="0.2">
      <c r="A23" s="1" t="s">
        <v>355</v>
      </c>
    </row>
    <row r="24" spans="1:2" ht="15.75" customHeight="1" x14ac:dyDescent="0.2">
      <c r="A24" s="1" t="s">
        <v>356</v>
      </c>
    </row>
    <row r="25" spans="1:2" ht="15.75" customHeight="1" x14ac:dyDescent="0.2">
      <c r="A25" s="1" t="s">
        <v>358</v>
      </c>
    </row>
    <row r="26" spans="1:2" ht="15.75" customHeight="1" x14ac:dyDescent="0.2">
      <c r="A26" s="24" t="s">
        <v>359</v>
      </c>
      <c r="B26" s="1" t="s">
        <v>371</v>
      </c>
    </row>
    <row r="27" spans="1:2" ht="15.75" customHeight="1" x14ac:dyDescent="0.2">
      <c r="A27" s="24" t="s">
        <v>373</v>
      </c>
      <c r="B27" s="1" t="s">
        <v>374</v>
      </c>
    </row>
    <row r="28" spans="1:2" ht="15.75" customHeight="1" x14ac:dyDescent="0.2">
      <c r="A28" s="26" t="s">
        <v>375</v>
      </c>
      <c r="B28" s="1" t="s">
        <v>392</v>
      </c>
    </row>
    <row r="29" spans="1:2" ht="15.75" customHeight="1" x14ac:dyDescent="0.2">
      <c r="A29" s="26" t="s">
        <v>395</v>
      </c>
      <c r="B29" s="1" t="s">
        <v>396</v>
      </c>
    </row>
    <row r="30" spans="1:2" ht="15.75" customHeight="1" x14ac:dyDescent="0.2">
      <c r="A30" s="27" t="s">
        <v>399</v>
      </c>
      <c r="B30" s="1" t="s">
        <v>407</v>
      </c>
    </row>
    <row r="143" spans="2:2" ht="12.75" x14ac:dyDescent="0.2">
      <c r="B143"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E957"/>
  <sheetViews>
    <sheetView workbookViewId="0"/>
  </sheetViews>
  <sheetFormatPr defaultColWidth="14.42578125" defaultRowHeight="15.75" customHeight="1" x14ac:dyDescent="0.2"/>
  <sheetData>
    <row r="1" spans="1:83" ht="15.75" customHeight="1" x14ac:dyDescent="0.2">
      <c r="A1" s="4" t="s">
        <v>21</v>
      </c>
      <c r="B1" s="4" t="s">
        <v>35</v>
      </c>
      <c r="C1" s="6" t="s">
        <v>36</v>
      </c>
      <c r="D1" s="7" t="s">
        <v>39</v>
      </c>
      <c r="F1" s="11" t="str">
        <f t="array" ref="F1:CE1">TRANSPOSE(A2:A79)</f>
        <v>Afghan</v>
      </c>
      <c r="G1" s="11" t="str">
        <v>African</v>
      </c>
      <c r="H1" s="11" t="str">
        <v>American_(New)</v>
      </c>
      <c r="I1" s="11" t="str">
        <v>American_(Traditional)</v>
      </c>
      <c r="J1" s="11" t="str">
        <v>Arabian</v>
      </c>
      <c r="K1" s="11" t="str">
        <v>Argentine</v>
      </c>
      <c r="L1" s="11" t="str">
        <v>Armenian</v>
      </c>
      <c r="M1" s="11" t="str">
        <v>Asian_Fusion</v>
      </c>
      <c r="N1" s="11" t="str">
        <v>Australian</v>
      </c>
      <c r="O1" s="11" t="str">
        <v>Austrian</v>
      </c>
      <c r="P1" s="11" t="str">
        <v>Bangladeshi</v>
      </c>
      <c r="Q1" s="11" t="str">
        <v>Fast_Food</v>
      </c>
      <c r="R1" s="11" t="str">
        <v>Basque</v>
      </c>
      <c r="S1" s="11" t="str">
        <v>Belgian</v>
      </c>
      <c r="T1" s="11" t="str">
        <v>Brazilian</v>
      </c>
      <c r="U1" s="11" t="str">
        <v>Breakfast_&amp;_Brunch</v>
      </c>
      <c r="V1" s="11" t="str">
        <v>British</v>
      </c>
      <c r="W1" s="11" t="str">
        <v>Buffets</v>
      </c>
      <c r="X1" s="11" t="str">
        <v>Burmese</v>
      </c>
      <c r="Y1" s="11" t="str">
        <v>Cafes</v>
      </c>
      <c r="Z1" s="11" t="str">
        <v>Southern</v>
      </c>
      <c r="AA1" s="11" t="str">
        <v>Cambodian</v>
      </c>
      <c r="AB1" s="11" t="str">
        <v>Catalan</v>
      </c>
      <c r="AC1" s="11" t="str">
        <v>Chinese</v>
      </c>
      <c r="AD1" s="11" t="str">
        <v>Comfort_Food</v>
      </c>
      <c r="AE1" s="11" t="str">
        <v>Cuban</v>
      </c>
      <c r="AF1" s="11" t="str">
        <v>Czech</v>
      </c>
      <c r="AG1" s="11" t="str">
        <v>Ethiopian</v>
      </c>
      <c r="AH1" s="11" t="str">
        <v>Filipino</v>
      </c>
      <c r="AI1" s="11" t="str">
        <v>Fondue</v>
      </c>
      <c r="AJ1" s="11" t="str">
        <v>French</v>
      </c>
      <c r="AK1" s="11" t="str">
        <v>German</v>
      </c>
      <c r="AL1" s="11" t="str">
        <v>Gluten-Free</v>
      </c>
      <c r="AM1" s="11" t="str">
        <v>Greek</v>
      </c>
      <c r="AN1" s="11" t="str">
        <v>Halal</v>
      </c>
      <c r="AO1" s="11" t="str">
        <v>Hawaiian</v>
      </c>
      <c r="AP1" s="11" t="str">
        <v>Himalayan/Nepalese</v>
      </c>
      <c r="AQ1" s="11" t="str">
        <v>Hot_Pot</v>
      </c>
      <c r="AR1" s="11" t="str">
        <v>Hungarian</v>
      </c>
      <c r="AS1" s="11" t="str">
        <v>Spanish</v>
      </c>
      <c r="AT1" s="11" t="str">
        <v>Indian</v>
      </c>
      <c r="AU1" s="11" t="str">
        <v>Indonesian</v>
      </c>
      <c r="AV1" s="11" t="str">
        <v>Irish</v>
      </c>
      <c r="AW1" s="11" t="str">
        <v>Italian</v>
      </c>
      <c r="AX1" s="11" t="str">
        <v>Japanese</v>
      </c>
      <c r="AY1" s="11" t="str">
        <v>Korean</v>
      </c>
      <c r="AZ1" s="11" t="str">
        <v>Kosher</v>
      </c>
      <c r="BA1" s="11" t="str">
        <v>Laotian</v>
      </c>
      <c r="BB1" s="11" t="str">
        <v>Latin_American</v>
      </c>
      <c r="BC1" s="11" t="str">
        <v>Seafood</v>
      </c>
      <c r="BD1" s="11" t="str">
        <v>Malaysian</v>
      </c>
      <c r="BE1" s="11" t="str">
        <v>Mediterranean</v>
      </c>
      <c r="BF1" s="11" t="str">
        <v>Mexican</v>
      </c>
      <c r="BG1" s="11" t="str">
        <v>Middle_Eastern</v>
      </c>
      <c r="BH1" s="11" t="str">
        <v>Mongolian</v>
      </c>
      <c r="BI1" s="11" t="str">
        <v>Moroccan</v>
      </c>
      <c r="BJ1" s="11" t="str">
        <v>Pakistani</v>
      </c>
      <c r="BK1" s="11" t="str">
        <v>Persian/Iranian</v>
      </c>
      <c r="BL1" s="11" t="str">
        <v>Peruvian</v>
      </c>
      <c r="BM1" s="11" t="str">
        <v>Polish</v>
      </c>
      <c r="BN1" s="11" t="str">
        <v>Portuguese</v>
      </c>
      <c r="BO1" s="11" t="str">
        <v>Russian</v>
      </c>
      <c r="BP1" s="11" t="str">
        <v>Salad</v>
      </c>
      <c r="BQ1" s="11" t="str">
        <v>Scandinavian</v>
      </c>
      <c r="BR1" s="11" t="str">
        <v>Scottish</v>
      </c>
      <c r="BS1" s="11" t="str">
        <v>Singaporean</v>
      </c>
      <c r="BT1" s="11" t="str">
        <v>Slovakian</v>
      </c>
      <c r="BU1" s="11" t="str">
        <v>Soul_Food</v>
      </c>
      <c r="BV1" s="11" t="str">
        <v>Steakhouses</v>
      </c>
      <c r="BW1" s="11" t="str">
        <v>Taiwanese</v>
      </c>
      <c r="BX1" s="11" t="str">
        <v>Tapas_Bars</v>
      </c>
      <c r="BY1" s="11" t="str">
        <v>Thai</v>
      </c>
      <c r="BZ1" s="11" t="str">
        <v>Turkish</v>
      </c>
      <c r="CA1" s="11" t="str">
        <v>Ukrainian</v>
      </c>
      <c r="CB1" s="11" t="str">
        <v>Uzbek</v>
      </c>
      <c r="CC1" s="11" t="str">
        <v>Vegan</v>
      </c>
      <c r="CD1" s="11" t="str">
        <v>Vegetarian</v>
      </c>
      <c r="CE1" s="11" t="str">
        <v>Vietnamese</v>
      </c>
    </row>
    <row r="2" spans="1:83" ht="15.75" customHeight="1" x14ac:dyDescent="0.2">
      <c r="A2" s="15" t="s">
        <v>132</v>
      </c>
      <c r="B2" s="1">
        <f>COUNTIF('User data'!D:D,A2)</f>
        <v>0</v>
      </c>
      <c r="C2" s="18">
        <f t="array" ref="C2:C79">TRANSPOSE(F80:CE80)</f>
        <v>0</v>
      </c>
      <c r="D2" s="20">
        <f t="shared" ref="D2:D79" si="0">C2/SUM($C$2:$C$79)</f>
        <v>0</v>
      </c>
      <c r="F2" s="18">
        <f t="array" ref="F2:CE2">$B2*correlation!B2:CA2</f>
        <v>0</v>
      </c>
      <c r="G2" s="25">
        <v>0</v>
      </c>
      <c r="H2" s="25">
        <v>0</v>
      </c>
      <c r="I2" s="25">
        <v>0</v>
      </c>
      <c r="J2" s="25">
        <v>0</v>
      </c>
      <c r="K2" s="25">
        <v>0</v>
      </c>
      <c r="L2" s="25">
        <v>0</v>
      </c>
      <c r="M2" s="25">
        <v>0</v>
      </c>
      <c r="N2" s="25">
        <v>0</v>
      </c>
      <c r="O2" s="25">
        <v>0</v>
      </c>
      <c r="P2" s="25">
        <v>0</v>
      </c>
      <c r="Q2" s="25">
        <v>0</v>
      </c>
      <c r="R2" s="25">
        <v>0</v>
      </c>
      <c r="S2" s="25">
        <v>0</v>
      </c>
      <c r="T2" s="25">
        <v>0</v>
      </c>
      <c r="U2" s="25">
        <v>0</v>
      </c>
      <c r="V2" s="25">
        <v>0</v>
      </c>
      <c r="W2" s="25">
        <v>0</v>
      </c>
      <c r="X2" s="25">
        <v>0</v>
      </c>
      <c r="Y2" s="25">
        <v>0</v>
      </c>
      <c r="Z2" s="25">
        <v>0</v>
      </c>
      <c r="AA2" s="25">
        <v>0</v>
      </c>
      <c r="AB2" s="25">
        <v>0</v>
      </c>
      <c r="AC2" s="25">
        <v>0</v>
      </c>
      <c r="AD2" s="25">
        <v>0</v>
      </c>
      <c r="AE2" s="25">
        <v>0</v>
      </c>
      <c r="AF2" s="25">
        <v>0</v>
      </c>
      <c r="AG2" s="25">
        <v>0</v>
      </c>
      <c r="AH2" s="25">
        <v>0</v>
      </c>
      <c r="AI2" s="25">
        <v>0</v>
      </c>
      <c r="AJ2" s="25">
        <v>0</v>
      </c>
      <c r="AK2" s="25">
        <v>0</v>
      </c>
      <c r="AL2" s="25">
        <v>0</v>
      </c>
      <c r="AM2" s="25">
        <v>0</v>
      </c>
      <c r="AN2" s="25">
        <v>0</v>
      </c>
      <c r="AO2" s="25">
        <v>0</v>
      </c>
      <c r="AP2" s="25">
        <v>0</v>
      </c>
      <c r="AQ2" s="25">
        <v>0</v>
      </c>
      <c r="AR2" s="25">
        <v>0</v>
      </c>
      <c r="AS2" s="25">
        <v>0</v>
      </c>
      <c r="AT2" s="25">
        <v>0</v>
      </c>
      <c r="AU2" s="25">
        <v>0</v>
      </c>
      <c r="AV2" s="25">
        <v>0</v>
      </c>
      <c r="AW2" s="25">
        <v>0</v>
      </c>
      <c r="AX2" s="25">
        <v>0</v>
      </c>
      <c r="AY2" s="25">
        <v>0</v>
      </c>
      <c r="AZ2" s="25">
        <v>0</v>
      </c>
      <c r="BA2" s="25">
        <v>0</v>
      </c>
      <c r="BB2" s="25">
        <v>0</v>
      </c>
      <c r="BC2" s="25">
        <v>0</v>
      </c>
      <c r="BD2" s="25">
        <v>0</v>
      </c>
      <c r="BE2" s="25">
        <v>0</v>
      </c>
      <c r="BF2" s="25">
        <v>0</v>
      </c>
      <c r="BG2" s="25">
        <v>0</v>
      </c>
      <c r="BH2" s="25">
        <v>0</v>
      </c>
      <c r="BI2" s="25">
        <v>0</v>
      </c>
      <c r="BJ2" s="25">
        <v>0</v>
      </c>
      <c r="BK2" s="25">
        <v>0</v>
      </c>
      <c r="BL2" s="25">
        <v>0</v>
      </c>
      <c r="BM2" s="25">
        <v>0</v>
      </c>
      <c r="BN2" s="25">
        <v>0</v>
      </c>
      <c r="BO2" s="25">
        <v>0</v>
      </c>
      <c r="BP2" s="25">
        <v>0</v>
      </c>
      <c r="BQ2" s="25">
        <v>0</v>
      </c>
      <c r="BR2" s="25">
        <v>0</v>
      </c>
      <c r="BS2" s="25">
        <v>0</v>
      </c>
      <c r="BT2" s="25">
        <v>0</v>
      </c>
      <c r="BU2" s="25">
        <v>0</v>
      </c>
      <c r="BV2" s="25">
        <v>0</v>
      </c>
      <c r="BW2" s="25">
        <v>0</v>
      </c>
      <c r="BX2" s="25">
        <v>0</v>
      </c>
      <c r="BY2" s="25">
        <v>0</v>
      </c>
      <c r="BZ2" s="25">
        <v>0</v>
      </c>
      <c r="CA2" s="25">
        <v>0</v>
      </c>
      <c r="CB2" s="25">
        <v>0</v>
      </c>
      <c r="CC2" s="25">
        <v>0</v>
      </c>
      <c r="CD2" s="25">
        <v>0</v>
      </c>
      <c r="CE2" s="25">
        <v>0</v>
      </c>
    </row>
    <row r="3" spans="1:83" ht="15.75" customHeight="1" x14ac:dyDescent="0.2">
      <c r="A3" s="15" t="s">
        <v>432</v>
      </c>
      <c r="B3" s="1">
        <f>COUNTIF('User data'!D:D,A3)</f>
        <v>0</v>
      </c>
      <c r="C3" s="18">
        <v>0</v>
      </c>
      <c r="D3" s="20">
        <f t="shared" si="0"/>
        <v>0</v>
      </c>
      <c r="F3" s="18">
        <f t="array" ref="F3:CE3">$B3*correlation!B3:CA3</f>
        <v>0</v>
      </c>
      <c r="G3" s="25">
        <v>0</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v>0</v>
      </c>
      <c r="BJ3" s="25">
        <v>0</v>
      </c>
      <c r="BK3" s="25">
        <v>0</v>
      </c>
      <c r="BL3" s="25">
        <v>0</v>
      </c>
      <c r="BM3" s="25">
        <v>0</v>
      </c>
      <c r="BN3" s="25">
        <v>0</v>
      </c>
      <c r="BO3" s="25">
        <v>0</v>
      </c>
      <c r="BP3" s="25">
        <v>0</v>
      </c>
      <c r="BQ3" s="25">
        <v>0</v>
      </c>
      <c r="BR3" s="25">
        <v>0</v>
      </c>
      <c r="BS3" s="25">
        <v>0</v>
      </c>
      <c r="BT3" s="25">
        <v>0</v>
      </c>
      <c r="BU3" s="25">
        <v>0</v>
      </c>
      <c r="BV3" s="25">
        <v>0</v>
      </c>
      <c r="BW3" s="25">
        <v>0</v>
      </c>
      <c r="BX3" s="25">
        <v>0</v>
      </c>
      <c r="BY3" s="25">
        <v>0</v>
      </c>
      <c r="BZ3" s="25">
        <v>0</v>
      </c>
      <c r="CA3" s="25">
        <v>0</v>
      </c>
      <c r="CB3" s="25">
        <v>0</v>
      </c>
      <c r="CC3" s="25">
        <v>0</v>
      </c>
      <c r="CD3" s="25">
        <v>0</v>
      </c>
      <c r="CE3" s="25">
        <v>0</v>
      </c>
    </row>
    <row r="4" spans="1:83" ht="15.75" customHeight="1" x14ac:dyDescent="0.2">
      <c r="A4" s="15" t="s">
        <v>570</v>
      </c>
      <c r="B4" s="1">
        <v>0</v>
      </c>
      <c r="C4" s="18">
        <v>2.99</v>
      </c>
      <c r="D4" s="20">
        <f t="shared" si="0"/>
        <v>3.3374260520147338E-2</v>
      </c>
      <c r="F4" s="18">
        <f t="array" ref="F4:CE4">$B4*correlation!B4:CA4</f>
        <v>0</v>
      </c>
      <c r="G4" s="25">
        <v>0</v>
      </c>
      <c r="H4" s="25">
        <v>0</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v>0</v>
      </c>
      <c r="BJ4" s="25">
        <v>0</v>
      </c>
      <c r="BK4" s="25">
        <v>0</v>
      </c>
      <c r="BL4" s="25">
        <v>0</v>
      </c>
      <c r="BM4" s="25">
        <v>0</v>
      </c>
      <c r="BN4" s="25">
        <v>0</v>
      </c>
      <c r="BO4" s="25">
        <v>0</v>
      </c>
      <c r="BP4" s="25">
        <v>0</v>
      </c>
      <c r="BQ4" s="25">
        <v>0</v>
      </c>
      <c r="BR4" s="25">
        <v>0</v>
      </c>
      <c r="BS4" s="25">
        <v>0</v>
      </c>
      <c r="BT4" s="25">
        <v>0</v>
      </c>
      <c r="BU4" s="25">
        <v>0</v>
      </c>
      <c r="BV4" s="25">
        <v>0</v>
      </c>
      <c r="BW4" s="25">
        <v>0</v>
      </c>
      <c r="BX4" s="25">
        <v>0</v>
      </c>
      <c r="BY4" s="25">
        <v>0</v>
      </c>
      <c r="BZ4" s="25">
        <v>0</v>
      </c>
      <c r="CA4" s="25">
        <v>0</v>
      </c>
      <c r="CB4" s="25">
        <v>0</v>
      </c>
      <c r="CC4" s="25">
        <v>0</v>
      </c>
      <c r="CD4" s="25">
        <v>0</v>
      </c>
      <c r="CE4" s="25">
        <v>0</v>
      </c>
    </row>
    <row r="5" spans="1:83" ht="15.75" customHeight="1" x14ac:dyDescent="0.2">
      <c r="A5" s="15" t="s">
        <v>675</v>
      </c>
      <c r="B5" s="1">
        <f>COUNTIF('User data'!D:D,A5)</f>
        <v>0</v>
      </c>
      <c r="C5" s="18">
        <v>3.3100000000000005</v>
      </c>
      <c r="D5" s="20">
        <f t="shared" si="0"/>
        <v>3.6946087733005922E-2</v>
      </c>
      <c r="F5" s="18">
        <f t="array" ref="F5:CE5">$B5*correlation!B5:CA5</f>
        <v>0</v>
      </c>
      <c r="G5" s="25">
        <v>0</v>
      </c>
      <c r="H5" s="25">
        <v>0</v>
      </c>
      <c r="I5" s="25">
        <v>0</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v>0</v>
      </c>
      <c r="BJ5" s="25">
        <v>0</v>
      </c>
      <c r="BK5" s="25">
        <v>0</v>
      </c>
      <c r="BL5" s="25">
        <v>0</v>
      </c>
      <c r="BM5" s="25">
        <v>0</v>
      </c>
      <c r="BN5" s="25">
        <v>0</v>
      </c>
      <c r="BO5" s="25">
        <v>0</v>
      </c>
      <c r="BP5" s="25">
        <v>0</v>
      </c>
      <c r="BQ5" s="25">
        <v>0</v>
      </c>
      <c r="BR5" s="25">
        <v>0</v>
      </c>
      <c r="BS5" s="25">
        <v>0</v>
      </c>
      <c r="BT5" s="25">
        <v>0</v>
      </c>
      <c r="BU5" s="25">
        <v>0</v>
      </c>
      <c r="BV5" s="25">
        <v>0</v>
      </c>
      <c r="BW5" s="25">
        <v>0</v>
      </c>
      <c r="BX5" s="25">
        <v>0</v>
      </c>
      <c r="BY5" s="25">
        <v>0</v>
      </c>
      <c r="BZ5" s="25">
        <v>0</v>
      </c>
      <c r="CA5" s="25">
        <v>0</v>
      </c>
      <c r="CB5" s="25">
        <v>0</v>
      </c>
      <c r="CC5" s="25">
        <v>0</v>
      </c>
      <c r="CD5" s="25">
        <v>0</v>
      </c>
      <c r="CE5" s="25">
        <v>0</v>
      </c>
    </row>
    <row r="6" spans="1:83" ht="15.75" customHeight="1" x14ac:dyDescent="0.2">
      <c r="A6" s="15" t="s">
        <v>825</v>
      </c>
      <c r="B6" s="1">
        <f>COUNTIF('User data'!D:D,A6)</f>
        <v>0</v>
      </c>
      <c r="C6" s="18">
        <v>0</v>
      </c>
      <c r="D6" s="20">
        <f t="shared" si="0"/>
        <v>0</v>
      </c>
      <c r="F6" s="18">
        <f t="array" ref="F6:CE6">$B6*correlation!B6:CA6</f>
        <v>0</v>
      </c>
      <c r="G6" s="25">
        <v>0</v>
      </c>
      <c r="H6" s="25">
        <v>0</v>
      </c>
      <c r="I6" s="25">
        <v>0</v>
      </c>
      <c r="J6" s="25">
        <v>0</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v>0</v>
      </c>
      <c r="BJ6" s="25">
        <v>0</v>
      </c>
      <c r="BK6" s="25">
        <v>0</v>
      </c>
      <c r="BL6" s="25">
        <v>0</v>
      </c>
      <c r="BM6" s="25">
        <v>0</v>
      </c>
      <c r="BN6" s="25">
        <v>0</v>
      </c>
      <c r="BO6" s="25">
        <v>0</v>
      </c>
      <c r="BP6" s="25">
        <v>0</v>
      </c>
      <c r="BQ6" s="25">
        <v>0</v>
      </c>
      <c r="BR6" s="25">
        <v>0</v>
      </c>
      <c r="BS6" s="25">
        <v>0</v>
      </c>
      <c r="BT6" s="25">
        <v>0</v>
      </c>
      <c r="BU6" s="25">
        <v>0</v>
      </c>
      <c r="BV6" s="25">
        <v>0</v>
      </c>
      <c r="BW6" s="25">
        <v>0</v>
      </c>
      <c r="BX6" s="25">
        <v>0</v>
      </c>
      <c r="BY6" s="25">
        <v>0</v>
      </c>
      <c r="BZ6" s="25">
        <v>0</v>
      </c>
      <c r="CA6" s="25">
        <v>0</v>
      </c>
      <c r="CB6" s="25">
        <v>0</v>
      </c>
      <c r="CC6" s="25">
        <v>0</v>
      </c>
      <c r="CD6" s="25">
        <v>0</v>
      </c>
      <c r="CE6" s="25">
        <v>0</v>
      </c>
    </row>
    <row r="7" spans="1:83" ht="15.75" customHeight="1" x14ac:dyDescent="0.2">
      <c r="A7" s="15" t="s">
        <v>838</v>
      </c>
      <c r="B7" s="1">
        <f>COUNTIF('User data'!D:D,A7)</f>
        <v>0</v>
      </c>
      <c r="C7" s="18">
        <v>0</v>
      </c>
      <c r="D7" s="20">
        <f t="shared" si="0"/>
        <v>0</v>
      </c>
      <c r="F7" s="18">
        <f t="array" ref="F7:CE7">$B7*correlation!B7:CA7</f>
        <v>0</v>
      </c>
      <c r="G7" s="25">
        <v>0</v>
      </c>
      <c r="H7" s="25">
        <v>0</v>
      </c>
      <c r="I7" s="25">
        <v>0</v>
      </c>
      <c r="J7" s="25">
        <v>0</v>
      </c>
      <c r="K7" s="25">
        <v>0</v>
      </c>
      <c r="L7" s="25">
        <v>0</v>
      </c>
      <c r="M7" s="25">
        <v>0</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v>0</v>
      </c>
      <c r="BJ7" s="25">
        <v>0</v>
      </c>
      <c r="BK7" s="25">
        <v>0</v>
      </c>
      <c r="BL7" s="25">
        <v>0</v>
      </c>
      <c r="BM7" s="25">
        <v>0</v>
      </c>
      <c r="BN7" s="25">
        <v>0</v>
      </c>
      <c r="BO7" s="25">
        <v>0</v>
      </c>
      <c r="BP7" s="25">
        <v>0</v>
      </c>
      <c r="BQ7" s="25">
        <v>0</v>
      </c>
      <c r="BR7" s="25">
        <v>0</v>
      </c>
      <c r="BS7" s="25">
        <v>0</v>
      </c>
      <c r="BT7" s="25">
        <v>0</v>
      </c>
      <c r="BU7" s="25">
        <v>0</v>
      </c>
      <c r="BV7" s="25">
        <v>0</v>
      </c>
      <c r="BW7" s="25">
        <v>0</v>
      </c>
      <c r="BX7" s="25">
        <v>0</v>
      </c>
      <c r="BY7" s="25">
        <v>0</v>
      </c>
      <c r="BZ7" s="25">
        <v>0</v>
      </c>
      <c r="CA7" s="25">
        <v>0</v>
      </c>
      <c r="CB7" s="25">
        <v>0</v>
      </c>
      <c r="CC7" s="25">
        <v>0</v>
      </c>
      <c r="CD7" s="25">
        <v>0</v>
      </c>
      <c r="CE7" s="25">
        <v>0</v>
      </c>
    </row>
    <row r="8" spans="1:83" ht="15.75" customHeight="1" x14ac:dyDescent="0.2">
      <c r="A8" s="15" t="s">
        <v>850</v>
      </c>
      <c r="B8" s="1">
        <f>COUNTIF('User data'!D:D,A8)</f>
        <v>0</v>
      </c>
      <c r="C8" s="18">
        <v>0</v>
      </c>
      <c r="D8" s="20">
        <f t="shared" si="0"/>
        <v>0</v>
      </c>
      <c r="F8" s="18">
        <f t="array" ref="F8:CE8">$B8*correlation!B8:CA8</f>
        <v>0</v>
      </c>
      <c r="G8" s="25">
        <v>0</v>
      </c>
      <c r="H8" s="25">
        <v>0</v>
      </c>
      <c r="I8" s="25">
        <v>0</v>
      </c>
      <c r="J8" s="25">
        <v>0</v>
      </c>
      <c r="K8" s="25">
        <v>0</v>
      </c>
      <c r="L8" s="25">
        <v>0</v>
      </c>
      <c r="M8" s="25">
        <v>0</v>
      </c>
      <c r="N8" s="25">
        <v>0</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v>0</v>
      </c>
      <c r="BJ8" s="25">
        <v>0</v>
      </c>
      <c r="BK8" s="25">
        <v>0</v>
      </c>
      <c r="BL8" s="25">
        <v>0</v>
      </c>
      <c r="BM8" s="25">
        <v>0</v>
      </c>
      <c r="BN8" s="25">
        <v>0</v>
      </c>
      <c r="BO8" s="25">
        <v>0</v>
      </c>
      <c r="BP8" s="25">
        <v>0</v>
      </c>
      <c r="BQ8" s="25">
        <v>0</v>
      </c>
      <c r="BR8" s="25">
        <v>0</v>
      </c>
      <c r="BS8" s="25">
        <v>0</v>
      </c>
      <c r="BT8" s="25">
        <v>0</v>
      </c>
      <c r="BU8" s="25">
        <v>0</v>
      </c>
      <c r="BV8" s="25">
        <v>0</v>
      </c>
      <c r="BW8" s="25">
        <v>0</v>
      </c>
      <c r="BX8" s="25">
        <v>0</v>
      </c>
      <c r="BY8" s="25">
        <v>0</v>
      </c>
      <c r="BZ8" s="25">
        <v>0</v>
      </c>
      <c r="CA8" s="25">
        <v>0</v>
      </c>
      <c r="CB8" s="25">
        <v>0</v>
      </c>
      <c r="CC8" s="25">
        <v>0</v>
      </c>
      <c r="CD8" s="25">
        <v>0</v>
      </c>
      <c r="CE8" s="25">
        <v>0</v>
      </c>
    </row>
    <row r="9" spans="1:83" ht="15.75" customHeight="1" x14ac:dyDescent="0.2">
      <c r="A9" s="15" t="s">
        <v>861</v>
      </c>
      <c r="B9" s="1">
        <f>COUNTIF('User data'!D:D,A9)</f>
        <v>1</v>
      </c>
      <c r="C9" s="18">
        <v>4.01</v>
      </c>
      <c r="D9" s="20">
        <f t="shared" si="0"/>
        <v>4.4759459761134053E-2</v>
      </c>
      <c r="F9" s="18">
        <f t="array" ref="F9:CE9">$B9*correlation!B9:CA9</f>
        <v>0</v>
      </c>
      <c r="G9" s="25">
        <v>0</v>
      </c>
      <c r="H9" s="25">
        <v>0.48</v>
      </c>
      <c r="I9" s="25">
        <v>0.45</v>
      </c>
      <c r="J9" s="25">
        <v>0</v>
      </c>
      <c r="K9" s="25">
        <v>0</v>
      </c>
      <c r="L9" s="25">
        <v>0</v>
      </c>
      <c r="M9" s="25">
        <v>1</v>
      </c>
      <c r="N9" s="25">
        <v>0</v>
      </c>
      <c r="O9" s="25">
        <v>0</v>
      </c>
      <c r="P9" s="25">
        <v>0</v>
      </c>
      <c r="Q9" s="25">
        <v>0.32</v>
      </c>
      <c r="R9" s="25">
        <v>0</v>
      </c>
      <c r="S9" s="25">
        <v>0</v>
      </c>
      <c r="T9" s="25">
        <v>0</v>
      </c>
      <c r="U9" s="25">
        <v>0.44</v>
      </c>
      <c r="V9" s="25">
        <v>0</v>
      </c>
      <c r="W9" s="25">
        <v>0.2</v>
      </c>
      <c r="X9" s="25">
        <v>0</v>
      </c>
      <c r="Y9" s="25">
        <v>0.34</v>
      </c>
      <c r="Z9" s="25">
        <v>0</v>
      </c>
      <c r="AA9" s="25">
        <v>0</v>
      </c>
      <c r="AB9" s="25">
        <v>0</v>
      </c>
      <c r="AC9" s="25">
        <v>0.5</v>
      </c>
      <c r="AD9" s="25">
        <v>0</v>
      </c>
      <c r="AE9" s="25">
        <v>0</v>
      </c>
      <c r="AF9" s="25">
        <v>0</v>
      </c>
      <c r="AG9" s="25">
        <v>0</v>
      </c>
      <c r="AH9" s="25">
        <v>0.22</v>
      </c>
      <c r="AI9" s="25">
        <v>0</v>
      </c>
      <c r="AJ9" s="25">
        <v>0.28000000000000003</v>
      </c>
      <c r="AK9" s="25">
        <v>0</v>
      </c>
      <c r="AL9" s="25">
        <v>0</v>
      </c>
      <c r="AM9" s="25">
        <v>0.3</v>
      </c>
      <c r="AN9" s="25">
        <v>0</v>
      </c>
      <c r="AO9" s="25">
        <v>0.34</v>
      </c>
      <c r="AP9" s="25">
        <v>0</v>
      </c>
      <c r="AQ9" s="25">
        <v>0</v>
      </c>
      <c r="AR9" s="25">
        <v>0</v>
      </c>
      <c r="AS9" s="25">
        <v>0</v>
      </c>
      <c r="AT9" s="25">
        <v>0.24</v>
      </c>
      <c r="AU9" s="25">
        <v>0</v>
      </c>
      <c r="AV9" s="25">
        <v>0.22</v>
      </c>
      <c r="AW9" s="25">
        <v>0.46</v>
      </c>
      <c r="AX9" s="25">
        <v>0.51</v>
      </c>
      <c r="AY9" s="25">
        <v>0.36</v>
      </c>
      <c r="AZ9" s="25">
        <v>0</v>
      </c>
      <c r="BA9" s="25">
        <v>0</v>
      </c>
      <c r="BB9" s="25">
        <v>0.27</v>
      </c>
      <c r="BC9" s="25">
        <v>0.43</v>
      </c>
      <c r="BD9" s="25">
        <v>0</v>
      </c>
      <c r="BE9" s="25">
        <v>0.38</v>
      </c>
      <c r="BF9" s="25">
        <v>0.44</v>
      </c>
      <c r="BG9" s="25">
        <v>0.24</v>
      </c>
      <c r="BH9" s="25">
        <v>0</v>
      </c>
      <c r="BI9" s="25">
        <v>0</v>
      </c>
      <c r="BJ9" s="25">
        <v>0</v>
      </c>
      <c r="BK9" s="25">
        <v>0</v>
      </c>
      <c r="BL9" s="25">
        <v>0</v>
      </c>
      <c r="BM9" s="25">
        <v>0</v>
      </c>
      <c r="BN9" s="25">
        <v>0</v>
      </c>
      <c r="BO9" s="25">
        <v>0</v>
      </c>
      <c r="BP9" s="25">
        <v>0.3</v>
      </c>
      <c r="BQ9" s="25">
        <v>0</v>
      </c>
      <c r="BR9" s="25">
        <v>0</v>
      </c>
      <c r="BS9" s="25">
        <v>0</v>
      </c>
      <c r="BT9" s="25">
        <v>0</v>
      </c>
      <c r="BU9" s="25">
        <v>0.21</v>
      </c>
      <c r="BV9" s="25">
        <v>0.38</v>
      </c>
      <c r="BW9" s="25">
        <v>0.25</v>
      </c>
      <c r="BX9" s="25">
        <v>0.21</v>
      </c>
      <c r="BY9" s="25">
        <v>0.39</v>
      </c>
      <c r="BZ9" s="25">
        <v>0</v>
      </c>
      <c r="CA9" s="25">
        <v>0</v>
      </c>
      <c r="CB9" s="25">
        <v>0</v>
      </c>
      <c r="CC9" s="25">
        <v>0.24</v>
      </c>
      <c r="CD9" s="25">
        <v>0.34</v>
      </c>
      <c r="CE9" s="25">
        <v>0.36</v>
      </c>
    </row>
    <row r="10" spans="1:83" ht="15.75" customHeight="1" x14ac:dyDescent="0.2">
      <c r="A10" s="15" t="s">
        <v>874</v>
      </c>
      <c r="B10" s="1">
        <f>COUNTIF('User data'!D:D,A10)</f>
        <v>0</v>
      </c>
      <c r="C10" s="18">
        <v>0</v>
      </c>
      <c r="D10" s="20">
        <f t="shared" si="0"/>
        <v>0</v>
      </c>
      <c r="F10" s="18">
        <f t="array" ref="F10:CE10">$B10*correlation!B10:CA10</f>
        <v>0</v>
      </c>
      <c r="G10" s="25">
        <v>0</v>
      </c>
      <c r="H10" s="25">
        <v>0</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v>0</v>
      </c>
      <c r="BJ10" s="25">
        <v>0</v>
      </c>
      <c r="BK10" s="25">
        <v>0</v>
      </c>
      <c r="BL10" s="25">
        <v>0</v>
      </c>
      <c r="BM10" s="25">
        <v>0</v>
      </c>
      <c r="BN10" s="25">
        <v>0</v>
      </c>
      <c r="BO10" s="25">
        <v>0</v>
      </c>
      <c r="BP10" s="25">
        <v>0</v>
      </c>
      <c r="BQ10" s="25">
        <v>0</v>
      </c>
      <c r="BR10" s="25">
        <v>0</v>
      </c>
      <c r="BS10" s="25">
        <v>0</v>
      </c>
      <c r="BT10" s="25">
        <v>0</v>
      </c>
      <c r="BU10" s="25">
        <v>0</v>
      </c>
      <c r="BV10" s="25">
        <v>0</v>
      </c>
      <c r="BW10" s="25">
        <v>0</v>
      </c>
      <c r="BX10" s="25">
        <v>0</v>
      </c>
      <c r="BY10" s="25">
        <v>0</v>
      </c>
      <c r="BZ10" s="25">
        <v>0</v>
      </c>
      <c r="CA10" s="25">
        <v>0</v>
      </c>
      <c r="CB10" s="25">
        <v>0</v>
      </c>
      <c r="CC10" s="25">
        <v>0</v>
      </c>
      <c r="CD10" s="25">
        <v>0</v>
      </c>
      <c r="CE10" s="25">
        <v>0</v>
      </c>
    </row>
    <row r="11" spans="1:83" ht="15.75" customHeight="1" x14ac:dyDescent="0.2">
      <c r="A11" s="15" t="s">
        <v>888</v>
      </c>
      <c r="B11" s="1">
        <f>COUNTIF('User data'!D:D,A11)</f>
        <v>0</v>
      </c>
      <c r="C11" s="18">
        <v>0</v>
      </c>
      <c r="D11" s="20">
        <f t="shared" si="0"/>
        <v>0</v>
      </c>
      <c r="F11" s="18">
        <f t="array" ref="F11:CE11">$B11*correlation!B11:CA11</f>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v>0</v>
      </c>
      <c r="BJ11" s="25">
        <v>0</v>
      </c>
      <c r="BK11" s="25">
        <v>0</v>
      </c>
      <c r="BL11" s="25">
        <v>0</v>
      </c>
      <c r="BM11" s="25">
        <v>0</v>
      </c>
      <c r="BN11" s="25">
        <v>0</v>
      </c>
      <c r="BO11" s="25">
        <v>0</v>
      </c>
      <c r="BP11" s="25">
        <v>0</v>
      </c>
      <c r="BQ11" s="25">
        <v>0</v>
      </c>
      <c r="BR11" s="25">
        <v>0</v>
      </c>
      <c r="BS11" s="25">
        <v>0</v>
      </c>
      <c r="BT11" s="25">
        <v>0</v>
      </c>
      <c r="BU11" s="25">
        <v>0</v>
      </c>
      <c r="BV11" s="25">
        <v>0</v>
      </c>
      <c r="BW11" s="25">
        <v>0</v>
      </c>
      <c r="BX11" s="25">
        <v>0</v>
      </c>
      <c r="BY11" s="25">
        <v>0</v>
      </c>
      <c r="BZ11" s="25">
        <v>0</v>
      </c>
      <c r="CA11" s="25">
        <v>0</v>
      </c>
      <c r="CB11" s="25">
        <v>0</v>
      </c>
      <c r="CC11" s="25">
        <v>0</v>
      </c>
      <c r="CD11" s="25">
        <v>0</v>
      </c>
      <c r="CE11" s="25">
        <v>0</v>
      </c>
    </row>
    <row r="12" spans="1:83" ht="15.75" customHeight="1" x14ac:dyDescent="0.2">
      <c r="A12" s="15" t="s">
        <v>909</v>
      </c>
      <c r="B12" s="1">
        <f>COUNTIF('User data'!D:D,A12)</f>
        <v>0</v>
      </c>
      <c r="C12" s="18">
        <v>0</v>
      </c>
      <c r="D12" s="20">
        <f t="shared" si="0"/>
        <v>0</v>
      </c>
      <c r="F12" s="18">
        <f t="array" ref="F12:CE12">$B12*correlation!B12:CA12</f>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v>0</v>
      </c>
      <c r="BJ12" s="25">
        <v>0</v>
      </c>
      <c r="BK12" s="25">
        <v>0</v>
      </c>
      <c r="BL12" s="25">
        <v>0</v>
      </c>
      <c r="BM12" s="25">
        <v>0</v>
      </c>
      <c r="BN12" s="25">
        <v>0</v>
      </c>
      <c r="BO12" s="25">
        <v>0</v>
      </c>
      <c r="BP12" s="25">
        <v>0</v>
      </c>
      <c r="BQ12" s="25">
        <v>0</v>
      </c>
      <c r="BR12" s="25">
        <v>0</v>
      </c>
      <c r="BS12" s="25">
        <v>0</v>
      </c>
      <c r="BT12" s="25">
        <v>0</v>
      </c>
      <c r="BU12" s="25">
        <v>0</v>
      </c>
      <c r="BV12" s="25">
        <v>0</v>
      </c>
      <c r="BW12" s="25">
        <v>0</v>
      </c>
      <c r="BX12" s="25">
        <v>0</v>
      </c>
      <c r="BY12" s="25">
        <v>0</v>
      </c>
      <c r="BZ12" s="25">
        <v>0</v>
      </c>
      <c r="CA12" s="25">
        <v>0</v>
      </c>
      <c r="CB12" s="25">
        <v>0</v>
      </c>
      <c r="CC12" s="25">
        <v>0</v>
      </c>
      <c r="CD12" s="25">
        <v>0</v>
      </c>
      <c r="CE12" s="25">
        <v>0</v>
      </c>
    </row>
    <row r="13" spans="1:83" ht="15.75" customHeight="1" x14ac:dyDescent="0.2">
      <c r="A13" s="15" t="s">
        <v>920</v>
      </c>
      <c r="B13" s="1">
        <f>COUNTIF('User data'!D:D,A13)</f>
        <v>0</v>
      </c>
      <c r="C13" s="18">
        <v>2.88</v>
      </c>
      <c r="D13" s="20">
        <f t="shared" si="0"/>
        <v>3.2146444915727199E-2</v>
      </c>
      <c r="F13" s="18">
        <f t="array" ref="F13:CE13">$B13*correlation!B13:CA13</f>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v>0</v>
      </c>
      <c r="BJ13" s="25">
        <v>0</v>
      </c>
      <c r="BK13" s="25">
        <v>0</v>
      </c>
      <c r="BL13" s="25">
        <v>0</v>
      </c>
      <c r="BM13" s="25">
        <v>0</v>
      </c>
      <c r="BN13" s="25">
        <v>0</v>
      </c>
      <c r="BO13" s="25">
        <v>0</v>
      </c>
      <c r="BP13" s="25">
        <v>0</v>
      </c>
      <c r="BQ13" s="25">
        <v>0</v>
      </c>
      <c r="BR13" s="25">
        <v>0</v>
      </c>
      <c r="BS13" s="25">
        <v>0</v>
      </c>
      <c r="BT13" s="25">
        <v>0</v>
      </c>
      <c r="BU13" s="25">
        <v>0</v>
      </c>
      <c r="BV13" s="25">
        <v>0</v>
      </c>
      <c r="BW13" s="25">
        <v>0</v>
      </c>
      <c r="BX13" s="25">
        <v>0</v>
      </c>
      <c r="BY13" s="25">
        <v>0</v>
      </c>
      <c r="BZ13" s="25">
        <v>0</v>
      </c>
      <c r="CA13" s="25">
        <v>0</v>
      </c>
      <c r="CB13" s="25">
        <v>0</v>
      </c>
      <c r="CC13" s="25">
        <v>0</v>
      </c>
      <c r="CD13" s="25">
        <v>0</v>
      </c>
      <c r="CE13" s="25">
        <v>0</v>
      </c>
    </row>
    <row r="14" spans="1:83" ht="15.75" customHeight="1" x14ac:dyDescent="0.2">
      <c r="A14" s="15" t="s">
        <v>931</v>
      </c>
      <c r="B14" s="1">
        <f>COUNTIF('User data'!D:D,A14)</f>
        <v>0</v>
      </c>
      <c r="C14" s="18">
        <v>0</v>
      </c>
      <c r="D14" s="20">
        <f t="shared" si="0"/>
        <v>0</v>
      </c>
      <c r="F14" s="18">
        <f t="array" ref="F14:CE14">$B14*correlation!B14:CA14</f>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v>0</v>
      </c>
      <c r="BJ14" s="25">
        <v>0</v>
      </c>
      <c r="BK14" s="25">
        <v>0</v>
      </c>
      <c r="BL14" s="25">
        <v>0</v>
      </c>
      <c r="BM14" s="25">
        <v>0</v>
      </c>
      <c r="BN14" s="25">
        <v>0</v>
      </c>
      <c r="BO14" s="25">
        <v>0</v>
      </c>
      <c r="BP14" s="25">
        <v>0</v>
      </c>
      <c r="BQ14" s="25">
        <v>0</v>
      </c>
      <c r="BR14" s="25">
        <v>0</v>
      </c>
      <c r="BS14" s="25">
        <v>0</v>
      </c>
      <c r="BT14" s="25">
        <v>0</v>
      </c>
      <c r="BU14" s="25">
        <v>0</v>
      </c>
      <c r="BV14" s="25">
        <v>0</v>
      </c>
      <c r="BW14" s="25">
        <v>0</v>
      </c>
      <c r="BX14" s="25">
        <v>0</v>
      </c>
      <c r="BY14" s="25">
        <v>0</v>
      </c>
      <c r="BZ14" s="25">
        <v>0</v>
      </c>
      <c r="CA14" s="25">
        <v>0</v>
      </c>
      <c r="CB14" s="25">
        <v>0</v>
      </c>
      <c r="CC14" s="25">
        <v>0</v>
      </c>
      <c r="CD14" s="25">
        <v>0</v>
      </c>
      <c r="CE14" s="25">
        <v>0</v>
      </c>
    </row>
    <row r="15" spans="1:83" ht="15.75" customHeight="1" x14ac:dyDescent="0.2">
      <c r="A15" s="15" t="s">
        <v>949</v>
      </c>
      <c r="B15" s="1">
        <f>COUNTIF('User data'!D:D,A15)</f>
        <v>0</v>
      </c>
      <c r="C15" s="18">
        <v>0</v>
      </c>
      <c r="D15" s="20">
        <f t="shared" si="0"/>
        <v>0</v>
      </c>
      <c r="F15" s="18">
        <f t="array" ref="F15:CE15">$B15*correlation!B15:CA15</f>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v>0</v>
      </c>
      <c r="BJ15" s="25">
        <v>0</v>
      </c>
      <c r="BK15" s="25">
        <v>0</v>
      </c>
      <c r="BL15" s="25">
        <v>0</v>
      </c>
      <c r="BM15" s="25">
        <v>0</v>
      </c>
      <c r="BN15" s="25">
        <v>0</v>
      </c>
      <c r="BO15" s="25">
        <v>0</v>
      </c>
      <c r="BP15" s="25">
        <v>0</v>
      </c>
      <c r="BQ15" s="25">
        <v>0</v>
      </c>
      <c r="BR15" s="25">
        <v>0</v>
      </c>
      <c r="BS15" s="25">
        <v>0</v>
      </c>
      <c r="BT15" s="25">
        <v>0</v>
      </c>
      <c r="BU15" s="25">
        <v>0</v>
      </c>
      <c r="BV15" s="25">
        <v>0</v>
      </c>
      <c r="BW15" s="25">
        <v>0</v>
      </c>
      <c r="BX15" s="25">
        <v>0</v>
      </c>
      <c r="BY15" s="25">
        <v>0</v>
      </c>
      <c r="BZ15" s="25">
        <v>0</v>
      </c>
      <c r="CA15" s="25">
        <v>0</v>
      </c>
      <c r="CB15" s="25">
        <v>0</v>
      </c>
      <c r="CC15" s="25">
        <v>0</v>
      </c>
      <c r="CD15" s="25">
        <v>0</v>
      </c>
      <c r="CE15" s="25">
        <v>0</v>
      </c>
    </row>
    <row r="16" spans="1:83" ht="15.75" customHeight="1" x14ac:dyDescent="0.2">
      <c r="A16" s="15" t="s">
        <v>972</v>
      </c>
      <c r="B16" s="1">
        <f>COUNTIF('User data'!D:D,A16)</f>
        <v>0</v>
      </c>
      <c r="C16" s="18">
        <v>0.2</v>
      </c>
      <c r="D16" s="20">
        <f t="shared" si="0"/>
        <v>2.2323920080366115E-3</v>
      </c>
      <c r="F16" s="18">
        <f t="array" ref="F16:CE16">$B16*correlation!B16:CA16</f>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v>0</v>
      </c>
      <c r="BJ16" s="25">
        <v>0</v>
      </c>
      <c r="BK16" s="25">
        <v>0</v>
      </c>
      <c r="BL16" s="25">
        <v>0</v>
      </c>
      <c r="BM16" s="25">
        <v>0</v>
      </c>
      <c r="BN16" s="25">
        <v>0</v>
      </c>
      <c r="BO16" s="25">
        <v>0</v>
      </c>
      <c r="BP16" s="25">
        <v>0</v>
      </c>
      <c r="BQ16" s="25">
        <v>0</v>
      </c>
      <c r="BR16" s="25">
        <v>0</v>
      </c>
      <c r="BS16" s="25">
        <v>0</v>
      </c>
      <c r="BT16" s="25">
        <v>0</v>
      </c>
      <c r="BU16" s="25">
        <v>0</v>
      </c>
      <c r="BV16" s="25">
        <v>0</v>
      </c>
      <c r="BW16" s="25">
        <v>0</v>
      </c>
      <c r="BX16" s="25">
        <v>0</v>
      </c>
      <c r="BY16" s="25">
        <v>0</v>
      </c>
      <c r="BZ16" s="25">
        <v>0</v>
      </c>
      <c r="CA16" s="25">
        <v>0</v>
      </c>
      <c r="CB16" s="25">
        <v>0</v>
      </c>
      <c r="CC16" s="25">
        <v>0</v>
      </c>
      <c r="CD16" s="25">
        <v>0</v>
      </c>
      <c r="CE16" s="25">
        <v>0</v>
      </c>
    </row>
    <row r="17" spans="1:83" ht="15.75" customHeight="1" x14ac:dyDescent="0.2">
      <c r="A17" s="15" t="s">
        <v>996</v>
      </c>
      <c r="B17" s="1">
        <f>COUNTIF('User data'!D:D,A17)</f>
        <v>0</v>
      </c>
      <c r="C17" s="18">
        <v>3.08</v>
      </c>
      <c r="D17" s="20">
        <f t="shared" si="0"/>
        <v>3.4378836923763811E-2</v>
      </c>
      <c r="F17" s="18">
        <f t="array" ref="F17:CE17">$B17*correlation!B17:CA17</f>
        <v>0</v>
      </c>
      <c r="G17" s="25">
        <v>0</v>
      </c>
      <c r="H17" s="25">
        <v>0</v>
      </c>
      <c r="I17" s="25">
        <v>0</v>
      </c>
      <c r="J17" s="25">
        <v>0</v>
      </c>
      <c r="K17" s="25">
        <v>0</v>
      </c>
      <c r="L17" s="25">
        <v>0</v>
      </c>
      <c r="M17" s="25">
        <v>0</v>
      </c>
      <c r="N17" s="25">
        <v>0</v>
      </c>
      <c r="O17" s="25">
        <v>0</v>
      </c>
      <c r="P17" s="25">
        <v>0</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v>0</v>
      </c>
      <c r="BJ17" s="25">
        <v>0</v>
      </c>
      <c r="BK17" s="25">
        <v>0</v>
      </c>
      <c r="BL17" s="25">
        <v>0</v>
      </c>
      <c r="BM17" s="25">
        <v>0</v>
      </c>
      <c r="BN17" s="25">
        <v>0</v>
      </c>
      <c r="BO17" s="25">
        <v>0</v>
      </c>
      <c r="BP17" s="25">
        <v>0</v>
      </c>
      <c r="BQ17" s="25">
        <v>0</v>
      </c>
      <c r="BR17" s="25">
        <v>0</v>
      </c>
      <c r="BS17" s="25">
        <v>0</v>
      </c>
      <c r="BT17" s="25">
        <v>0</v>
      </c>
      <c r="BU17" s="25">
        <v>0</v>
      </c>
      <c r="BV17" s="25">
        <v>0</v>
      </c>
      <c r="BW17" s="25">
        <v>0</v>
      </c>
      <c r="BX17" s="25">
        <v>0</v>
      </c>
      <c r="BY17" s="25">
        <v>0</v>
      </c>
      <c r="BZ17" s="25">
        <v>0</v>
      </c>
      <c r="CA17" s="25">
        <v>0</v>
      </c>
      <c r="CB17" s="25">
        <v>0</v>
      </c>
      <c r="CC17" s="25">
        <v>0</v>
      </c>
      <c r="CD17" s="25">
        <v>0</v>
      </c>
      <c r="CE17" s="25">
        <v>0</v>
      </c>
    </row>
    <row r="18" spans="1:83" ht="15.75" customHeight="1" x14ac:dyDescent="0.2">
      <c r="A18" s="15" t="s">
        <v>1002</v>
      </c>
      <c r="B18" s="1">
        <f>COUNTIF('User data'!D:D,A18)</f>
        <v>0</v>
      </c>
      <c r="C18" s="18">
        <v>0</v>
      </c>
      <c r="D18" s="20">
        <f t="shared" si="0"/>
        <v>0</v>
      </c>
      <c r="F18" s="18">
        <f t="array" ref="F18:CE18">$B18*correlation!B18:CA18</f>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v>0</v>
      </c>
      <c r="BJ18" s="25">
        <v>0</v>
      </c>
      <c r="BK18" s="25">
        <v>0</v>
      </c>
      <c r="BL18" s="25">
        <v>0</v>
      </c>
      <c r="BM18" s="25">
        <v>0</v>
      </c>
      <c r="BN18" s="25">
        <v>0</v>
      </c>
      <c r="BO18" s="25">
        <v>0</v>
      </c>
      <c r="BP18" s="25">
        <v>0</v>
      </c>
      <c r="BQ18" s="25">
        <v>0</v>
      </c>
      <c r="BR18" s="25">
        <v>0</v>
      </c>
      <c r="BS18" s="25">
        <v>0</v>
      </c>
      <c r="BT18" s="25">
        <v>0</v>
      </c>
      <c r="BU18" s="25">
        <v>0</v>
      </c>
      <c r="BV18" s="25">
        <v>0</v>
      </c>
      <c r="BW18" s="25">
        <v>0</v>
      </c>
      <c r="BX18" s="25">
        <v>0</v>
      </c>
      <c r="BY18" s="25">
        <v>0</v>
      </c>
      <c r="BZ18" s="25">
        <v>0</v>
      </c>
      <c r="CA18" s="25">
        <v>0</v>
      </c>
      <c r="CB18" s="25">
        <v>0</v>
      </c>
      <c r="CC18" s="25">
        <v>0</v>
      </c>
      <c r="CD18" s="25">
        <v>0</v>
      </c>
      <c r="CE18" s="25">
        <v>0</v>
      </c>
    </row>
    <row r="19" spans="1:83" ht="15.75" customHeight="1" x14ac:dyDescent="0.2">
      <c r="A19" s="15" t="s">
        <v>1005</v>
      </c>
      <c r="B19" s="1">
        <f>COUNTIF('User data'!D:D,A19)</f>
        <v>0</v>
      </c>
      <c r="C19" s="18">
        <v>2.5499999999999998</v>
      </c>
      <c r="D19" s="20">
        <f t="shared" si="0"/>
        <v>2.8462998102466792E-2</v>
      </c>
      <c r="F19" s="18">
        <f t="array" ref="F19:CE19">$B19*correlation!B19:CA19</f>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v>0</v>
      </c>
      <c r="BJ19" s="25">
        <v>0</v>
      </c>
      <c r="BK19" s="25">
        <v>0</v>
      </c>
      <c r="BL19" s="25">
        <v>0</v>
      </c>
      <c r="BM19" s="25">
        <v>0</v>
      </c>
      <c r="BN19" s="25">
        <v>0</v>
      </c>
      <c r="BO19" s="25">
        <v>0</v>
      </c>
      <c r="BP19" s="25">
        <v>0</v>
      </c>
      <c r="BQ19" s="25">
        <v>0</v>
      </c>
      <c r="BR19" s="25">
        <v>0</v>
      </c>
      <c r="BS19" s="25">
        <v>0</v>
      </c>
      <c r="BT19" s="25">
        <v>0</v>
      </c>
      <c r="BU19" s="25">
        <v>0</v>
      </c>
      <c r="BV19" s="25">
        <v>0</v>
      </c>
      <c r="BW19" s="25">
        <v>0</v>
      </c>
      <c r="BX19" s="25">
        <v>0</v>
      </c>
      <c r="BY19" s="25">
        <v>0</v>
      </c>
      <c r="BZ19" s="25">
        <v>0</v>
      </c>
      <c r="CA19" s="25">
        <v>0</v>
      </c>
      <c r="CB19" s="25">
        <v>0</v>
      </c>
      <c r="CC19" s="25">
        <v>0</v>
      </c>
      <c r="CD19" s="25">
        <v>0</v>
      </c>
      <c r="CE19" s="25">
        <v>0</v>
      </c>
    </row>
    <row r="20" spans="1:83" ht="15.75" customHeight="1" x14ac:dyDescent="0.2">
      <c r="A20" s="15" t="s">
        <v>1008</v>
      </c>
      <c r="B20" s="1">
        <f>COUNTIF('User data'!D:D,A20)</f>
        <v>0</v>
      </c>
      <c r="C20" s="18">
        <v>0</v>
      </c>
      <c r="D20" s="20">
        <f t="shared" si="0"/>
        <v>0</v>
      </c>
      <c r="F20" s="18">
        <f t="array" ref="F20:CE20">$B20*correlation!B20:CA20</f>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v>0</v>
      </c>
      <c r="BJ20" s="25">
        <v>0</v>
      </c>
      <c r="BK20" s="25">
        <v>0</v>
      </c>
      <c r="BL20" s="25">
        <v>0</v>
      </c>
      <c r="BM20" s="25">
        <v>0</v>
      </c>
      <c r="BN20" s="25">
        <v>0</v>
      </c>
      <c r="BO20" s="25">
        <v>0</v>
      </c>
      <c r="BP20" s="25">
        <v>0</v>
      </c>
      <c r="BQ20" s="25">
        <v>0</v>
      </c>
      <c r="BR20" s="25">
        <v>0</v>
      </c>
      <c r="BS20" s="25">
        <v>0</v>
      </c>
      <c r="BT20" s="25">
        <v>0</v>
      </c>
      <c r="BU20" s="25">
        <v>0</v>
      </c>
      <c r="BV20" s="25">
        <v>0</v>
      </c>
      <c r="BW20" s="25">
        <v>0</v>
      </c>
      <c r="BX20" s="25">
        <v>0</v>
      </c>
      <c r="BY20" s="25">
        <v>0</v>
      </c>
      <c r="BZ20" s="25">
        <v>0</v>
      </c>
      <c r="CA20" s="25">
        <v>0</v>
      </c>
      <c r="CB20" s="25">
        <v>0</v>
      </c>
      <c r="CC20" s="25">
        <v>0</v>
      </c>
      <c r="CD20" s="25">
        <v>0</v>
      </c>
      <c r="CE20" s="25">
        <v>0</v>
      </c>
    </row>
    <row r="21" spans="1:83" ht="15.75" customHeight="1" x14ac:dyDescent="0.2">
      <c r="A21" s="15" t="s">
        <v>1015</v>
      </c>
      <c r="B21" s="1">
        <f>COUNTIF('User data'!D:D,A21)</f>
        <v>0</v>
      </c>
      <c r="C21" s="18">
        <v>2.33</v>
      </c>
      <c r="D21" s="20">
        <f t="shared" si="0"/>
        <v>2.6007366893626521E-2</v>
      </c>
      <c r="F21" s="18">
        <f t="array" ref="F21:CE21">$B21*correlation!B21:CA21</f>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v>0</v>
      </c>
      <c r="BJ21" s="25">
        <v>0</v>
      </c>
      <c r="BK21" s="25">
        <v>0</v>
      </c>
      <c r="BL21" s="25">
        <v>0</v>
      </c>
      <c r="BM21" s="25">
        <v>0</v>
      </c>
      <c r="BN21" s="25">
        <v>0</v>
      </c>
      <c r="BO21" s="25">
        <v>0</v>
      </c>
      <c r="BP21" s="25">
        <v>0</v>
      </c>
      <c r="BQ21" s="25">
        <v>0</v>
      </c>
      <c r="BR21" s="25">
        <v>0</v>
      </c>
      <c r="BS21" s="25">
        <v>0</v>
      </c>
      <c r="BT21" s="25">
        <v>0</v>
      </c>
      <c r="BU21" s="25">
        <v>0</v>
      </c>
      <c r="BV21" s="25">
        <v>0</v>
      </c>
      <c r="BW21" s="25">
        <v>0</v>
      </c>
      <c r="BX21" s="25">
        <v>0</v>
      </c>
      <c r="BY21" s="25">
        <v>0</v>
      </c>
      <c r="BZ21" s="25">
        <v>0</v>
      </c>
      <c r="CA21" s="25">
        <v>0</v>
      </c>
      <c r="CB21" s="25">
        <v>0</v>
      </c>
      <c r="CC21" s="25">
        <v>0</v>
      </c>
      <c r="CD21" s="25">
        <v>0</v>
      </c>
      <c r="CE21" s="25">
        <v>0</v>
      </c>
    </row>
    <row r="22" spans="1:83" ht="15.75" customHeight="1" x14ac:dyDescent="0.2">
      <c r="A22" s="15" t="s">
        <v>1036</v>
      </c>
      <c r="B22" s="1">
        <f>COUNTIF('User data'!D:D,A22)</f>
        <v>0</v>
      </c>
      <c r="C22" s="18">
        <v>1.05</v>
      </c>
      <c r="D22" s="20">
        <f t="shared" si="0"/>
        <v>1.1720058042192208E-2</v>
      </c>
      <c r="F22" s="18">
        <f t="array" ref="F22:CE22">$B22*correlation!B22:CA22</f>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v>0</v>
      </c>
      <c r="BJ22" s="25">
        <v>0</v>
      </c>
      <c r="BK22" s="25">
        <v>0</v>
      </c>
      <c r="BL22" s="25">
        <v>0</v>
      </c>
      <c r="BM22" s="25">
        <v>0</v>
      </c>
      <c r="BN22" s="25">
        <v>0</v>
      </c>
      <c r="BO22" s="25">
        <v>0</v>
      </c>
      <c r="BP22" s="25">
        <v>0</v>
      </c>
      <c r="BQ22" s="25">
        <v>0</v>
      </c>
      <c r="BR22" s="25">
        <v>0</v>
      </c>
      <c r="BS22" s="25">
        <v>0</v>
      </c>
      <c r="BT22" s="25">
        <v>0</v>
      </c>
      <c r="BU22" s="25">
        <v>0</v>
      </c>
      <c r="BV22" s="25">
        <v>0</v>
      </c>
      <c r="BW22" s="25">
        <v>0</v>
      </c>
      <c r="BX22" s="25">
        <v>0</v>
      </c>
      <c r="BY22" s="25">
        <v>0</v>
      </c>
      <c r="BZ22" s="25">
        <v>0</v>
      </c>
      <c r="CA22" s="25">
        <v>0</v>
      </c>
      <c r="CB22" s="25">
        <v>0</v>
      </c>
      <c r="CC22" s="25">
        <v>0</v>
      </c>
      <c r="CD22" s="25">
        <v>0</v>
      </c>
      <c r="CE22" s="25">
        <v>0</v>
      </c>
    </row>
    <row r="23" spans="1:83" ht="15.75" customHeight="1" x14ac:dyDescent="0.2">
      <c r="A23" s="15" t="s">
        <v>1046</v>
      </c>
      <c r="B23" s="1">
        <f>COUNTIF('User data'!D:D,A23)</f>
        <v>0</v>
      </c>
      <c r="C23" s="18">
        <v>0</v>
      </c>
      <c r="D23" s="20">
        <f t="shared" si="0"/>
        <v>0</v>
      </c>
      <c r="F23" s="18">
        <f t="array" ref="F23:CE23">$B23*correlation!B23:CA23</f>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v>0</v>
      </c>
      <c r="BJ23" s="25">
        <v>0</v>
      </c>
      <c r="BK23" s="25">
        <v>0</v>
      </c>
      <c r="BL23" s="25">
        <v>0</v>
      </c>
      <c r="BM23" s="25">
        <v>0</v>
      </c>
      <c r="BN23" s="25">
        <v>0</v>
      </c>
      <c r="BO23" s="25">
        <v>0</v>
      </c>
      <c r="BP23" s="25">
        <v>0</v>
      </c>
      <c r="BQ23" s="25">
        <v>0</v>
      </c>
      <c r="BR23" s="25">
        <v>0</v>
      </c>
      <c r="BS23" s="25">
        <v>0</v>
      </c>
      <c r="BT23" s="25">
        <v>0</v>
      </c>
      <c r="BU23" s="25">
        <v>0</v>
      </c>
      <c r="BV23" s="25">
        <v>0</v>
      </c>
      <c r="BW23" s="25">
        <v>0</v>
      </c>
      <c r="BX23" s="25">
        <v>0</v>
      </c>
      <c r="BY23" s="25">
        <v>0</v>
      </c>
      <c r="BZ23" s="25">
        <v>0</v>
      </c>
      <c r="CA23" s="25">
        <v>0</v>
      </c>
      <c r="CB23" s="25">
        <v>0</v>
      </c>
      <c r="CC23" s="25">
        <v>0</v>
      </c>
      <c r="CD23" s="25">
        <v>0</v>
      </c>
      <c r="CE23" s="25">
        <v>0</v>
      </c>
    </row>
    <row r="24" spans="1:83" ht="15.75" customHeight="1" x14ac:dyDescent="0.2">
      <c r="A24" s="15" t="s">
        <v>1053</v>
      </c>
      <c r="B24" s="1">
        <f>COUNTIF('User data'!D:D,A24)</f>
        <v>0</v>
      </c>
      <c r="C24" s="18">
        <v>0</v>
      </c>
      <c r="D24" s="20">
        <f t="shared" si="0"/>
        <v>0</v>
      </c>
      <c r="F24" s="18">
        <f t="array" ref="F24:CE24">$B24*correlation!B24:CA24</f>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v>0</v>
      </c>
      <c r="BJ24" s="25">
        <v>0</v>
      </c>
      <c r="BK24" s="25">
        <v>0</v>
      </c>
      <c r="BL24" s="25">
        <v>0</v>
      </c>
      <c r="BM24" s="25">
        <v>0</v>
      </c>
      <c r="BN24" s="25">
        <v>0</v>
      </c>
      <c r="BO24" s="25">
        <v>0</v>
      </c>
      <c r="BP24" s="25">
        <v>0</v>
      </c>
      <c r="BQ24" s="25">
        <v>0</v>
      </c>
      <c r="BR24" s="25">
        <v>0</v>
      </c>
      <c r="BS24" s="25">
        <v>0</v>
      </c>
      <c r="BT24" s="25">
        <v>0</v>
      </c>
      <c r="BU24" s="25">
        <v>0</v>
      </c>
      <c r="BV24" s="25">
        <v>0</v>
      </c>
      <c r="BW24" s="25">
        <v>0</v>
      </c>
      <c r="BX24" s="25">
        <v>0</v>
      </c>
      <c r="BY24" s="25">
        <v>0</v>
      </c>
      <c r="BZ24" s="25">
        <v>0</v>
      </c>
      <c r="CA24" s="25">
        <v>0</v>
      </c>
      <c r="CB24" s="25">
        <v>0</v>
      </c>
      <c r="CC24" s="25">
        <v>0</v>
      </c>
      <c r="CD24" s="25">
        <v>0</v>
      </c>
      <c r="CE24" s="25">
        <v>0</v>
      </c>
    </row>
    <row r="25" spans="1:83" ht="15.75" customHeight="1" x14ac:dyDescent="0.2">
      <c r="A25" s="15" t="s">
        <v>1058</v>
      </c>
      <c r="B25" s="1">
        <v>5</v>
      </c>
      <c r="C25" s="18">
        <v>5.99</v>
      </c>
      <c r="D25" s="20">
        <f t="shared" si="0"/>
        <v>6.6860140640696508E-2</v>
      </c>
      <c r="F25" s="18">
        <f t="array" ref="F25:CE25">$B25*correlation!B25:CA25</f>
        <v>0</v>
      </c>
      <c r="G25" s="25">
        <v>0</v>
      </c>
      <c r="H25" s="25">
        <v>2.1</v>
      </c>
      <c r="I25" s="25">
        <v>2.4500000000000002</v>
      </c>
      <c r="J25" s="25">
        <v>0</v>
      </c>
      <c r="K25" s="25">
        <v>0</v>
      </c>
      <c r="L25" s="25">
        <v>0</v>
      </c>
      <c r="M25" s="25">
        <v>2.5</v>
      </c>
      <c r="N25" s="25">
        <v>0</v>
      </c>
      <c r="O25" s="25">
        <v>0</v>
      </c>
      <c r="P25" s="25">
        <v>0</v>
      </c>
      <c r="Q25" s="25">
        <v>2.25</v>
      </c>
      <c r="R25" s="25">
        <v>0</v>
      </c>
      <c r="S25" s="25">
        <v>0</v>
      </c>
      <c r="T25" s="25">
        <v>0</v>
      </c>
      <c r="U25" s="25">
        <v>2.25</v>
      </c>
      <c r="V25" s="25">
        <v>0</v>
      </c>
      <c r="W25" s="25">
        <v>2.3499999999999996</v>
      </c>
      <c r="X25" s="25">
        <v>0</v>
      </c>
      <c r="Y25" s="25">
        <v>1.6500000000000001</v>
      </c>
      <c r="Z25" s="25">
        <v>1.05</v>
      </c>
      <c r="AA25" s="25">
        <v>0</v>
      </c>
      <c r="AB25" s="25">
        <v>0</v>
      </c>
      <c r="AC25" s="25">
        <v>5</v>
      </c>
      <c r="AD25" s="25">
        <v>0</v>
      </c>
      <c r="AE25" s="25">
        <v>1.1000000000000001</v>
      </c>
      <c r="AF25" s="25">
        <v>0</v>
      </c>
      <c r="AG25" s="25">
        <v>0</v>
      </c>
      <c r="AH25" s="25">
        <v>1.25</v>
      </c>
      <c r="AI25" s="25">
        <v>0</v>
      </c>
      <c r="AJ25" s="25">
        <v>1.1500000000000001</v>
      </c>
      <c r="AK25" s="25">
        <v>0</v>
      </c>
      <c r="AL25" s="25">
        <v>0</v>
      </c>
      <c r="AM25" s="25">
        <v>1.85</v>
      </c>
      <c r="AN25" s="25">
        <v>1.2</v>
      </c>
      <c r="AO25" s="25">
        <v>1.7000000000000002</v>
      </c>
      <c r="AP25" s="25">
        <v>0</v>
      </c>
      <c r="AQ25" s="25">
        <v>0</v>
      </c>
      <c r="AR25" s="25">
        <v>0</v>
      </c>
      <c r="AS25" s="25">
        <v>0</v>
      </c>
      <c r="AT25" s="25">
        <v>1.9</v>
      </c>
      <c r="AU25" s="25">
        <v>0</v>
      </c>
      <c r="AV25" s="25">
        <v>1.05</v>
      </c>
      <c r="AW25" s="25">
        <v>2.3499999999999996</v>
      </c>
      <c r="AX25" s="25">
        <v>2.4500000000000002</v>
      </c>
      <c r="AY25" s="25">
        <v>1.9500000000000002</v>
      </c>
      <c r="AZ25" s="25">
        <v>0</v>
      </c>
      <c r="BA25" s="25">
        <v>0</v>
      </c>
      <c r="BB25" s="25">
        <v>1.25</v>
      </c>
      <c r="BC25" s="25">
        <v>2.25</v>
      </c>
      <c r="BD25" s="25">
        <v>1.05</v>
      </c>
      <c r="BE25" s="25">
        <v>2.1</v>
      </c>
      <c r="BF25" s="25">
        <v>2.6</v>
      </c>
      <c r="BG25" s="25">
        <v>1.7000000000000002</v>
      </c>
      <c r="BH25" s="25">
        <v>1.1500000000000001</v>
      </c>
      <c r="BI25" s="25">
        <v>0</v>
      </c>
      <c r="BJ25" s="25">
        <v>1.6500000000000001</v>
      </c>
      <c r="BK25" s="25">
        <v>0</v>
      </c>
      <c r="BL25" s="25">
        <v>0</v>
      </c>
      <c r="BM25" s="25">
        <v>0</v>
      </c>
      <c r="BN25" s="25">
        <v>0</v>
      </c>
      <c r="BO25" s="25">
        <v>0</v>
      </c>
      <c r="BP25" s="25">
        <v>1.6500000000000001</v>
      </c>
      <c r="BQ25" s="25">
        <v>0</v>
      </c>
      <c r="BR25" s="25">
        <v>0</v>
      </c>
      <c r="BS25" s="25">
        <v>0</v>
      </c>
      <c r="BT25" s="25">
        <v>0</v>
      </c>
      <c r="BU25" s="25">
        <v>1.1500000000000001</v>
      </c>
      <c r="BV25" s="25">
        <v>1.7999999999999998</v>
      </c>
      <c r="BW25" s="25">
        <v>1.7000000000000002</v>
      </c>
      <c r="BX25" s="25">
        <v>0</v>
      </c>
      <c r="BY25" s="25">
        <v>2.3000000000000003</v>
      </c>
      <c r="BZ25" s="25">
        <v>0</v>
      </c>
      <c r="CA25" s="25">
        <v>0</v>
      </c>
      <c r="CB25" s="25">
        <v>0</v>
      </c>
      <c r="CC25" s="25">
        <v>1</v>
      </c>
      <c r="CD25" s="25">
        <v>1.75</v>
      </c>
      <c r="CE25" s="25">
        <v>2.3000000000000003</v>
      </c>
    </row>
    <row r="26" spans="1:83" ht="15.75" customHeight="1" x14ac:dyDescent="0.2">
      <c r="A26" s="15" t="s">
        <v>1072</v>
      </c>
      <c r="B26" s="1">
        <f>COUNTIF('User data'!D:D,A26)</f>
        <v>0</v>
      </c>
      <c r="C26" s="18">
        <v>0</v>
      </c>
      <c r="D26" s="20">
        <f t="shared" si="0"/>
        <v>0</v>
      </c>
      <c r="F26" s="18">
        <f t="array" ref="F26:CE26">$B26*correlation!B26:CA26</f>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v>0</v>
      </c>
      <c r="BJ26" s="25">
        <v>0</v>
      </c>
      <c r="BK26" s="25">
        <v>0</v>
      </c>
      <c r="BL26" s="25">
        <v>0</v>
      </c>
      <c r="BM26" s="25">
        <v>0</v>
      </c>
      <c r="BN26" s="25">
        <v>0</v>
      </c>
      <c r="BO26" s="25">
        <v>0</v>
      </c>
      <c r="BP26" s="25">
        <v>0</v>
      </c>
      <c r="BQ26" s="25">
        <v>0</v>
      </c>
      <c r="BR26" s="25">
        <v>0</v>
      </c>
      <c r="BS26" s="25">
        <v>0</v>
      </c>
      <c r="BT26" s="25">
        <v>0</v>
      </c>
      <c r="BU26" s="25">
        <v>0</v>
      </c>
      <c r="BV26" s="25">
        <v>0</v>
      </c>
      <c r="BW26" s="25">
        <v>0</v>
      </c>
      <c r="BX26" s="25">
        <v>0</v>
      </c>
      <c r="BY26" s="25">
        <v>0</v>
      </c>
      <c r="BZ26" s="25">
        <v>0</v>
      </c>
      <c r="CA26" s="25">
        <v>0</v>
      </c>
      <c r="CB26" s="25">
        <v>0</v>
      </c>
      <c r="CC26" s="25">
        <v>0</v>
      </c>
      <c r="CD26" s="25">
        <v>0</v>
      </c>
      <c r="CE26" s="25">
        <v>0</v>
      </c>
    </row>
    <row r="27" spans="1:83" ht="15.75" customHeight="1" x14ac:dyDescent="0.2">
      <c r="A27" s="15" t="s">
        <v>1082</v>
      </c>
      <c r="B27" s="1">
        <f>COUNTIF('User data'!D:D,A27)</f>
        <v>0</v>
      </c>
      <c r="C27" s="18">
        <v>1.1000000000000001</v>
      </c>
      <c r="D27" s="20">
        <f t="shared" si="0"/>
        <v>1.2278156044201361E-2</v>
      </c>
      <c r="F27" s="18">
        <f t="array" ref="F27:CE27">$B27*correlation!B27:CA27</f>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v>0</v>
      </c>
      <c r="BJ27" s="25">
        <v>0</v>
      </c>
      <c r="BK27" s="25">
        <v>0</v>
      </c>
      <c r="BL27" s="25">
        <v>0</v>
      </c>
      <c r="BM27" s="25">
        <v>0</v>
      </c>
      <c r="BN27" s="25">
        <v>0</v>
      </c>
      <c r="BO27" s="25">
        <v>0</v>
      </c>
      <c r="BP27" s="25">
        <v>0</v>
      </c>
      <c r="BQ27" s="25">
        <v>0</v>
      </c>
      <c r="BR27" s="25">
        <v>0</v>
      </c>
      <c r="BS27" s="25">
        <v>0</v>
      </c>
      <c r="BT27" s="25">
        <v>0</v>
      </c>
      <c r="BU27" s="25">
        <v>0</v>
      </c>
      <c r="BV27" s="25">
        <v>0</v>
      </c>
      <c r="BW27" s="25">
        <v>0</v>
      </c>
      <c r="BX27" s="25">
        <v>0</v>
      </c>
      <c r="BY27" s="25">
        <v>0</v>
      </c>
      <c r="BZ27" s="25">
        <v>0</v>
      </c>
      <c r="CA27" s="25">
        <v>0</v>
      </c>
      <c r="CB27" s="25">
        <v>0</v>
      </c>
      <c r="CC27" s="25">
        <v>0</v>
      </c>
      <c r="CD27" s="25">
        <v>0</v>
      </c>
      <c r="CE27" s="25">
        <v>0</v>
      </c>
    </row>
    <row r="28" spans="1:83" ht="15.75" customHeight="1" x14ac:dyDescent="0.2">
      <c r="A28" s="15" t="s">
        <v>1091</v>
      </c>
      <c r="B28" s="1">
        <f>COUNTIF('User data'!D:D,A28)</f>
        <v>0</v>
      </c>
      <c r="C28" s="18">
        <v>0</v>
      </c>
      <c r="D28" s="20">
        <f t="shared" si="0"/>
        <v>0</v>
      </c>
      <c r="F28" s="18">
        <f t="array" ref="F28:CE28">$B28*correlation!B28:CA28</f>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v>0</v>
      </c>
      <c r="BJ28" s="25">
        <v>0</v>
      </c>
      <c r="BK28" s="25">
        <v>0</v>
      </c>
      <c r="BL28" s="25">
        <v>0</v>
      </c>
      <c r="BM28" s="25">
        <v>0</v>
      </c>
      <c r="BN28" s="25">
        <v>0</v>
      </c>
      <c r="BO28" s="25">
        <v>0</v>
      </c>
      <c r="BP28" s="25">
        <v>0</v>
      </c>
      <c r="BQ28" s="25">
        <v>0</v>
      </c>
      <c r="BR28" s="25">
        <v>0</v>
      </c>
      <c r="BS28" s="25">
        <v>0</v>
      </c>
      <c r="BT28" s="25">
        <v>0</v>
      </c>
      <c r="BU28" s="25">
        <v>0</v>
      </c>
      <c r="BV28" s="25">
        <v>0</v>
      </c>
      <c r="BW28" s="25">
        <v>0</v>
      </c>
      <c r="BX28" s="25">
        <v>0</v>
      </c>
      <c r="BY28" s="25">
        <v>0</v>
      </c>
      <c r="BZ28" s="25">
        <v>0</v>
      </c>
      <c r="CA28" s="25">
        <v>0</v>
      </c>
      <c r="CB28" s="25">
        <v>0</v>
      </c>
      <c r="CC28" s="25">
        <v>0</v>
      </c>
      <c r="CD28" s="25">
        <v>0</v>
      </c>
      <c r="CE28" s="25">
        <v>0</v>
      </c>
    </row>
    <row r="29" spans="1:83" ht="15.75" customHeight="1" x14ac:dyDescent="0.2">
      <c r="A29" s="15" t="s">
        <v>1117</v>
      </c>
      <c r="B29" s="1">
        <f>COUNTIF('User data'!D:D,A29)</f>
        <v>0</v>
      </c>
      <c r="C29" s="18">
        <v>0</v>
      </c>
      <c r="D29" s="20">
        <f t="shared" si="0"/>
        <v>0</v>
      </c>
      <c r="F29" s="18">
        <f t="array" ref="F29:CE29">$B29*correlation!B29:CA29</f>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v>0</v>
      </c>
      <c r="BJ29" s="25">
        <v>0</v>
      </c>
      <c r="BK29" s="25">
        <v>0</v>
      </c>
      <c r="BL29" s="25">
        <v>0</v>
      </c>
      <c r="BM29" s="25">
        <v>0</v>
      </c>
      <c r="BN29" s="25">
        <v>0</v>
      </c>
      <c r="BO29" s="25">
        <v>0</v>
      </c>
      <c r="BP29" s="25">
        <v>0</v>
      </c>
      <c r="BQ29" s="25">
        <v>0</v>
      </c>
      <c r="BR29" s="25">
        <v>0</v>
      </c>
      <c r="BS29" s="25">
        <v>0</v>
      </c>
      <c r="BT29" s="25">
        <v>0</v>
      </c>
      <c r="BU29" s="25">
        <v>0</v>
      </c>
      <c r="BV29" s="25">
        <v>0</v>
      </c>
      <c r="BW29" s="25">
        <v>0</v>
      </c>
      <c r="BX29" s="25">
        <v>0</v>
      </c>
      <c r="BY29" s="25">
        <v>0</v>
      </c>
      <c r="BZ29" s="25">
        <v>0</v>
      </c>
      <c r="CA29" s="25">
        <v>0</v>
      </c>
      <c r="CB29" s="25">
        <v>0</v>
      </c>
      <c r="CC29" s="25">
        <v>0</v>
      </c>
      <c r="CD29" s="25">
        <v>0</v>
      </c>
      <c r="CE29" s="25">
        <v>0</v>
      </c>
    </row>
    <row r="30" spans="1:83" ht="15.75" customHeight="1" x14ac:dyDescent="0.2">
      <c r="A30" s="15" t="s">
        <v>1146</v>
      </c>
      <c r="B30" s="1">
        <f>COUNTIF('User data'!D:D,A30)</f>
        <v>0</v>
      </c>
      <c r="C30" s="18">
        <v>1.73</v>
      </c>
      <c r="D30" s="20">
        <f t="shared" si="0"/>
        <v>1.9310190869516686E-2</v>
      </c>
      <c r="F30" s="18">
        <f t="array" ref="F30:CE30">$B30*correlation!B30:CA30</f>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0</v>
      </c>
      <c r="AZ30" s="25">
        <v>0</v>
      </c>
      <c r="BA30" s="25">
        <v>0</v>
      </c>
      <c r="BB30" s="25">
        <v>0</v>
      </c>
      <c r="BC30" s="25">
        <v>0</v>
      </c>
      <c r="BD30" s="25">
        <v>0</v>
      </c>
      <c r="BE30" s="25">
        <v>0</v>
      </c>
      <c r="BF30" s="25">
        <v>0</v>
      </c>
      <c r="BG30" s="25">
        <v>0</v>
      </c>
      <c r="BH30" s="25">
        <v>0</v>
      </c>
      <c r="BI30" s="25">
        <v>0</v>
      </c>
      <c r="BJ30" s="25">
        <v>0</v>
      </c>
      <c r="BK30" s="25">
        <v>0</v>
      </c>
      <c r="BL30" s="25">
        <v>0</v>
      </c>
      <c r="BM30" s="25">
        <v>0</v>
      </c>
      <c r="BN30" s="25">
        <v>0</v>
      </c>
      <c r="BO30" s="25">
        <v>0</v>
      </c>
      <c r="BP30" s="25">
        <v>0</v>
      </c>
      <c r="BQ30" s="25">
        <v>0</v>
      </c>
      <c r="BR30" s="25">
        <v>0</v>
      </c>
      <c r="BS30" s="25">
        <v>0</v>
      </c>
      <c r="BT30" s="25">
        <v>0</v>
      </c>
      <c r="BU30" s="25">
        <v>0</v>
      </c>
      <c r="BV30" s="25">
        <v>0</v>
      </c>
      <c r="BW30" s="25">
        <v>0</v>
      </c>
      <c r="BX30" s="25">
        <v>0</v>
      </c>
      <c r="BY30" s="25">
        <v>0</v>
      </c>
      <c r="BZ30" s="25">
        <v>0</v>
      </c>
      <c r="CA30" s="25">
        <v>0</v>
      </c>
      <c r="CB30" s="25">
        <v>0</v>
      </c>
      <c r="CC30" s="25">
        <v>0</v>
      </c>
      <c r="CD30" s="25">
        <v>0</v>
      </c>
      <c r="CE30" s="25">
        <v>0</v>
      </c>
    </row>
    <row r="31" spans="1:83" ht="15.75" customHeight="1" x14ac:dyDescent="0.2">
      <c r="A31" s="15" t="s">
        <v>1158</v>
      </c>
      <c r="B31" s="1">
        <f>COUNTIF('User data'!D:D,A31)</f>
        <v>0</v>
      </c>
      <c r="C31" s="18">
        <v>0</v>
      </c>
      <c r="D31" s="20">
        <f t="shared" si="0"/>
        <v>0</v>
      </c>
      <c r="F31" s="18">
        <f t="array" ref="F31:CE31">$B31*correlation!B31:CA31</f>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v>0</v>
      </c>
      <c r="BJ31" s="25">
        <v>0</v>
      </c>
      <c r="BK31" s="25">
        <v>0</v>
      </c>
      <c r="BL31" s="25">
        <v>0</v>
      </c>
      <c r="BM31" s="25">
        <v>0</v>
      </c>
      <c r="BN31" s="25">
        <v>0</v>
      </c>
      <c r="BO31" s="25">
        <v>0</v>
      </c>
      <c r="BP31" s="25">
        <v>0</v>
      </c>
      <c r="BQ31" s="25">
        <v>0</v>
      </c>
      <c r="BR31" s="25">
        <v>0</v>
      </c>
      <c r="BS31" s="25">
        <v>0</v>
      </c>
      <c r="BT31" s="25">
        <v>0</v>
      </c>
      <c r="BU31" s="25">
        <v>0</v>
      </c>
      <c r="BV31" s="25">
        <v>0</v>
      </c>
      <c r="BW31" s="25">
        <v>0</v>
      </c>
      <c r="BX31" s="25">
        <v>0</v>
      </c>
      <c r="BY31" s="25">
        <v>0</v>
      </c>
      <c r="BZ31" s="25">
        <v>0</v>
      </c>
      <c r="CA31" s="25">
        <v>0</v>
      </c>
      <c r="CB31" s="25">
        <v>0</v>
      </c>
      <c r="CC31" s="25">
        <v>0</v>
      </c>
      <c r="CD31" s="25">
        <v>0</v>
      </c>
      <c r="CE31" s="25">
        <v>0</v>
      </c>
    </row>
    <row r="32" spans="1:83" ht="15.75" customHeight="1" x14ac:dyDescent="0.2">
      <c r="A32" s="15" t="s">
        <v>1159</v>
      </c>
      <c r="B32" s="1">
        <f>COUNTIF('User data'!D:D,A32)</f>
        <v>0</v>
      </c>
      <c r="C32" s="18">
        <v>1.7200000000000002</v>
      </c>
      <c r="D32" s="20">
        <f t="shared" si="0"/>
        <v>1.9198571269114856E-2</v>
      </c>
      <c r="F32" s="18">
        <f t="array" ref="F32:CE32">$B32*correlation!B32:CA32</f>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0</v>
      </c>
      <c r="AZ32" s="25">
        <v>0</v>
      </c>
      <c r="BA32" s="25">
        <v>0</v>
      </c>
      <c r="BB32" s="25">
        <v>0</v>
      </c>
      <c r="BC32" s="25">
        <v>0</v>
      </c>
      <c r="BD32" s="25">
        <v>0</v>
      </c>
      <c r="BE32" s="25">
        <v>0</v>
      </c>
      <c r="BF32" s="25">
        <v>0</v>
      </c>
      <c r="BG32" s="25">
        <v>0</v>
      </c>
      <c r="BH32" s="25">
        <v>0</v>
      </c>
      <c r="BI32" s="25">
        <v>0</v>
      </c>
      <c r="BJ32" s="25">
        <v>0</v>
      </c>
      <c r="BK32" s="25">
        <v>0</v>
      </c>
      <c r="BL32" s="25">
        <v>0</v>
      </c>
      <c r="BM32" s="25">
        <v>0</v>
      </c>
      <c r="BN32" s="25">
        <v>0</v>
      </c>
      <c r="BO32" s="25">
        <v>0</v>
      </c>
      <c r="BP32" s="25">
        <v>0</v>
      </c>
      <c r="BQ32" s="25">
        <v>0</v>
      </c>
      <c r="BR32" s="25">
        <v>0</v>
      </c>
      <c r="BS32" s="25">
        <v>0</v>
      </c>
      <c r="BT32" s="25">
        <v>0</v>
      </c>
      <c r="BU32" s="25">
        <v>0</v>
      </c>
      <c r="BV32" s="25">
        <v>0</v>
      </c>
      <c r="BW32" s="25">
        <v>0</v>
      </c>
      <c r="BX32" s="25">
        <v>0</v>
      </c>
      <c r="BY32" s="25">
        <v>0</v>
      </c>
      <c r="BZ32" s="25">
        <v>0</v>
      </c>
      <c r="CA32" s="25">
        <v>0</v>
      </c>
      <c r="CB32" s="25">
        <v>0</v>
      </c>
      <c r="CC32" s="25">
        <v>0</v>
      </c>
      <c r="CD32" s="25">
        <v>0</v>
      </c>
      <c r="CE32" s="25">
        <v>0</v>
      </c>
    </row>
    <row r="33" spans="1:83" ht="15.75" customHeight="1" x14ac:dyDescent="0.2">
      <c r="A33" s="15" t="s">
        <v>1160</v>
      </c>
      <c r="B33" s="1">
        <f>COUNTIF('User data'!D:D,A33)</f>
        <v>0</v>
      </c>
      <c r="C33" s="18">
        <v>0</v>
      </c>
      <c r="D33" s="20">
        <f t="shared" si="0"/>
        <v>0</v>
      </c>
      <c r="F33" s="18">
        <f t="array" ref="F33:CE33">$B33*correlation!B33:CA33</f>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0</v>
      </c>
      <c r="BI33" s="25">
        <v>0</v>
      </c>
      <c r="BJ33" s="25">
        <v>0</v>
      </c>
      <c r="BK33" s="25">
        <v>0</v>
      </c>
      <c r="BL33" s="25">
        <v>0</v>
      </c>
      <c r="BM33" s="25">
        <v>0</v>
      </c>
      <c r="BN33" s="25">
        <v>0</v>
      </c>
      <c r="BO33" s="25">
        <v>0</v>
      </c>
      <c r="BP33" s="25">
        <v>0</v>
      </c>
      <c r="BQ33" s="25">
        <v>0</v>
      </c>
      <c r="BR33" s="25">
        <v>0</v>
      </c>
      <c r="BS33" s="25">
        <v>0</v>
      </c>
      <c r="BT33" s="25">
        <v>0</v>
      </c>
      <c r="BU33" s="25">
        <v>0</v>
      </c>
      <c r="BV33" s="25">
        <v>0</v>
      </c>
      <c r="BW33" s="25">
        <v>0</v>
      </c>
      <c r="BX33" s="25">
        <v>0</v>
      </c>
      <c r="BY33" s="25">
        <v>0</v>
      </c>
      <c r="BZ33" s="25">
        <v>0</v>
      </c>
      <c r="CA33" s="25">
        <v>0</v>
      </c>
      <c r="CB33" s="25">
        <v>0</v>
      </c>
      <c r="CC33" s="25">
        <v>0</v>
      </c>
      <c r="CD33" s="25">
        <v>0</v>
      </c>
      <c r="CE33" s="25">
        <v>0</v>
      </c>
    </row>
    <row r="34" spans="1:83" ht="15.75" customHeight="1" x14ac:dyDescent="0.2">
      <c r="A34" s="15" t="s">
        <v>1161</v>
      </c>
      <c r="B34" s="1">
        <f>COUNTIF('User data'!D:D,A34)</f>
        <v>0</v>
      </c>
      <c r="C34" s="18">
        <v>0</v>
      </c>
      <c r="D34" s="20">
        <f t="shared" si="0"/>
        <v>0</v>
      </c>
      <c r="F34" s="18">
        <f t="array" ref="F34:CE34">$B34*correlation!B34:CA34</f>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v>0</v>
      </c>
      <c r="BJ34" s="25">
        <v>0</v>
      </c>
      <c r="BK34" s="25">
        <v>0</v>
      </c>
      <c r="BL34" s="25">
        <v>0</v>
      </c>
      <c r="BM34" s="25">
        <v>0</v>
      </c>
      <c r="BN34" s="25">
        <v>0</v>
      </c>
      <c r="BO34" s="25">
        <v>0</v>
      </c>
      <c r="BP34" s="25">
        <v>0</v>
      </c>
      <c r="BQ34" s="25">
        <v>0</v>
      </c>
      <c r="BR34" s="25">
        <v>0</v>
      </c>
      <c r="BS34" s="25">
        <v>0</v>
      </c>
      <c r="BT34" s="25">
        <v>0</v>
      </c>
      <c r="BU34" s="25">
        <v>0</v>
      </c>
      <c r="BV34" s="25">
        <v>0</v>
      </c>
      <c r="BW34" s="25">
        <v>0</v>
      </c>
      <c r="BX34" s="25">
        <v>0</v>
      </c>
      <c r="BY34" s="25">
        <v>0</v>
      </c>
      <c r="BZ34" s="25">
        <v>0</v>
      </c>
      <c r="CA34" s="25">
        <v>0</v>
      </c>
      <c r="CB34" s="25">
        <v>0</v>
      </c>
      <c r="CC34" s="25">
        <v>0</v>
      </c>
      <c r="CD34" s="25">
        <v>0</v>
      </c>
      <c r="CE34" s="25">
        <v>0</v>
      </c>
    </row>
    <row r="35" spans="1:83" ht="15.75" customHeight="1" x14ac:dyDescent="0.2">
      <c r="A35" s="15" t="s">
        <v>1162</v>
      </c>
      <c r="B35" s="1">
        <f>COUNTIF('User data'!D:D,A35)</f>
        <v>0</v>
      </c>
      <c r="C35" s="18">
        <v>2.42</v>
      </c>
      <c r="D35" s="20">
        <f t="shared" si="0"/>
        <v>2.7011943297242994E-2</v>
      </c>
      <c r="F35" s="18">
        <f t="array" ref="F35:CE35">$B35*correlation!B35:CA35</f>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v>0</v>
      </c>
      <c r="BJ35" s="25">
        <v>0</v>
      </c>
      <c r="BK35" s="25">
        <v>0</v>
      </c>
      <c r="BL35" s="25">
        <v>0</v>
      </c>
      <c r="BM35" s="25">
        <v>0</v>
      </c>
      <c r="BN35" s="25">
        <v>0</v>
      </c>
      <c r="BO35" s="25">
        <v>0</v>
      </c>
      <c r="BP35" s="25">
        <v>0</v>
      </c>
      <c r="BQ35" s="25">
        <v>0</v>
      </c>
      <c r="BR35" s="25">
        <v>0</v>
      </c>
      <c r="BS35" s="25">
        <v>0</v>
      </c>
      <c r="BT35" s="25">
        <v>0</v>
      </c>
      <c r="BU35" s="25">
        <v>0</v>
      </c>
      <c r="BV35" s="25">
        <v>0</v>
      </c>
      <c r="BW35" s="25">
        <v>0</v>
      </c>
      <c r="BX35" s="25">
        <v>0</v>
      </c>
      <c r="BY35" s="25">
        <v>0</v>
      </c>
      <c r="BZ35" s="25">
        <v>0</v>
      </c>
      <c r="CA35" s="25">
        <v>0</v>
      </c>
      <c r="CB35" s="25">
        <v>0</v>
      </c>
      <c r="CC35" s="25">
        <v>0</v>
      </c>
      <c r="CD35" s="25">
        <v>0</v>
      </c>
      <c r="CE35" s="25">
        <v>0</v>
      </c>
    </row>
    <row r="36" spans="1:83" ht="15.75" customHeight="1" x14ac:dyDescent="0.2">
      <c r="A36" s="15" t="s">
        <v>1163</v>
      </c>
      <c r="B36" s="1">
        <f>COUNTIF('User data'!D:D,A36)</f>
        <v>0</v>
      </c>
      <c r="C36" s="18">
        <v>1.2</v>
      </c>
      <c r="D36" s="20">
        <f t="shared" si="0"/>
        <v>1.3394352048219666E-2</v>
      </c>
      <c r="F36" s="18">
        <f t="array" ref="F36:CE36">$B36*correlation!B36:CA36</f>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v>0</v>
      </c>
      <c r="BA36" s="25">
        <v>0</v>
      </c>
      <c r="BB36" s="25">
        <v>0</v>
      </c>
      <c r="BC36" s="25">
        <v>0</v>
      </c>
      <c r="BD36" s="25">
        <v>0</v>
      </c>
      <c r="BE36" s="25">
        <v>0</v>
      </c>
      <c r="BF36" s="25">
        <v>0</v>
      </c>
      <c r="BG36" s="25">
        <v>0</v>
      </c>
      <c r="BH36" s="25">
        <v>0</v>
      </c>
      <c r="BI36" s="25">
        <v>0</v>
      </c>
      <c r="BJ36" s="25">
        <v>0</v>
      </c>
      <c r="BK36" s="25">
        <v>0</v>
      </c>
      <c r="BL36" s="25">
        <v>0</v>
      </c>
      <c r="BM36" s="25">
        <v>0</v>
      </c>
      <c r="BN36" s="25">
        <v>0</v>
      </c>
      <c r="BO36" s="25">
        <v>0</v>
      </c>
      <c r="BP36" s="25">
        <v>0</v>
      </c>
      <c r="BQ36" s="25">
        <v>0</v>
      </c>
      <c r="BR36" s="25">
        <v>0</v>
      </c>
      <c r="BS36" s="25">
        <v>0</v>
      </c>
      <c r="BT36" s="25">
        <v>0</v>
      </c>
      <c r="BU36" s="25">
        <v>0</v>
      </c>
      <c r="BV36" s="25">
        <v>0</v>
      </c>
      <c r="BW36" s="25">
        <v>0</v>
      </c>
      <c r="BX36" s="25">
        <v>0</v>
      </c>
      <c r="BY36" s="25">
        <v>0</v>
      </c>
      <c r="BZ36" s="25">
        <v>0</v>
      </c>
      <c r="CA36" s="25">
        <v>0</v>
      </c>
      <c r="CB36" s="25">
        <v>0</v>
      </c>
      <c r="CC36" s="25">
        <v>0</v>
      </c>
      <c r="CD36" s="25">
        <v>0</v>
      </c>
      <c r="CE36" s="25">
        <v>0</v>
      </c>
    </row>
    <row r="37" spans="1:83" ht="15.75" customHeight="1" x14ac:dyDescent="0.2">
      <c r="A37" s="15" t="s">
        <v>1164</v>
      </c>
      <c r="B37" s="1">
        <f>COUNTIF('User data'!D:D,A37)</f>
        <v>0</v>
      </c>
      <c r="C37" s="18">
        <v>2.5099999999999998</v>
      </c>
      <c r="D37" s="20">
        <f t="shared" si="0"/>
        <v>2.8016519700859468E-2</v>
      </c>
      <c r="F37" s="18">
        <f t="array" ref="F37:CE37">$B37*correlation!B37:CA37</f>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0</v>
      </c>
      <c r="BH37" s="25">
        <v>0</v>
      </c>
      <c r="BI37" s="25">
        <v>0</v>
      </c>
      <c r="BJ37" s="25">
        <v>0</v>
      </c>
      <c r="BK37" s="25">
        <v>0</v>
      </c>
      <c r="BL37" s="25">
        <v>0</v>
      </c>
      <c r="BM37" s="25">
        <v>0</v>
      </c>
      <c r="BN37" s="25">
        <v>0</v>
      </c>
      <c r="BO37" s="25">
        <v>0</v>
      </c>
      <c r="BP37" s="25">
        <v>0</v>
      </c>
      <c r="BQ37" s="25">
        <v>0</v>
      </c>
      <c r="BR37" s="25">
        <v>0</v>
      </c>
      <c r="BS37" s="25">
        <v>0</v>
      </c>
      <c r="BT37" s="25">
        <v>0</v>
      </c>
      <c r="BU37" s="25">
        <v>0</v>
      </c>
      <c r="BV37" s="25">
        <v>0</v>
      </c>
      <c r="BW37" s="25">
        <v>0</v>
      </c>
      <c r="BX37" s="25">
        <v>0</v>
      </c>
      <c r="BY37" s="25">
        <v>0</v>
      </c>
      <c r="BZ37" s="25">
        <v>0</v>
      </c>
      <c r="CA37" s="25">
        <v>0</v>
      </c>
      <c r="CB37" s="25">
        <v>0</v>
      </c>
      <c r="CC37" s="25">
        <v>0</v>
      </c>
      <c r="CD37" s="25">
        <v>0</v>
      </c>
      <c r="CE37" s="25">
        <v>0</v>
      </c>
    </row>
    <row r="38" spans="1:83" ht="15.75" customHeight="1" x14ac:dyDescent="0.2">
      <c r="A38" s="15" t="s">
        <v>1165</v>
      </c>
      <c r="B38" s="1">
        <f>COUNTIF('User data'!D:D,A38)</f>
        <v>0</v>
      </c>
      <c r="C38" s="18">
        <v>0</v>
      </c>
      <c r="D38" s="20">
        <f t="shared" si="0"/>
        <v>0</v>
      </c>
      <c r="F38" s="18">
        <f t="array" ref="F38:CE38">$B38*correlation!B38:CA38</f>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v>0</v>
      </c>
      <c r="BJ38" s="25">
        <v>0</v>
      </c>
      <c r="BK38" s="25">
        <v>0</v>
      </c>
      <c r="BL38" s="25">
        <v>0</v>
      </c>
      <c r="BM38" s="25">
        <v>0</v>
      </c>
      <c r="BN38" s="25">
        <v>0</v>
      </c>
      <c r="BO38" s="25">
        <v>0</v>
      </c>
      <c r="BP38" s="25">
        <v>0</v>
      </c>
      <c r="BQ38" s="25">
        <v>0</v>
      </c>
      <c r="BR38" s="25">
        <v>0</v>
      </c>
      <c r="BS38" s="25">
        <v>0</v>
      </c>
      <c r="BT38" s="25">
        <v>0</v>
      </c>
      <c r="BU38" s="25">
        <v>0</v>
      </c>
      <c r="BV38" s="25">
        <v>0</v>
      </c>
      <c r="BW38" s="25">
        <v>0</v>
      </c>
      <c r="BX38" s="25">
        <v>0</v>
      </c>
      <c r="BY38" s="25">
        <v>0</v>
      </c>
      <c r="BZ38" s="25">
        <v>0</v>
      </c>
      <c r="CA38" s="25">
        <v>0</v>
      </c>
      <c r="CB38" s="25">
        <v>0</v>
      </c>
      <c r="CC38" s="25">
        <v>0</v>
      </c>
      <c r="CD38" s="25">
        <v>0</v>
      </c>
      <c r="CE38" s="25">
        <v>0</v>
      </c>
    </row>
    <row r="39" spans="1:83" ht="15.75" customHeight="1" x14ac:dyDescent="0.2">
      <c r="A39" s="15" t="s">
        <v>1166</v>
      </c>
      <c r="B39" s="1">
        <f>COUNTIF('User data'!D:D,A39)</f>
        <v>0</v>
      </c>
      <c r="C39" s="18">
        <v>0</v>
      </c>
      <c r="D39" s="20">
        <f t="shared" si="0"/>
        <v>0</v>
      </c>
      <c r="F39" s="18">
        <f t="array" ref="F39:CE39">$B39*correlation!B39:CA39</f>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v>0</v>
      </c>
      <c r="BJ39" s="25">
        <v>0</v>
      </c>
      <c r="BK39" s="25">
        <v>0</v>
      </c>
      <c r="BL39" s="25">
        <v>0</v>
      </c>
      <c r="BM39" s="25">
        <v>0</v>
      </c>
      <c r="BN39" s="25">
        <v>0</v>
      </c>
      <c r="BO39" s="25">
        <v>0</v>
      </c>
      <c r="BP39" s="25">
        <v>0</v>
      </c>
      <c r="BQ39" s="25">
        <v>0</v>
      </c>
      <c r="BR39" s="25">
        <v>0</v>
      </c>
      <c r="BS39" s="25">
        <v>0</v>
      </c>
      <c r="BT39" s="25">
        <v>0</v>
      </c>
      <c r="BU39" s="25">
        <v>0</v>
      </c>
      <c r="BV39" s="25">
        <v>0</v>
      </c>
      <c r="BW39" s="25">
        <v>0</v>
      </c>
      <c r="BX39" s="25">
        <v>0</v>
      </c>
      <c r="BY39" s="25">
        <v>0</v>
      </c>
      <c r="BZ39" s="25">
        <v>0</v>
      </c>
      <c r="CA39" s="25">
        <v>0</v>
      </c>
      <c r="CB39" s="25">
        <v>0</v>
      </c>
      <c r="CC39" s="25">
        <v>0</v>
      </c>
      <c r="CD39" s="25">
        <v>0</v>
      </c>
      <c r="CE39" s="25">
        <v>0</v>
      </c>
    </row>
    <row r="40" spans="1:83" ht="15.75" customHeight="1" x14ac:dyDescent="0.2">
      <c r="A40" s="15" t="s">
        <v>1167</v>
      </c>
      <c r="B40" s="1">
        <f>COUNTIF('User data'!D:D,A40)</f>
        <v>0</v>
      </c>
      <c r="C40" s="18">
        <v>0</v>
      </c>
      <c r="D40" s="20">
        <f t="shared" si="0"/>
        <v>0</v>
      </c>
      <c r="F40" s="18">
        <f t="array" ref="F40:CE40">$B40*correlation!B40:CA40</f>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v>0</v>
      </c>
      <c r="BJ40" s="25">
        <v>0</v>
      </c>
      <c r="BK40" s="25">
        <v>0</v>
      </c>
      <c r="BL40" s="25">
        <v>0</v>
      </c>
      <c r="BM40" s="25">
        <v>0</v>
      </c>
      <c r="BN40" s="25">
        <v>0</v>
      </c>
      <c r="BO40" s="25">
        <v>0</v>
      </c>
      <c r="BP40" s="25">
        <v>0</v>
      </c>
      <c r="BQ40" s="25">
        <v>0</v>
      </c>
      <c r="BR40" s="25">
        <v>0</v>
      </c>
      <c r="BS40" s="25">
        <v>0</v>
      </c>
      <c r="BT40" s="25">
        <v>0</v>
      </c>
      <c r="BU40" s="25">
        <v>0</v>
      </c>
      <c r="BV40" s="25">
        <v>0</v>
      </c>
      <c r="BW40" s="25">
        <v>0</v>
      </c>
      <c r="BX40" s="25">
        <v>0</v>
      </c>
      <c r="BY40" s="25">
        <v>0</v>
      </c>
      <c r="BZ40" s="25">
        <v>0</v>
      </c>
      <c r="CA40" s="25">
        <v>0</v>
      </c>
      <c r="CB40" s="25">
        <v>0</v>
      </c>
      <c r="CC40" s="25">
        <v>0</v>
      </c>
      <c r="CD40" s="25">
        <v>0</v>
      </c>
      <c r="CE40" s="25">
        <v>0</v>
      </c>
    </row>
    <row r="41" spans="1:83" ht="15.75" customHeight="1" x14ac:dyDescent="0.2">
      <c r="A41" s="15" t="s">
        <v>1168</v>
      </c>
      <c r="B41" s="1">
        <f>COUNTIF('User data'!D:D,A41)</f>
        <v>0</v>
      </c>
      <c r="C41" s="18">
        <v>0.22</v>
      </c>
      <c r="D41" s="20">
        <f t="shared" si="0"/>
        <v>2.4556312088402721E-3</v>
      </c>
      <c r="F41" s="18">
        <f t="array" ref="F41:CE41">$B41*correlation!B41:CA41</f>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v>0</v>
      </c>
      <c r="BJ41" s="25">
        <v>0</v>
      </c>
      <c r="BK41" s="25">
        <v>0</v>
      </c>
      <c r="BL41" s="25">
        <v>0</v>
      </c>
      <c r="BM41" s="25">
        <v>0</v>
      </c>
      <c r="BN41" s="25">
        <v>0</v>
      </c>
      <c r="BO41" s="25">
        <v>0</v>
      </c>
      <c r="BP41" s="25">
        <v>0</v>
      </c>
      <c r="BQ41" s="25">
        <v>0</v>
      </c>
      <c r="BR41" s="25">
        <v>0</v>
      </c>
      <c r="BS41" s="25">
        <v>0</v>
      </c>
      <c r="BT41" s="25">
        <v>0</v>
      </c>
      <c r="BU41" s="25">
        <v>0</v>
      </c>
      <c r="BV41" s="25">
        <v>0</v>
      </c>
      <c r="BW41" s="25">
        <v>0</v>
      </c>
      <c r="BX41" s="25">
        <v>0</v>
      </c>
      <c r="BY41" s="25">
        <v>0</v>
      </c>
      <c r="BZ41" s="25">
        <v>0</v>
      </c>
      <c r="CA41" s="25">
        <v>0</v>
      </c>
      <c r="CB41" s="25">
        <v>0</v>
      </c>
      <c r="CC41" s="25">
        <v>0</v>
      </c>
      <c r="CD41" s="25">
        <v>0</v>
      </c>
      <c r="CE41" s="25">
        <v>0</v>
      </c>
    </row>
    <row r="42" spans="1:83" ht="15.75" customHeight="1" x14ac:dyDescent="0.2">
      <c r="A42" s="15" t="s">
        <v>1169</v>
      </c>
      <c r="B42" s="1">
        <f>COUNTIF('User data'!D:D,A42)</f>
        <v>0</v>
      </c>
      <c r="C42" s="18">
        <v>2.3699999999999997</v>
      </c>
      <c r="D42" s="20">
        <f t="shared" si="0"/>
        <v>2.6453845295233838E-2</v>
      </c>
      <c r="F42" s="18">
        <f t="array" ref="F42:CE42">$B42*correlation!B42:CA42</f>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v>0</v>
      </c>
      <c r="BJ42" s="25">
        <v>0</v>
      </c>
      <c r="BK42" s="25">
        <v>0</v>
      </c>
      <c r="BL42" s="25">
        <v>0</v>
      </c>
      <c r="BM42" s="25">
        <v>0</v>
      </c>
      <c r="BN42" s="25">
        <v>0</v>
      </c>
      <c r="BO42" s="25">
        <v>0</v>
      </c>
      <c r="BP42" s="25">
        <v>0</v>
      </c>
      <c r="BQ42" s="25">
        <v>0</v>
      </c>
      <c r="BR42" s="25">
        <v>0</v>
      </c>
      <c r="BS42" s="25">
        <v>0</v>
      </c>
      <c r="BT42" s="25">
        <v>0</v>
      </c>
      <c r="BU42" s="25">
        <v>0</v>
      </c>
      <c r="BV42" s="25">
        <v>0</v>
      </c>
      <c r="BW42" s="25">
        <v>0</v>
      </c>
      <c r="BX42" s="25">
        <v>0</v>
      </c>
      <c r="BY42" s="25">
        <v>0</v>
      </c>
      <c r="BZ42" s="25">
        <v>0</v>
      </c>
      <c r="CA42" s="25">
        <v>0</v>
      </c>
      <c r="CB42" s="25">
        <v>0</v>
      </c>
      <c r="CC42" s="25">
        <v>0</v>
      </c>
      <c r="CD42" s="25">
        <v>0</v>
      </c>
      <c r="CE42" s="25">
        <v>0</v>
      </c>
    </row>
    <row r="43" spans="1:83" ht="15.75" customHeight="1" x14ac:dyDescent="0.2">
      <c r="A43" s="15" t="s">
        <v>1170</v>
      </c>
      <c r="B43" s="1">
        <f>COUNTIF('User data'!D:D,A43)</f>
        <v>0</v>
      </c>
      <c r="C43" s="18">
        <v>0</v>
      </c>
      <c r="D43" s="20">
        <f t="shared" si="0"/>
        <v>0</v>
      </c>
      <c r="F43" s="18">
        <f t="array" ref="F43:CE43">$B43*correlation!B43:CA43</f>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0</v>
      </c>
      <c r="BB43" s="25">
        <v>0</v>
      </c>
      <c r="BC43" s="25">
        <v>0</v>
      </c>
      <c r="BD43" s="25">
        <v>0</v>
      </c>
      <c r="BE43" s="25">
        <v>0</v>
      </c>
      <c r="BF43" s="25">
        <v>0</v>
      </c>
      <c r="BG43" s="25">
        <v>0</v>
      </c>
      <c r="BH43" s="25">
        <v>0</v>
      </c>
      <c r="BI43" s="25">
        <v>0</v>
      </c>
      <c r="BJ43" s="25">
        <v>0</v>
      </c>
      <c r="BK43" s="25">
        <v>0</v>
      </c>
      <c r="BL43" s="25">
        <v>0</v>
      </c>
      <c r="BM43" s="25">
        <v>0</v>
      </c>
      <c r="BN43" s="25">
        <v>0</v>
      </c>
      <c r="BO43" s="25">
        <v>0</v>
      </c>
      <c r="BP43" s="25">
        <v>0</v>
      </c>
      <c r="BQ43" s="25">
        <v>0</v>
      </c>
      <c r="BR43" s="25">
        <v>0</v>
      </c>
      <c r="BS43" s="25">
        <v>0</v>
      </c>
      <c r="BT43" s="25">
        <v>0</v>
      </c>
      <c r="BU43" s="25">
        <v>0</v>
      </c>
      <c r="BV43" s="25">
        <v>0</v>
      </c>
      <c r="BW43" s="25">
        <v>0</v>
      </c>
      <c r="BX43" s="25">
        <v>0</v>
      </c>
      <c r="BY43" s="25">
        <v>0</v>
      </c>
      <c r="BZ43" s="25">
        <v>0</v>
      </c>
      <c r="CA43" s="25">
        <v>0</v>
      </c>
      <c r="CB43" s="25">
        <v>0</v>
      </c>
      <c r="CC43" s="25">
        <v>0</v>
      </c>
      <c r="CD43" s="25">
        <v>0</v>
      </c>
      <c r="CE43" s="25">
        <v>0</v>
      </c>
    </row>
    <row r="44" spans="1:83" ht="14.25" x14ac:dyDescent="0.2">
      <c r="A44" s="15" t="s">
        <v>1171</v>
      </c>
      <c r="B44" s="1">
        <f>COUNTIF('User data'!D:D,A44)</f>
        <v>0</v>
      </c>
      <c r="C44" s="18">
        <v>1.27</v>
      </c>
      <c r="D44" s="20">
        <f t="shared" si="0"/>
        <v>1.4175689251032481E-2</v>
      </c>
      <c r="F44" s="18">
        <f t="array" ref="F44:CE44">$B44*correlation!B44:CA44</f>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v>0</v>
      </c>
      <c r="BA44" s="25">
        <v>0</v>
      </c>
      <c r="BB44" s="25">
        <v>0</v>
      </c>
      <c r="BC44" s="25">
        <v>0</v>
      </c>
      <c r="BD44" s="25">
        <v>0</v>
      </c>
      <c r="BE44" s="25">
        <v>0</v>
      </c>
      <c r="BF44" s="25">
        <v>0</v>
      </c>
      <c r="BG44" s="25">
        <v>0</v>
      </c>
      <c r="BH44" s="25">
        <v>0</v>
      </c>
      <c r="BI44" s="25">
        <v>0</v>
      </c>
      <c r="BJ44" s="25">
        <v>0</v>
      </c>
      <c r="BK44" s="25">
        <v>0</v>
      </c>
      <c r="BL44" s="25">
        <v>0</v>
      </c>
      <c r="BM44" s="25">
        <v>0</v>
      </c>
      <c r="BN44" s="25">
        <v>0</v>
      </c>
      <c r="BO44" s="25">
        <v>0</v>
      </c>
      <c r="BP44" s="25">
        <v>0</v>
      </c>
      <c r="BQ44" s="25">
        <v>0</v>
      </c>
      <c r="BR44" s="25">
        <v>0</v>
      </c>
      <c r="BS44" s="25">
        <v>0</v>
      </c>
      <c r="BT44" s="25">
        <v>0</v>
      </c>
      <c r="BU44" s="25">
        <v>0</v>
      </c>
      <c r="BV44" s="25">
        <v>0</v>
      </c>
      <c r="BW44" s="25">
        <v>0</v>
      </c>
      <c r="BX44" s="25">
        <v>0</v>
      </c>
      <c r="BY44" s="25">
        <v>0</v>
      </c>
      <c r="BZ44" s="25">
        <v>0</v>
      </c>
      <c r="CA44" s="25">
        <v>0</v>
      </c>
      <c r="CB44" s="25">
        <v>0</v>
      </c>
      <c r="CC44" s="25">
        <v>0</v>
      </c>
      <c r="CD44" s="25">
        <v>0</v>
      </c>
      <c r="CE44" s="25">
        <v>0</v>
      </c>
    </row>
    <row r="45" spans="1:83" ht="14.25" x14ac:dyDescent="0.2">
      <c r="A45" s="15" t="s">
        <v>1172</v>
      </c>
      <c r="B45" s="1">
        <f>COUNTIF('User data'!D:D,A45)</f>
        <v>0</v>
      </c>
      <c r="C45" s="18">
        <v>3.2099999999999995</v>
      </c>
      <c r="D45" s="20">
        <f t="shared" si="0"/>
        <v>3.5829891728987602E-2</v>
      </c>
      <c r="F45" s="18">
        <f t="array" ref="F45:CE45">$B45*correlation!B45:CA45</f>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0</v>
      </c>
      <c r="BE45" s="25">
        <v>0</v>
      </c>
      <c r="BF45" s="25">
        <v>0</v>
      </c>
      <c r="BG45" s="25">
        <v>0</v>
      </c>
      <c r="BH45" s="25">
        <v>0</v>
      </c>
      <c r="BI45" s="25">
        <v>0</v>
      </c>
      <c r="BJ45" s="25">
        <v>0</v>
      </c>
      <c r="BK45" s="25">
        <v>0</v>
      </c>
      <c r="BL45" s="25">
        <v>0</v>
      </c>
      <c r="BM45" s="25">
        <v>0</v>
      </c>
      <c r="BN45" s="25">
        <v>0</v>
      </c>
      <c r="BO45" s="25">
        <v>0</v>
      </c>
      <c r="BP45" s="25">
        <v>0</v>
      </c>
      <c r="BQ45" s="25">
        <v>0</v>
      </c>
      <c r="BR45" s="25">
        <v>0</v>
      </c>
      <c r="BS45" s="25">
        <v>0</v>
      </c>
      <c r="BT45" s="25">
        <v>0</v>
      </c>
      <c r="BU45" s="25">
        <v>0</v>
      </c>
      <c r="BV45" s="25">
        <v>0</v>
      </c>
      <c r="BW45" s="25">
        <v>0</v>
      </c>
      <c r="BX45" s="25">
        <v>0</v>
      </c>
      <c r="BY45" s="25">
        <v>0</v>
      </c>
      <c r="BZ45" s="25">
        <v>0</v>
      </c>
      <c r="CA45" s="25">
        <v>0</v>
      </c>
      <c r="CB45" s="25">
        <v>0</v>
      </c>
      <c r="CC45" s="25">
        <v>0</v>
      </c>
      <c r="CD45" s="25">
        <v>0</v>
      </c>
      <c r="CE45" s="25">
        <v>0</v>
      </c>
    </row>
    <row r="46" spans="1:83" ht="14.25" x14ac:dyDescent="0.2">
      <c r="A46" s="15" t="s">
        <v>1173</v>
      </c>
      <c r="B46" s="1">
        <f>COUNTIF('User data'!D:D,A46)</f>
        <v>1</v>
      </c>
      <c r="C46" s="18">
        <v>3.96</v>
      </c>
      <c r="D46" s="20">
        <f t="shared" si="0"/>
        <v>4.4201361759124903E-2</v>
      </c>
      <c r="F46" s="18">
        <f t="array" ref="F46:CE46">$B46*correlation!B46:CA46</f>
        <v>0</v>
      </c>
      <c r="G46" s="25">
        <v>0</v>
      </c>
      <c r="H46" s="25">
        <v>0.41</v>
      </c>
      <c r="I46" s="25">
        <v>0.41</v>
      </c>
      <c r="J46" s="25">
        <v>0</v>
      </c>
      <c r="K46" s="25">
        <v>0</v>
      </c>
      <c r="L46" s="25">
        <v>0</v>
      </c>
      <c r="M46" s="25">
        <v>0.51</v>
      </c>
      <c r="N46" s="25">
        <v>0</v>
      </c>
      <c r="O46" s="25">
        <v>0</v>
      </c>
      <c r="P46" s="25">
        <v>0</v>
      </c>
      <c r="Q46" s="25">
        <v>0.31</v>
      </c>
      <c r="R46" s="25">
        <v>0</v>
      </c>
      <c r="S46" s="25">
        <v>0</v>
      </c>
      <c r="T46" s="25">
        <v>0.2</v>
      </c>
      <c r="U46" s="25">
        <v>0.39</v>
      </c>
      <c r="V46" s="25">
        <v>0</v>
      </c>
      <c r="W46" s="25">
        <v>0</v>
      </c>
      <c r="X46" s="25">
        <v>0</v>
      </c>
      <c r="Y46" s="25">
        <v>0.34</v>
      </c>
      <c r="Z46" s="25">
        <v>0</v>
      </c>
      <c r="AA46" s="25">
        <v>0</v>
      </c>
      <c r="AB46" s="25">
        <v>0</v>
      </c>
      <c r="AC46" s="25">
        <v>0.49</v>
      </c>
      <c r="AD46" s="25">
        <v>0</v>
      </c>
      <c r="AE46" s="25">
        <v>0</v>
      </c>
      <c r="AF46" s="25">
        <v>0</v>
      </c>
      <c r="AG46" s="25">
        <v>0</v>
      </c>
      <c r="AH46" s="25">
        <v>0.26</v>
      </c>
      <c r="AI46" s="25">
        <v>0</v>
      </c>
      <c r="AJ46" s="25">
        <v>0.28999999999999998</v>
      </c>
      <c r="AK46" s="25">
        <v>0</v>
      </c>
      <c r="AL46" s="25">
        <v>0</v>
      </c>
      <c r="AM46" s="25">
        <v>0.27</v>
      </c>
      <c r="AN46" s="25">
        <v>0</v>
      </c>
      <c r="AO46" s="25">
        <v>0.47</v>
      </c>
      <c r="AP46" s="25">
        <v>0</v>
      </c>
      <c r="AQ46" s="25">
        <v>0</v>
      </c>
      <c r="AR46" s="25">
        <v>0</v>
      </c>
      <c r="AS46" s="25">
        <v>0.22</v>
      </c>
      <c r="AT46" s="25">
        <v>0.23</v>
      </c>
      <c r="AU46" s="25">
        <v>0</v>
      </c>
      <c r="AV46" s="25">
        <v>0</v>
      </c>
      <c r="AW46" s="25">
        <v>0.4</v>
      </c>
      <c r="AX46" s="25">
        <v>1</v>
      </c>
      <c r="AY46" s="25">
        <v>0.52</v>
      </c>
      <c r="AZ46" s="25">
        <v>0</v>
      </c>
      <c r="BA46" s="25">
        <v>0</v>
      </c>
      <c r="BB46" s="25">
        <v>0.23</v>
      </c>
      <c r="BC46" s="25">
        <v>0.48</v>
      </c>
      <c r="BD46" s="25">
        <v>0.23</v>
      </c>
      <c r="BE46" s="25">
        <v>0.34</v>
      </c>
      <c r="BF46" s="25">
        <v>0.37</v>
      </c>
      <c r="BG46" s="25">
        <v>0.23</v>
      </c>
      <c r="BH46" s="25">
        <v>0</v>
      </c>
      <c r="BI46" s="25">
        <v>0</v>
      </c>
      <c r="BJ46" s="25">
        <v>0</v>
      </c>
      <c r="BK46" s="25">
        <v>0</v>
      </c>
      <c r="BL46" s="25">
        <v>0</v>
      </c>
      <c r="BM46" s="25">
        <v>0</v>
      </c>
      <c r="BN46" s="25">
        <v>0</v>
      </c>
      <c r="BO46" s="25">
        <v>0</v>
      </c>
      <c r="BP46" s="25">
        <v>0.26</v>
      </c>
      <c r="BQ46" s="25">
        <v>0</v>
      </c>
      <c r="BR46" s="25">
        <v>0</v>
      </c>
      <c r="BS46" s="25">
        <v>0</v>
      </c>
      <c r="BT46" s="25">
        <v>0</v>
      </c>
      <c r="BU46" s="25">
        <v>0.24</v>
      </c>
      <c r="BV46" s="25">
        <v>0.39</v>
      </c>
      <c r="BW46" s="25">
        <v>0.37</v>
      </c>
      <c r="BX46" s="25">
        <v>0.27</v>
      </c>
      <c r="BY46" s="25">
        <v>0.44</v>
      </c>
      <c r="BZ46" s="25">
        <v>0</v>
      </c>
      <c r="CA46" s="25">
        <v>0</v>
      </c>
      <c r="CB46" s="25">
        <v>0</v>
      </c>
      <c r="CC46" s="25">
        <v>0.22</v>
      </c>
      <c r="CD46" s="25">
        <v>0.31</v>
      </c>
      <c r="CE46" s="25">
        <v>0.44</v>
      </c>
    </row>
    <row r="47" spans="1:83" ht="14.25" x14ac:dyDescent="0.2">
      <c r="A47" s="15" t="s">
        <v>1174</v>
      </c>
      <c r="B47" s="1">
        <f>COUNTIF('User data'!D:D,A47)</f>
        <v>0</v>
      </c>
      <c r="C47" s="18">
        <v>2.83</v>
      </c>
      <c r="D47" s="20">
        <f t="shared" si="0"/>
        <v>3.1588346913718049E-2</v>
      </c>
      <c r="F47" s="18">
        <f t="array" ref="F47:CE47">$B47*correlation!B47:CA47</f>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0</v>
      </c>
      <c r="BC47" s="25">
        <v>0</v>
      </c>
      <c r="BD47" s="25">
        <v>0</v>
      </c>
      <c r="BE47" s="25">
        <v>0</v>
      </c>
      <c r="BF47" s="25">
        <v>0</v>
      </c>
      <c r="BG47" s="25">
        <v>0</v>
      </c>
      <c r="BH47" s="25">
        <v>0</v>
      </c>
      <c r="BI47" s="25">
        <v>0</v>
      </c>
      <c r="BJ47" s="25">
        <v>0</v>
      </c>
      <c r="BK47" s="25">
        <v>0</v>
      </c>
      <c r="BL47" s="25">
        <v>0</v>
      </c>
      <c r="BM47" s="25">
        <v>0</v>
      </c>
      <c r="BN47" s="25">
        <v>0</v>
      </c>
      <c r="BO47" s="25">
        <v>0</v>
      </c>
      <c r="BP47" s="25">
        <v>0</v>
      </c>
      <c r="BQ47" s="25">
        <v>0</v>
      </c>
      <c r="BR47" s="25">
        <v>0</v>
      </c>
      <c r="BS47" s="25">
        <v>0</v>
      </c>
      <c r="BT47" s="25">
        <v>0</v>
      </c>
      <c r="BU47" s="25">
        <v>0</v>
      </c>
      <c r="BV47" s="25">
        <v>0</v>
      </c>
      <c r="BW47" s="25">
        <v>0</v>
      </c>
      <c r="BX47" s="25">
        <v>0</v>
      </c>
      <c r="BY47" s="25">
        <v>0</v>
      </c>
      <c r="BZ47" s="25">
        <v>0</v>
      </c>
      <c r="CA47" s="25">
        <v>0</v>
      </c>
      <c r="CB47" s="25">
        <v>0</v>
      </c>
      <c r="CC47" s="25">
        <v>0</v>
      </c>
      <c r="CD47" s="25">
        <v>0</v>
      </c>
      <c r="CE47" s="25">
        <v>0</v>
      </c>
    </row>
    <row r="48" spans="1:83" ht="14.25" x14ac:dyDescent="0.2">
      <c r="A48" s="15" t="s">
        <v>1175</v>
      </c>
      <c r="B48" s="1">
        <f>COUNTIF('User data'!D:D,A48)</f>
        <v>0</v>
      </c>
      <c r="C48" s="18">
        <v>0</v>
      </c>
      <c r="D48" s="20">
        <f t="shared" si="0"/>
        <v>0</v>
      </c>
      <c r="F48" s="18">
        <f t="array" ref="F48:CE48">$B48*correlation!B48:CA48</f>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0</v>
      </c>
      <c r="BD48" s="25">
        <v>0</v>
      </c>
      <c r="BE48" s="25">
        <v>0</v>
      </c>
      <c r="BF48" s="25">
        <v>0</v>
      </c>
      <c r="BG48" s="25">
        <v>0</v>
      </c>
      <c r="BH48" s="25">
        <v>0</v>
      </c>
      <c r="BI48" s="25">
        <v>0</v>
      </c>
      <c r="BJ48" s="25">
        <v>0</v>
      </c>
      <c r="BK48" s="25">
        <v>0</v>
      </c>
      <c r="BL48" s="25">
        <v>0</v>
      </c>
      <c r="BM48" s="25">
        <v>0</v>
      </c>
      <c r="BN48" s="25">
        <v>0</v>
      </c>
      <c r="BO48" s="25">
        <v>0</v>
      </c>
      <c r="BP48" s="25">
        <v>0</v>
      </c>
      <c r="BQ48" s="25">
        <v>0</v>
      </c>
      <c r="BR48" s="25">
        <v>0</v>
      </c>
      <c r="BS48" s="25">
        <v>0</v>
      </c>
      <c r="BT48" s="25">
        <v>0</v>
      </c>
      <c r="BU48" s="25">
        <v>0</v>
      </c>
      <c r="BV48" s="25">
        <v>0</v>
      </c>
      <c r="BW48" s="25">
        <v>0</v>
      </c>
      <c r="BX48" s="25">
        <v>0</v>
      </c>
      <c r="BY48" s="25">
        <v>0</v>
      </c>
      <c r="BZ48" s="25">
        <v>0</v>
      </c>
      <c r="CA48" s="25">
        <v>0</v>
      </c>
      <c r="CB48" s="25">
        <v>0</v>
      </c>
      <c r="CC48" s="25">
        <v>0</v>
      </c>
      <c r="CD48" s="25">
        <v>0</v>
      </c>
      <c r="CE48" s="25">
        <v>0</v>
      </c>
    </row>
    <row r="49" spans="1:83" ht="14.25" x14ac:dyDescent="0.2">
      <c r="A49" s="15" t="s">
        <v>1176</v>
      </c>
      <c r="B49" s="1">
        <f>COUNTIF('User data'!D:D,A49)</f>
        <v>0</v>
      </c>
      <c r="C49" s="18">
        <v>0</v>
      </c>
      <c r="D49" s="20">
        <f t="shared" si="0"/>
        <v>0</v>
      </c>
      <c r="F49" s="18">
        <f t="array" ref="F49:CE49">$B49*correlation!B49:CA49</f>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0</v>
      </c>
      <c r="AU49" s="25">
        <v>0</v>
      </c>
      <c r="AV49" s="25">
        <v>0</v>
      </c>
      <c r="AW49" s="25">
        <v>0</v>
      </c>
      <c r="AX49" s="25">
        <v>0</v>
      </c>
      <c r="AY49" s="25">
        <v>0</v>
      </c>
      <c r="AZ49" s="25">
        <v>0</v>
      </c>
      <c r="BA49" s="25">
        <v>0</v>
      </c>
      <c r="BB49" s="25">
        <v>0</v>
      </c>
      <c r="BC49" s="25">
        <v>0</v>
      </c>
      <c r="BD49" s="25">
        <v>0</v>
      </c>
      <c r="BE49" s="25">
        <v>0</v>
      </c>
      <c r="BF49" s="25">
        <v>0</v>
      </c>
      <c r="BG49" s="25">
        <v>0</v>
      </c>
      <c r="BH49" s="25">
        <v>0</v>
      </c>
      <c r="BI49" s="25">
        <v>0</v>
      </c>
      <c r="BJ49" s="25">
        <v>0</v>
      </c>
      <c r="BK49" s="25">
        <v>0</v>
      </c>
      <c r="BL49" s="25">
        <v>0</v>
      </c>
      <c r="BM49" s="25">
        <v>0</v>
      </c>
      <c r="BN49" s="25">
        <v>0</v>
      </c>
      <c r="BO49" s="25">
        <v>0</v>
      </c>
      <c r="BP49" s="25">
        <v>0</v>
      </c>
      <c r="BQ49" s="25">
        <v>0</v>
      </c>
      <c r="BR49" s="25">
        <v>0</v>
      </c>
      <c r="BS49" s="25">
        <v>0</v>
      </c>
      <c r="BT49" s="25">
        <v>0</v>
      </c>
      <c r="BU49" s="25">
        <v>0</v>
      </c>
      <c r="BV49" s="25">
        <v>0</v>
      </c>
      <c r="BW49" s="25">
        <v>0</v>
      </c>
      <c r="BX49" s="25">
        <v>0</v>
      </c>
      <c r="BY49" s="25">
        <v>0</v>
      </c>
      <c r="BZ49" s="25">
        <v>0</v>
      </c>
      <c r="CA49" s="25">
        <v>0</v>
      </c>
      <c r="CB49" s="25">
        <v>0</v>
      </c>
      <c r="CC49" s="25">
        <v>0</v>
      </c>
      <c r="CD49" s="25">
        <v>0</v>
      </c>
      <c r="CE49" s="25">
        <v>0</v>
      </c>
    </row>
    <row r="50" spans="1:83" ht="14.25" x14ac:dyDescent="0.2">
      <c r="A50" s="15" t="s">
        <v>1177</v>
      </c>
      <c r="B50" s="1">
        <f>COUNTIF('User data'!D:D,A50)</f>
        <v>0</v>
      </c>
      <c r="C50" s="18">
        <v>1.75</v>
      </c>
      <c r="D50" s="20">
        <f t="shared" si="0"/>
        <v>1.9533430070320348E-2</v>
      </c>
      <c r="F50" s="18">
        <f t="array" ref="F50:CE50">$B50*correlation!B50:CA50</f>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v>0</v>
      </c>
      <c r="BJ50" s="25">
        <v>0</v>
      </c>
      <c r="BK50" s="25">
        <v>0</v>
      </c>
      <c r="BL50" s="25">
        <v>0</v>
      </c>
      <c r="BM50" s="25">
        <v>0</v>
      </c>
      <c r="BN50" s="25">
        <v>0</v>
      </c>
      <c r="BO50" s="25">
        <v>0</v>
      </c>
      <c r="BP50" s="25">
        <v>0</v>
      </c>
      <c r="BQ50" s="25">
        <v>0</v>
      </c>
      <c r="BR50" s="25">
        <v>0</v>
      </c>
      <c r="BS50" s="25">
        <v>0</v>
      </c>
      <c r="BT50" s="25">
        <v>0</v>
      </c>
      <c r="BU50" s="25">
        <v>0</v>
      </c>
      <c r="BV50" s="25">
        <v>0</v>
      </c>
      <c r="BW50" s="25">
        <v>0</v>
      </c>
      <c r="BX50" s="25">
        <v>0</v>
      </c>
      <c r="BY50" s="25">
        <v>0</v>
      </c>
      <c r="BZ50" s="25">
        <v>0</v>
      </c>
      <c r="CA50" s="25">
        <v>0</v>
      </c>
      <c r="CB50" s="25">
        <v>0</v>
      </c>
      <c r="CC50" s="25">
        <v>0</v>
      </c>
      <c r="CD50" s="25">
        <v>0</v>
      </c>
      <c r="CE50" s="25">
        <v>0</v>
      </c>
    </row>
    <row r="51" spans="1:83" ht="14.25" x14ac:dyDescent="0.2">
      <c r="A51" s="15" t="s">
        <v>1178</v>
      </c>
      <c r="B51" s="1">
        <f>COUNTIF('User data'!D:D,A51)</f>
        <v>0</v>
      </c>
      <c r="C51" s="18">
        <v>3.16</v>
      </c>
      <c r="D51" s="20">
        <f t="shared" si="0"/>
        <v>3.5271793726978459E-2</v>
      </c>
      <c r="F51" s="18">
        <f t="array" ref="F51:CE51">$B51*correlation!B51:CA51</f>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0</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v>0</v>
      </c>
      <c r="BJ51" s="25">
        <v>0</v>
      </c>
      <c r="BK51" s="25">
        <v>0</v>
      </c>
      <c r="BL51" s="25">
        <v>0</v>
      </c>
      <c r="BM51" s="25">
        <v>0</v>
      </c>
      <c r="BN51" s="25">
        <v>0</v>
      </c>
      <c r="BO51" s="25">
        <v>0</v>
      </c>
      <c r="BP51" s="25">
        <v>0</v>
      </c>
      <c r="BQ51" s="25">
        <v>0</v>
      </c>
      <c r="BR51" s="25">
        <v>0</v>
      </c>
      <c r="BS51" s="25">
        <v>0</v>
      </c>
      <c r="BT51" s="25">
        <v>0</v>
      </c>
      <c r="BU51" s="25">
        <v>0</v>
      </c>
      <c r="BV51" s="25">
        <v>0</v>
      </c>
      <c r="BW51" s="25">
        <v>0</v>
      </c>
      <c r="BX51" s="25">
        <v>0</v>
      </c>
      <c r="BY51" s="25">
        <v>0</v>
      </c>
      <c r="BZ51" s="25">
        <v>0</v>
      </c>
      <c r="CA51" s="25">
        <v>0</v>
      </c>
      <c r="CB51" s="25">
        <v>0</v>
      </c>
      <c r="CC51" s="25">
        <v>0</v>
      </c>
      <c r="CD51" s="25">
        <v>0</v>
      </c>
      <c r="CE51" s="25">
        <v>0</v>
      </c>
    </row>
    <row r="52" spans="1:83" ht="14.25" x14ac:dyDescent="0.2">
      <c r="A52" s="15" t="s">
        <v>1179</v>
      </c>
      <c r="B52" s="1">
        <f>COUNTIF('User data'!D:D,A52)</f>
        <v>0</v>
      </c>
      <c r="C52" s="18">
        <v>1.28</v>
      </c>
      <c r="D52" s="20">
        <f t="shared" si="0"/>
        <v>1.4287308851434312E-2</v>
      </c>
      <c r="F52" s="18">
        <f t="array" ref="F52:CE52">$B52*correlation!B52:CA52</f>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0</v>
      </c>
      <c r="AZ52" s="25">
        <v>0</v>
      </c>
      <c r="BA52" s="25">
        <v>0</v>
      </c>
      <c r="BB52" s="25">
        <v>0</v>
      </c>
      <c r="BC52" s="25">
        <v>0</v>
      </c>
      <c r="BD52" s="25">
        <v>0</v>
      </c>
      <c r="BE52" s="25">
        <v>0</v>
      </c>
      <c r="BF52" s="25">
        <v>0</v>
      </c>
      <c r="BG52" s="25">
        <v>0</v>
      </c>
      <c r="BH52" s="25">
        <v>0</v>
      </c>
      <c r="BI52" s="25">
        <v>0</v>
      </c>
      <c r="BJ52" s="25">
        <v>0</v>
      </c>
      <c r="BK52" s="25">
        <v>0</v>
      </c>
      <c r="BL52" s="25">
        <v>0</v>
      </c>
      <c r="BM52" s="25">
        <v>0</v>
      </c>
      <c r="BN52" s="25">
        <v>0</v>
      </c>
      <c r="BO52" s="25">
        <v>0</v>
      </c>
      <c r="BP52" s="25">
        <v>0</v>
      </c>
      <c r="BQ52" s="25">
        <v>0</v>
      </c>
      <c r="BR52" s="25">
        <v>0</v>
      </c>
      <c r="BS52" s="25">
        <v>0</v>
      </c>
      <c r="BT52" s="25">
        <v>0</v>
      </c>
      <c r="BU52" s="25">
        <v>0</v>
      </c>
      <c r="BV52" s="25">
        <v>0</v>
      </c>
      <c r="BW52" s="25">
        <v>0</v>
      </c>
      <c r="BX52" s="25">
        <v>0</v>
      </c>
      <c r="BY52" s="25">
        <v>0</v>
      </c>
      <c r="BZ52" s="25">
        <v>0</v>
      </c>
      <c r="CA52" s="25">
        <v>0</v>
      </c>
      <c r="CB52" s="25">
        <v>0</v>
      </c>
      <c r="CC52" s="25">
        <v>0</v>
      </c>
      <c r="CD52" s="25">
        <v>0</v>
      </c>
      <c r="CE52" s="25">
        <v>0</v>
      </c>
    </row>
    <row r="53" spans="1:83" ht="14.25" x14ac:dyDescent="0.2">
      <c r="A53" s="15" t="s">
        <v>1180</v>
      </c>
      <c r="B53" s="1">
        <f>COUNTIF('User data'!D:D,A53)</f>
        <v>0</v>
      </c>
      <c r="C53" s="18">
        <v>2.82</v>
      </c>
      <c r="D53" s="20">
        <f t="shared" si="0"/>
        <v>3.1476727313316216E-2</v>
      </c>
      <c r="F53" s="18">
        <f t="array" ref="F53:CE53">$B53*correlation!B53:CA53</f>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v>
      </c>
      <c r="BD53" s="25">
        <v>0</v>
      </c>
      <c r="BE53" s="25">
        <v>0</v>
      </c>
      <c r="BF53" s="25">
        <v>0</v>
      </c>
      <c r="BG53" s="25">
        <v>0</v>
      </c>
      <c r="BH53" s="25">
        <v>0</v>
      </c>
      <c r="BI53" s="25">
        <v>0</v>
      </c>
      <c r="BJ53" s="25">
        <v>0</v>
      </c>
      <c r="BK53" s="25">
        <v>0</v>
      </c>
      <c r="BL53" s="25">
        <v>0</v>
      </c>
      <c r="BM53" s="25">
        <v>0</v>
      </c>
      <c r="BN53" s="25">
        <v>0</v>
      </c>
      <c r="BO53" s="25">
        <v>0</v>
      </c>
      <c r="BP53" s="25">
        <v>0</v>
      </c>
      <c r="BQ53" s="25">
        <v>0</v>
      </c>
      <c r="BR53" s="25">
        <v>0</v>
      </c>
      <c r="BS53" s="25">
        <v>0</v>
      </c>
      <c r="BT53" s="25">
        <v>0</v>
      </c>
      <c r="BU53" s="25">
        <v>0</v>
      </c>
      <c r="BV53" s="25">
        <v>0</v>
      </c>
      <c r="BW53" s="25">
        <v>0</v>
      </c>
      <c r="BX53" s="25">
        <v>0</v>
      </c>
      <c r="BY53" s="25">
        <v>0</v>
      </c>
      <c r="BZ53" s="25">
        <v>0</v>
      </c>
      <c r="CA53" s="25">
        <v>0</v>
      </c>
      <c r="CB53" s="25">
        <v>0</v>
      </c>
      <c r="CC53" s="25">
        <v>0</v>
      </c>
      <c r="CD53" s="25">
        <v>0</v>
      </c>
      <c r="CE53" s="25">
        <v>0</v>
      </c>
    </row>
    <row r="54" spans="1:83" ht="14.25" x14ac:dyDescent="0.2">
      <c r="A54" s="15" t="s">
        <v>1181</v>
      </c>
      <c r="B54" s="1">
        <f>COUNTIF('User data'!D:D,A54)</f>
        <v>0</v>
      </c>
      <c r="C54" s="18">
        <v>3.41</v>
      </c>
      <c r="D54" s="20">
        <f t="shared" si="0"/>
        <v>3.8062283737024222E-2</v>
      </c>
      <c r="F54" s="18">
        <f t="array" ref="F54:CE54">$B54*correlation!B54:CA54</f>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0</v>
      </c>
      <c r="BG54" s="25">
        <v>0</v>
      </c>
      <c r="BH54" s="25">
        <v>0</v>
      </c>
      <c r="BI54" s="25">
        <v>0</v>
      </c>
      <c r="BJ54" s="25">
        <v>0</v>
      </c>
      <c r="BK54" s="25">
        <v>0</v>
      </c>
      <c r="BL54" s="25">
        <v>0</v>
      </c>
      <c r="BM54" s="25">
        <v>0</v>
      </c>
      <c r="BN54" s="25">
        <v>0</v>
      </c>
      <c r="BO54" s="25">
        <v>0</v>
      </c>
      <c r="BP54" s="25">
        <v>0</v>
      </c>
      <c r="BQ54" s="25">
        <v>0</v>
      </c>
      <c r="BR54" s="25">
        <v>0</v>
      </c>
      <c r="BS54" s="25">
        <v>0</v>
      </c>
      <c r="BT54" s="25">
        <v>0</v>
      </c>
      <c r="BU54" s="25">
        <v>0</v>
      </c>
      <c r="BV54" s="25">
        <v>0</v>
      </c>
      <c r="BW54" s="25">
        <v>0</v>
      </c>
      <c r="BX54" s="25">
        <v>0</v>
      </c>
      <c r="BY54" s="25">
        <v>0</v>
      </c>
      <c r="BZ54" s="25">
        <v>0</v>
      </c>
      <c r="CA54" s="25">
        <v>0</v>
      </c>
      <c r="CB54" s="25">
        <v>0</v>
      </c>
      <c r="CC54" s="25">
        <v>0</v>
      </c>
      <c r="CD54" s="25">
        <v>0</v>
      </c>
      <c r="CE54" s="25">
        <v>0</v>
      </c>
    </row>
    <row r="55" spans="1:83" ht="14.25" x14ac:dyDescent="0.2">
      <c r="A55" s="15" t="s">
        <v>1182</v>
      </c>
      <c r="B55" s="1">
        <f>COUNTIF('User data'!D:D,A55)</f>
        <v>0</v>
      </c>
      <c r="C55" s="18">
        <v>2.1700000000000004</v>
      </c>
      <c r="D55" s="20">
        <f t="shared" si="0"/>
        <v>2.4221453287197235E-2</v>
      </c>
      <c r="F55" s="18">
        <f t="array" ref="F55:CE55">$B55*correlation!B55:CA55</f>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v>0</v>
      </c>
      <c r="BJ55" s="25">
        <v>0</v>
      </c>
      <c r="BK55" s="25">
        <v>0</v>
      </c>
      <c r="BL55" s="25">
        <v>0</v>
      </c>
      <c r="BM55" s="25">
        <v>0</v>
      </c>
      <c r="BN55" s="25">
        <v>0</v>
      </c>
      <c r="BO55" s="25">
        <v>0</v>
      </c>
      <c r="BP55" s="25">
        <v>0</v>
      </c>
      <c r="BQ55" s="25">
        <v>0</v>
      </c>
      <c r="BR55" s="25">
        <v>0</v>
      </c>
      <c r="BS55" s="25">
        <v>0</v>
      </c>
      <c r="BT55" s="25">
        <v>0</v>
      </c>
      <c r="BU55" s="25">
        <v>0</v>
      </c>
      <c r="BV55" s="25">
        <v>0</v>
      </c>
      <c r="BW55" s="25">
        <v>0</v>
      </c>
      <c r="BX55" s="25">
        <v>0</v>
      </c>
      <c r="BY55" s="25">
        <v>0</v>
      </c>
      <c r="BZ55" s="25">
        <v>0</v>
      </c>
      <c r="CA55" s="25">
        <v>0</v>
      </c>
      <c r="CB55" s="25">
        <v>0</v>
      </c>
      <c r="CC55" s="25">
        <v>0</v>
      </c>
      <c r="CD55" s="25">
        <v>0</v>
      </c>
      <c r="CE55" s="25">
        <v>0</v>
      </c>
    </row>
    <row r="56" spans="1:83" ht="14.25" x14ac:dyDescent="0.2">
      <c r="A56" s="15" t="s">
        <v>1183</v>
      </c>
      <c r="B56" s="1">
        <f>COUNTIF('User data'!D:D,A56)</f>
        <v>0</v>
      </c>
      <c r="C56" s="18">
        <v>1.1500000000000001</v>
      </c>
      <c r="D56" s="20">
        <f t="shared" si="0"/>
        <v>1.2836254046210516E-2</v>
      </c>
      <c r="F56" s="18">
        <f t="array" ref="F56:CE56">$B56*correlation!B56:CA56</f>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v>0</v>
      </c>
      <c r="BJ56" s="25">
        <v>0</v>
      </c>
      <c r="BK56" s="25">
        <v>0</v>
      </c>
      <c r="BL56" s="25">
        <v>0</v>
      </c>
      <c r="BM56" s="25">
        <v>0</v>
      </c>
      <c r="BN56" s="25">
        <v>0</v>
      </c>
      <c r="BO56" s="25">
        <v>0</v>
      </c>
      <c r="BP56" s="25">
        <v>0</v>
      </c>
      <c r="BQ56" s="25">
        <v>0</v>
      </c>
      <c r="BR56" s="25">
        <v>0</v>
      </c>
      <c r="BS56" s="25">
        <v>0</v>
      </c>
      <c r="BT56" s="25">
        <v>0</v>
      </c>
      <c r="BU56" s="25">
        <v>0</v>
      </c>
      <c r="BV56" s="25">
        <v>0</v>
      </c>
      <c r="BW56" s="25">
        <v>0</v>
      </c>
      <c r="BX56" s="25">
        <v>0</v>
      </c>
      <c r="BY56" s="25">
        <v>0</v>
      </c>
      <c r="BZ56" s="25">
        <v>0</v>
      </c>
      <c r="CA56" s="25">
        <v>0</v>
      </c>
      <c r="CB56" s="25">
        <v>0</v>
      </c>
      <c r="CC56" s="25">
        <v>0</v>
      </c>
      <c r="CD56" s="25">
        <v>0</v>
      </c>
      <c r="CE56" s="25">
        <v>0</v>
      </c>
    </row>
    <row r="57" spans="1:83" ht="14.25" x14ac:dyDescent="0.2">
      <c r="A57" s="15" t="s">
        <v>1184</v>
      </c>
      <c r="B57" s="1">
        <f>COUNTIF('User data'!D:D,A57)</f>
        <v>0</v>
      </c>
      <c r="C57" s="18">
        <v>0</v>
      </c>
      <c r="D57" s="20">
        <f t="shared" si="0"/>
        <v>0</v>
      </c>
      <c r="F57" s="18">
        <f t="array" ref="F57:CE57">$B57*correlation!B57:CA57</f>
        <v>0</v>
      </c>
      <c r="G57" s="25">
        <v>0</v>
      </c>
      <c r="H57" s="25">
        <v>0</v>
      </c>
      <c r="I57" s="25">
        <v>0</v>
      </c>
      <c r="J57" s="25">
        <v>0</v>
      </c>
      <c r="K57" s="25">
        <v>0</v>
      </c>
      <c r="L57" s="25">
        <v>0</v>
      </c>
      <c r="M57" s="25">
        <v>0</v>
      </c>
      <c r="N57" s="25">
        <v>0</v>
      </c>
      <c r="O57" s="25">
        <v>0</v>
      </c>
      <c r="P57" s="25">
        <v>0</v>
      </c>
      <c r="Q57" s="25">
        <v>0</v>
      </c>
      <c r="R57" s="25">
        <v>0</v>
      </c>
      <c r="S57" s="25">
        <v>0</v>
      </c>
      <c r="T57" s="25">
        <v>0</v>
      </c>
      <c r="U57" s="25">
        <v>0</v>
      </c>
      <c r="V57" s="25">
        <v>0</v>
      </c>
      <c r="W57" s="25">
        <v>0</v>
      </c>
      <c r="X57" s="25">
        <v>0</v>
      </c>
      <c r="Y57" s="25">
        <v>0</v>
      </c>
      <c r="Z57" s="25">
        <v>0</v>
      </c>
      <c r="AA57" s="25">
        <v>0</v>
      </c>
      <c r="AB57" s="25">
        <v>0</v>
      </c>
      <c r="AC57" s="25">
        <v>0</v>
      </c>
      <c r="AD57" s="25">
        <v>0</v>
      </c>
      <c r="AE57" s="25">
        <v>0</v>
      </c>
      <c r="AF57" s="25">
        <v>0</v>
      </c>
      <c r="AG57" s="25">
        <v>0</v>
      </c>
      <c r="AH57" s="25">
        <v>0</v>
      </c>
      <c r="AI57" s="25">
        <v>0</v>
      </c>
      <c r="AJ57" s="25">
        <v>0</v>
      </c>
      <c r="AK57" s="25">
        <v>0</v>
      </c>
      <c r="AL57" s="25">
        <v>0</v>
      </c>
      <c r="AM57" s="25">
        <v>0</v>
      </c>
      <c r="AN57" s="25">
        <v>0</v>
      </c>
      <c r="AO57" s="25">
        <v>0</v>
      </c>
      <c r="AP57" s="25">
        <v>0</v>
      </c>
      <c r="AQ57" s="25">
        <v>0</v>
      </c>
      <c r="AR57" s="25">
        <v>0</v>
      </c>
      <c r="AS57" s="25">
        <v>0</v>
      </c>
      <c r="AT57" s="25">
        <v>0</v>
      </c>
      <c r="AU57" s="25">
        <v>0</v>
      </c>
      <c r="AV57" s="25">
        <v>0</v>
      </c>
      <c r="AW57" s="25">
        <v>0</v>
      </c>
      <c r="AX57" s="25">
        <v>0</v>
      </c>
      <c r="AY57" s="25">
        <v>0</v>
      </c>
      <c r="AZ57" s="25">
        <v>0</v>
      </c>
      <c r="BA57" s="25">
        <v>0</v>
      </c>
      <c r="BB57" s="25">
        <v>0</v>
      </c>
      <c r="BC57" s="25">
        <v>0</v>
      </c>
      <c r="BD57" s="25">
        <v>0</v>
      </c>
      <c r="BE57" s="25">
        <v>0</v>
      </c>
      <c r="BF57" s="25">
        <v>0</v>
      </c>
      <c r="BG57" s="25">
        <v>0</v>
      </c>
      <c r="BH57" s="25">
        <v>0</v>
      </c>
      <c r="BI57" s="25">
        <v>0</v>
      </c>
      <c r="BJ57" s="25">
        <v>0</v>
      </c>
      <c r="BK57" s="25">
        <v>0</v>
      </c>
      <c r="BL57" s="25">
        <v>0</v>
      </c>
      <c r="BM57" s="25">
        <v>0</v>
      </c>
      <c r="BN57" s="25">
        <v>0</v>
      </c>
      <c r="BO57" s="25">
        <v>0</v>
      </c>
      <c r="BP57" s="25">
        <v>0</v>
      </c>
      <c r="BQ57" s="25">
        <v>0</v>
      </c>
      <c r="BR57" s="25">
        <v>0</v>
      </c>
      <c r="BS57" s="25">
        <v>0</v>
      </c>
      <c r="BT57" s="25">
        <v>0</v>
      </c>
      <c r="BU57" s="25">
        <v>0</v>
      </c>
      <c r="BV57" s="25">
        <v>0</v>
      </c>
      <c r="BW57" s="25">
        <v>0</v>
      </c>
      <c r="BX57" s="25">
        <v>0</v>
      </c>
      <c r="BY57" s="25">
        <v>0</v>
      </c>
      <c r="BZ57" s="25">
        <v>0</v>
      </c>
      <c r="CA57" s="25">
        <v>0</v>
      </c>
      <c r="CB57" s="25">
        <v>0</v>
      </c>
      <c r="CC57" s="25">
        <v>0</v>
      </c>
      <c r="CD57" s="25">
        <v>0</v>
      </c>
      <c r="CE57" s="25">
        <v>0</v>
      </c>
    </row>
    <row r="58" spans="1:83" ht="14.25" x14ac:dyDescent="0.2">
      <c r="A58" s="15" t="s">
        <v>1185</v>
      </c>
      <c r="B58" s="1">
        <f>COUNTIF('User data'!D:D,A58)</f>
        <v>0</v>
      </c>
      <c r="C58" s="18">
        <v>1.6500000000000001</v>
      </c>
      <c r="D58" s="20">
        <f t="shared" si="0"/>
        <v>1.8417234066302045E-2</v>
      </c>
      <c r="F58" s="18">
        <f t="array" ref="F58:CE58">$B58*correlation!B58:CA58</f>
        <v>0</v>
      </c>
      <c r="G58" s="25">
        <v>0</v>
      </c>
      <c r="H58" s="25">
        <v>0</v>
      </c>
      <c r="I58" s="25">
        <v>0</v>
      </c>
      <c r="J58" s="25">
        <v>0</v>
      </c>
      <c r="K58" s="25">
        <v>0</v>
      </c>
      <c r="L58" s="25">
        <v>0</v>
      </c>
      <c r="M58" s="25">
        <v>0</v>
      </c>
      <c r="N58" s="25">
        <v>0</v>
      </c>
      <c r="O58" s="25">
        <v>0</v>
      </c>
      <c r="P58" s="25">
        <v>0</v>
      </c>
      <c r="Q58" s="25">
        <v>0</v>
      </c>
      <c r="R58" s="25">
        <v>0</v>
      </c>
      <c r="S58" s="25">
        <v>0</v>
      </c>
      <c r="T58" s="25">
        <v>0</v>
      </c>
      <c r="U58" s="25">
        <v>0</v>
      </c>
      <c r="V58" s="25">
        <v>0</v>
      </c>
      <c r="W58" s="25">
        <v>0</v>
      </c>
      <c r="X58" s="25">
        <v>0</v>
      </c>
      <c r="Y58" s="25">
        <v>0</v>
      </c>
      <c r="Z58" s="25">
        <v>0</v>
      </c>
      <c r="AA58" s="25">
        <v>0</v>
      </c>
      <c r="AB58" s="25">
        <v>0</v>
      </c>
      <c r="AC58" s="25">
        <v>0</v>
      </c>
      <c r="AD58" s="25">
        <v>0</v>
      </c>
      <c r="AE58" s="25">
        <v>0</v>
      </c>
      <c r="AF58" s="25">
        <v>0</v>
      </c>
      <c r="AG58" s="25">
        <v>0</v>
      </c>
      <c r="AH58" s="25">
        <v>0</v>
      </c>
      <c r="AI58" s="25">
        <v>0</v>
      </c>
      <c r="AJ58" s="25">
        <v>0</v>
      </c>
      <c r="AK58" s="25">
        <v>0</v>
      </c>
      <c r="AL58" s="25">
        <v>0</v>
      </c>
      <c r="AM58" s="25">
        <v>0</v>
      </c>
      <c r="AN58" s="25">
        <v>0</v>
      </c>
      <c r="AO58" s="25">
        <v>0</v>
      </c>
      <c r="AP58" s="25">
        <v>0</v>
      </c>
      <c r="AQ58" s="25">
        <v>0</v>
      </c>
      <c r="AR58" s="25">
        <v>0</v>
      </c>
      <c r="AS58" s="25">
        <v>0</v>
      </c>
      <c r="AT58" s="25">
        <v>0</v>
      </c>
      <c r="AU58" s="25">
        <v>0</v>
      </c>
      <c r="AV58" s="25">
        <v>0</v>
      </c>
      <c r="AW58" s="25">
        <v>0</v>
      </c>
      <c r="AX58" s="25">
        <v>0</v>
      </c>
      <c r="AY58" s="25">
        <v>0</v>
      </c>
      <c r="AZ58" s="25">
        <v>0</v>
      </c>
      <c r="BA58" s="25">
        <v>0</v>
      </c>
      <c r="BB58" s="25">
        <v>0</v>
      </c>
      <c r="BC58" s="25">
        <v>0</v>
      </c>
      <c r="BD58" s="25">
        <v>0</v>
      </c>
      <c r="BE58" s="25">
        <v>0</v>
      </c>
      <c r="BF58" s="25">
        <v>0</v>
      </c>
      <c r="BG58" s="25">
        <v>0</v>
      </c>
      <c r="BH58" s="25">
        <v>0</v>
      </c>
      <c r="BI58" s="25">
        <v>0</v>
      </c>
      <c r="BJ58" s="25">
        <v>0</v>
      </c>
      <c r="BK58" s="25">
        <v>0</v>
      </c>
      <c r="BL58" s="25">
        <v>0</v>
      </c>
      <c r="BM58" s="25">
        <v>0</v>
      </c>
      <c r="BN58" s="25">
        <v>0</v>
      </c>
      <c r="BO58" s="25">
        <v>0</v>
      </c>
      <c r="BP58" s="25">
        <v>0</v>
      </c>
      <c r="BQ58" s="25">
        <v>0</v>
      </c>
      <c r="BR58" s="25">
        <v>0</v>
      </c>
      <c r="BS58" s="25">
        <v>0</v>
      </c>
      <c r="BT58" s="25">
        <v>0</v>
      </c>
      <c r="BU58" s="25">
        <v>0</v>
      </c>
      <c r="BV58" s="25">
        <v>0</v>
      </c>
      <c r="BW58" s="25">
        <v>0</v>
      </c>
      <c r="BX58" s="25">
        <v>0</v>
      </c>
      <c r="BY58" s="25">
        <v>0</v>
      </c>
      <c r="BZ58" s="25">
        <v>0</v>
      </c>
      <c r="CA58" s="25">
        <v>0</v>
      </c>
      <c r="CB58" s="25">
        <v>0</v>
      </c>
      <c r="CC58" s="25">
        <v>0</v>
      </c>
      <c r="CD58" s="25">
        <v>0</v>
      </c>
      <c r="CE58" s="25">
        <v>0</v>
      </c>
    </row>
    <row r="59" spans="1:83" ht="14.25" x14ac:dyDescent="0.2">
      <c r="A59" s="15" t="s">
        <v>1186</v>
      </c>
      <c r="B59" s="1">
        <f>COUNTIF('User data'!D:D,A59)</f>
        <v>0</v>
      </c>
      <c r="C59" s="18">
        <v>0</v>
      </c>
      <c r="D59" s="20">
        <f t="shared" si="0"/>
        <v>0</v>
      </c>
      <c r="F59" s="18">
        <f t="array" ref="F59:CE59">$B59*correlation!B59:CA59</f>
        <v>0</v>
      </c>
      <c r="G59" s="25">
        <v>0</v>
      </c>
      <c r="H59" s="25">
        <v>0</v>
      </c>
      <c r="I59" s="25">
        <v>0</v>
      </c>
      <c r="J59" s="25">
        <v>0</v>
      </c>
      <c r="K59" s="25">
        <v>0</v>
      </c>
      <c r="L59" s="25">
        <v>0</v>
      </c>
      <c r="M59" s="25">
        <v>0</v>
      </c>
      <c r="N59" s="25">
        <v>0</v>
      </c>
      <c r="O59" s="25">
        <v>0</v>
      </c>
      <c r="P59" s="25">
        <v>0</v>
      </c>
      <c r="Q59" s="25">
        <v>0</v>
      </c>
      <c r="R59" s="25">
        <v>0</v>
      </c>
      <c r="S59" s="25">
        <v>0</v>
      </c>
      <c r="T59" s="25">
        <v>0</v>
      </c>
      <c r="U59" s="25">
        <v>0</v>
      </c>
      <c r="V59" s="25">
        <v>0</v>
      </c>
      <c r="W59" s="25">
        <v>0</v>
      </c>
      <c r="X59" s="25">
        <v>0</v>
      </c>
      <c r="Y59" s="25">
        <v>0</v>
      </c>
      <c r="Z59" s="25">
        <v>0</v>
      </c>
      <c r="AA59" s="25">
        <v>0</v>
      </c>
      <c r="AB59" s="25">
        <v>0</v>
      </c>
      <c r="AC59" s="25">
        <v>0</v>
      </c>
      <c r="AD59" s="25">
        <v>0</v>
      </c>
      <c r="AE59" s="25">
        <v>0</v>
      </c>
      <c r="AF59" s="25">
        <v>0</v>
      </c>
      <c r="AG59" s="25">
        <v>0</v>
      </c>
      <c r="AH59" s="25">
        <v>0</v>
      </c>
      <c r="AI59" s="25">
        <v>0</v>
      </c>
      <c r="AJ59" s="25">
        <v>0</v>
      </c>
      <c r="AK59" s="25">
        <v>0</v>
      </c>
      <c r="AL59" s="25">
        <v>0</v>
      </c>
      <c r="AM59" s="25">
        <v>0</v>
      </c>
      <c r="AN59" s="25">
        <v>0</v>
      </c>
      <c r="AO59" s="25">
        <v>0</v>
      </c>
      <c r="AP59" s="25">
        <v>0</v>
      </c>
      <c r="AQ59" s="25">
        <v>0</v>
      </c>
      <c r="AR59" s="25">
        <v>0</v>
      </c>
      <c r="AS59" s="25">
        <v>0</v>
      </c>
      <c r="AT59" s="25">
        <v>0</v>
      </c>
      <c r="AU59" s="25">
        <v>0</v>
      </c>
      <c r="AV59" s="25">
        <v>0</v>
      </c>
      <c r="AW59" s="25">
        <v>0</v>
      </c>
      <c r="AX59" s="25">
        <v>0</v>
      </c>
      <c r="AY59" s="25">
        <v>0</v>
      </c>
      <c r="AZ59" s="25">
        <v>0</v>
      </c>
      <c r="BA59" s="25">
        <v>0</v>
      </c>
      <c r="BB59" s="25">
        <v>0</v>
      </c>
      <c r="BC59" s="25">
        <v>0</v>
      </c>
      <c r="BD59" s="25">
        <v>0</v>
      </c>
      <c r="BE59" s="25">
        <v>0</v>
      </c>
      <c r="BF59" s="25">
        <v>0</v>
      </c>
      <c r="BG59" s="25">
        <v>0</v>
      </c>
      <c r="BH59" s="25">
        <v>0</v>
      </c>
      <c r="BI59" s="25">
        <v>0</v>
      </c>
      <c r="BJ59" s="25">
        <v>0</v>
      </c>
      <c r="BK59" s="25">
        <v>0</v>
      </c>
      <c r="BL59" s="25">
        <v>0</v>
      </c>
      <c r="BM59" s="25">
        <v>0</v>
      </c>
      <c r="BN59" s="25">
        <v>0</v>
      </c>
      <c r="BO59" s="25">
        <v>0</v>
      </c>
      <c r="BP59" s="25">
        <v>0</v>
      </c>
      <c r="BQ59" s="25">
        <v>0</v>
      </c>
      <c r="BR59" s="25">
        <v>0</v>
      </c>
      <c r="BS59" s="25">
        <v>0</v>
      </c>
      <c r="BT59" s="25">
        <v>0</v>
      </c>
      <c r="BU59" s="25">
        <v>0</v>
      </c>
      <c r="BV59" s="25">
        <v>0</v>
      </c>
      <c r="BW59" s="25">
        <v>0</v>
      </c>
      <c r="BX59" s="25">
        <v>0</v>
      </c>
      <c r="BY59" s="25">
        <v>0</v>
      </c>
      <c r="BZ59" s="25">
        <v>0</v>
      </c>
      <c r="CA59" s="25">
        <v>0</v>
      </c>
      <c r="CB59" s="25">
        <v>0</v>
      </c>
      <c r="CC59" s="25">
        <v>0</v>
      </c>
      <c r="CD59" s="25">
        <v>0</v>
      </c>
      <c r="CE59" s="25">
        <v>0</v>
      </c>
    </row>
    <row r="60" spans="1:83" ht="14.25" x14ac:dyDescent="0.2">
      <c r="A60" s="15" t="s">
        <v>1187</v>
      </c>
      <c r="B60" s="1">
        <f>COUNTIF('User data'!D:D,A60)</f>
        <v>0</v>
      </c>
      <c r="C60" s="18">
        <v>0</v>
      </c>
      <c r="D60" s="20">
        <f t="shared" si="0"/>
        <v>0</v>
      </c>
      <c r="F60" s="18">
        <f t="array" ref="F60:CE60">$B60*correlation!B60:CA60</f>
        <v>0</v>
      </c>
      <c r="G60" s="25">
        <v>0</v>
      </c>
      <c r="H60" s="25">
        <v>0</v>
      </c>
      <c r="I60" s="25">
        <v>0</v>
      </c>
      <c r="J60" s="25">
        <v>0</v>
      </c>
      <c r="K60" s="25">
        <v>0</v>
      </c>
      <c r="L60" s="25">
        <v>0</v>
      </c>
      <c r="M60" s="25">
        <v>0</v>
      </c>
      <c r="N60" s="25">
        <v>0</v>
      </c>
      <c r="O60" s="25">
        <v>0</v>
      </c>
      <c r="P60" s="25">
        <v>0</v>
      </c>
      <c r="Q60" s="25">
        <v>0</v>
      </c>
      <c r="R60" s="25">
        <v>0</v>
      </c>
      <c r="S60" s="25">
        <v>0</v>
      </c>
      <c r="T60" s="25">
        <v>0</v>
      </c>
      <c r="U60" s="25">
        <v>0</v>
      </c>
      <c r="V60" s="25">
        <v>0</v>
      </c>
      <c r="W60" s="25">
        <v>0</v>
      </c>
      <c r="X60" s="25">
        <v>0</v>
      </c>
      <c r="Y60" s="25">
        <v>0</v>
      </c>
      <c r="Z60" s="25">
        <v>0</v>
      </c>
      <c r="AA60" s="25">
        <v>0</v>
      </c>
      <c r="AB60" s="25">
        <v>0</v>
      </c>
      <c r="AC60" s="25">
        <v>0</v>
      </c>
      <c r="AD60" s="25">
        <v>0</v>
      </c>
      <c r="AE60" s="25">
        <v>0</v>
      </c>
      <c r="AF60" s="25">
        <v>0</v>
      </c>
      <c r="AG60" s="25">
        <v>0</v>
      </c>
      <c r="AH60" s="25">
        <v>0</v>
      </c>
      <c r="AI60" s="25">
        <v>0</v>
      </c>
      <c r="AJ60" s="25">
        <v>0</v>
      </c>
      <c r="AK60" s="25">
        <v>0</v>
      </c>
      <c r="AL60" s="25">
        <v>0</v>
      </c>
      <c r="AM60" s="25">
        <v>0</v>
      </c>
      <c r="AN60" s="25">
        <v>0</v>
      </c>
      <c r="AO60" s="25">
        <v>0</v>
      </c>
      <c r="AP60" s="25">
        <v>0</v>
      </c>
      <c r="AQ60" s="25">
        <v>0</v>
      </c>
      <c r="AR60" s="25">
        <v>0</v>
      </c>
      <c r="AS60" s="25">
        <v>0</v>
      </c>
      <c r="AT60" s="25">
        <v>0</v>
      </c>
      <c r="AU60" s="25">
        <v>0</v>
      </c>
      <c r="AV60" s="25">
        <v>0</v>
      </c>
      <c r="AW60" s="25">
        <v>0</v>
      </c>
      <c r="AX60" s="25">
        <v>0</v>
      </c>
      <c r="AY60" s="25">
        <v>0</v>
      </c>
      <c r="AZ60" s="25">
        <v>0</v>
      </c>
      <c r="BA60" s="25">
        <v>0</v>
      </c>
      <c r="BB60" s="25">
        <v>0</v>
      </c>
      <c r="BC60" s="25">
        <v>0</v>
      </c>
      <c r="BD60" s="25">
        <v>0</v>
      </c>
      <c r="BE60" s="25">
        <v>0</v>
      </c>
      <c r="BF60" s="25">
        <v>0</v>
      </c>
      <c r="BG60" s="25">
        <v>0</v>
      </c>
      <c r="BH60" s="25">
        <v>0</v>
      </c>
      <c r="BI60" s="25">
        <v>0</v>
      </c>
      <c r="BJ60" s="25">
        <v>0</v>
      </c>
      <c r="BK60" s="25">
        <v>0</v>
      </c>
      <c r="BL60" s="25">
        <v>0</v>
      </c>
      <c r="BM60" s="25">
        <v>0</v>
      </c>
      <c r="BN60" s="25">
        <v>0</v>
      </c>
      <c r="BO60" s="25">
        <v>0</v>
      </c>
      <c r="BP60" s="25">
        <v>0</v>
      </c>
      <c r="BQ60" s="25">
        <v>0</v>
      </c>
      <c r="BR60" s="25">
        <v>0</v>
      </c>
      <c r="BS60" s="25">
        <v>0</v>
      </c>
      <c r="BT60" s="25">
        <v>0</v>
      </c>
      <c r="BU60" s="25">
        <v>0</v>
      </c>
      <c r="BV60" s="25">
        <v>0</v>
      </c>
      <c r="BW60" s="25">
        <v>0</v>
      </c>
      <c r="BX60" s="25">
        <v>0</v>
      </c>
      <c r="BY60" s="25">
        <v>0</v>
      </c>
      <c r="BZ60" s="25">
        <v>0</v>
      </c>
      <c r="CA60" s="25">
        <v>0</v>
      </c>
      <c r="CB60" s="25">
        <v>0</v>
      </c>
      <c r="CC60" s="25">
        <v>0</v>
      </c>
      <c r="CD60" s="25">
        <v>0</v>
      </c>
      <c r="CE60" s="25">
        <v>0</v>
      </c>
    </row>
    <row r="61" spans="1:83" ht="14.25" x14ac:dyDescent="0.2">
      <c r="A61" s="15" t="s">
        <v>1188</v>
      </c>
      <c r="B61" s="1">
        <f>COUNTIF('User data'!D:D,A61)</f>
        <v>0</v>
      </c>
      <c r="C61" s="18">
        <v>0</v>
      </c>
      <c r="D61" s="20">
        <f t="shared" si="0"/>
        <v>0</v>
      </c>
      <c r="F61" s="18">
        <f t="array" ref="F61:CE61">$B61*correlation!B61:CA61</f>
        <v>0</v>
      </c>
      <c r="G61" s="25">
        <v>0</v>
      </c>
      <c r="H61" s="25">
        <v>0</v>
      </c>
      <c r="I61" s="25">
        <v>0</v>
      </c>
      <c r="J61" s="25">
        <v>0</v>
      </c>
      <c r="K61" s="25">
        <v>0</v>
      </c>
      <c r="L61" s="25">
        <v>0</v>
      </c>
      <c r="M61" s="25">
        <v>0</v>
      </c>
      <c r="N61" s="25">
        <v>0</v>
      </c>
      <c r="O61" s="25">
        <v>0</v>
      </c>
      <c r="P61" s="25">
        <v>0</v>
      </c>
      <c r="Q61" s="25">
        <v>0</v>
      </c>
      <c r="R61" s="25">
        <v>0</v>
      </c>
      <c r="S61" s="25">
        <v>0</v>
      </c>
      <c r="T61" s="25">
        <v>0</v>
      </c>
      <c r="U61" s="25">
        <v>0</v>
      </c>
      <c r="V61" s="25">
        <v>0</v>
      </c>
      <c r="W61" s="25">
        <v>0</v>
      </c>
      <c r="X61" s="25">
        <v>0</v>
      </c>
      <c r="Y61" s="25">
        <v>0</v>
      </c>
      <c r="Z61" s="25">
        <v>0</v>
      </c>
      <c r="AA61" s="25">
        <v>0</v>
      </c>
      <c r="AB61" s="25">
        <v>0</v>
      </c>
      <c r="AC61" s="25">
        <v>0</v>
      </c>
      <c r="AD61" s="25">
        <v>0</v>
      </c>
      <c r="AE61" s="25">
        <v>0</v>
      </c>
      <c r="AF61" s="25">
        <v>0</v>
      </c>
      <c r="AG61" s="25">
        <v>0</v>
      </c>
      <c r="AH61" s="25">
        <v>0</v>
      </c>
      <c r="AI61" s="25">
        <v>0</v>
      </c>
      <c r="AJ61" s="25">
        <v>0</v>
      </c>
      <c r="AK61" s="25">
        <v>0</v>
      </c>
      <c r="AL61" s="25">
        <v>0</v>
      </c>
      <c r="AM61" s="25">
        <v>0</v>
      </c>
      <c r="AN61" s="25">
        <v>0</v>
      </c>
      <c r="AO61" s="25">
        <v>0</v>
      </c>
      <c r="AP61" s="25">
        <v>0</v>
      </c>
      <c r="AQ61" s="25">
        <v>0</v>
      </c>
      <c r="AR61" s="25">
        <v>0</v>
      </c>
      <c r="AS61" s="25">
        <v>0</v>
      </c>
      <c r="AT61" s="25">
        <v>0</v>
      </c>
      <c r="AU61" s="25">
        <v>0</v>
      </c>
      <c r="AV61" s="25">
        <v>0</v>
      </c>
      <c r="AW61" s="25">
        <v>0</v>
      </c>
      <c r="AX61" s="25">
        <v>0</v>
      </c>
      <c r="AY61" s="25">
        <v>0</v>
      </c>
      <c r="AZ61" s="25">
        <v>0</v>
      </c>
      <c r="BA61" s="25">
        <v>0</v>
      </c>
      <c r="BB61" s="25">
        <v>0</v>
      </c>
      <c r="BC61" s="25">
        <v>0</v>
      </c>
      <c r="BD61" s="25">
        <v>0</v>
      </c>
      <c r="BE61" s="25">
        <v>0</v>
      </c>
      <c r="BF61" s="25">
        <v>0</v>
      </c>
      <c r="BG61" s="25">
        <v>0</v>
      </c>
      <c r="BH61" s="25">
        <v>0</v>
      </c>
      <c r="BI61" s="25">
        <v>0</v>
      </c>
      <c r="BJ61" s="25">
        <v>0</v>
      </c>
      <c r="BK61" s="25">
        <v>0</v>
      </c>
      <c r="BL61" s="25">
        <v>0</v>
      </c>
      <c r="BM61" s="25">
        <v>0</v>
      </c>
      <c r="BN61" s="25">
        <v>0</v>
      </c>
      <c r="BO61" s="25">
        <v>0</v>
      </c>
      <c r="BP61" s="25">
        <v>0</v>
      </c>
      <c r="BQ61" s="25">
        <v>0</v>
      </c>
      <c r="BR61" s="25">
        <v>0</v>
      </c>
      <c r="BS61" s="25">
        <v>0</v>
      </c>
      <c r="BT61" s="25">
        <v>0</v>
      </c>
      <c r="BU61" s="25">
        <v>0</v>
      </c>
      <c r="BV61" s="25">
        <v>0</v>
      </c>
      <c r="BW61" s="25">
        <v>0</v>
      </c>
      <c r="BX61" s="25">
        <v>0</v>
      </c>
      <c r="BY61" s="25">
        <v>0</v>
      </c>
      <c r="BZ61" s="25">
        <v>0</v>
      </c>
      <c r="CA61" s="25">
        <v>0</v>
      </c>
      <c r="CB61" s="25">
        <v>0</v>
      </c>
      <c r="CC61" s="25">
        <v>0</v>
      </c>
      <c r="CD61" s="25">
        <v>0</v>
      </c>
      <c r="CE61" s="25">
        <v>0</v>
      </c>
    </row>
    <row r="62" spans="1:83" ht="14.25" x14ac:dyDescent="0.2">
      <c r="A62" s="15" t="s">
        <v>1189</v>
      </c>
      <c r="B62" s="1">
        <f>COUNTIF('User data'!D:D,A62)</f>
        <v>0</v>
      </c>
      <c r="C62" s="18">
        <v>0</v>
      </c>
      <c r="D62" s="20">
        <f t="shared" si="0"/>
        <v>0</v>
      </c>
      <c r="F62" s="18">
        <f t="array" ref="F62:CE62">$B62*correlation!B62:CA62</f>
        <v>0</v>
      </c>
      <c r="G62" s="25">
        <v>0</v>
      </c>
      <c r="H62" s="25">
        <v>0</v>
      </c>
      <c r="I62" s="25">
        <v>0</v>
      </c>
      <c r="J62" s="25">
        <v>0</v>
      </c>
      <c r="K62" s="25">
        <v>0</v>
      </c>
      <c r="L62" s="25">
        <v>0</v>
      </c>
      <c r="M62" s="25">
        <v>0</v>
      </c>
      <c r="N62" s="25">
        <v>0</v>
      </c>
      <c r="O62" s="25">
        <v>0</v>
      </c>
      <c r="P62" s="25">
        <v>0</v>
      </c>
      <c r="Q62" s="25">
        <v>0</v>
      </c>
      <c r="R62" s="25">
        <v>0</v>
      </c>
      <c r="S62" s="25">
        <v>0</v>
      </c>
      <c r="T62" s="25">
        <v>0</v>
      </c>
      <c r="U62" s="25">
        <v>0</v>
      </c>
      <c r="V62" s="25">
        <v>0</v>
      </c>
      <c r="W62" s="25">
        <v>0</v>
      </c>
      <c r="X62" s="25">
        <v>0</v>
      </c>
      <c r="Y62" s="25">
        <v>0</v>
      </c>
      <c r="Z62" s="25">
        <v>0</v>
      </c>
      <c r="AA62" s="25">
        <v>0</v>
      </c>
      <c r="AB62" s="25">
        <v>0</v>
      </c>
      <c r="AC62" s="25">
        <v>0</v>
      </c>
      <c r="AD62" s="25">
        <v>0</v>
      </c>
      <c r="AE62" s="25">
        <v>0</v>
      </c>
      <c r="AF62" s="25">
        <v>0</v>
      </c>
      <c r="AG62" s="25">
        <v>0</v>
      </c>
      <c r="AH62" s="25">
        <v>0</v>
      </c>
      <c r="AI62" s="25">
        <v>0</v>
      </c>
      <c r="AJ62" s="25">
        <v>0</v>
      </c>
      <c r="AK62" s="25">
        <v>0</v>
      </c>
      <c r="AL62" s="25">
        <v>0</v>
      </c>
      <c r="AM62" s="25">
        <v>0</v>
      </c>
      <c r="AN62" s="25">
        <v>0</v>
      </c>
      <c r="AO62" s="25">
        <v>0</v>
      </c>
      <c r="AP62" s="25">
        <v>0</v>
      </c>
      <c r="AQ62" s="25">
        <v>0</v>
      </c>
      <c r="AR62" s="25">
        <v>0</v>
      </c>
      <c r="AS62" s="25">
        <v>0</v>
      </c>
      <c r="AT62" s="25">
        <v>0</v>
      </c>
      <c r="AU62" s="25">
        <v>0</v>
      </c>
      <c r="AV62" s="25">
        <v>0</v>
      </c>
      <c r="AW62" s="25">
        <v>0</v>
      </c>
      <c r="AX62" s="25">
        <v>0</v>
      </c>
      <c r="AY62" s="25">
        <v>0</v>
      </c>
      <c r="AZ62" s="25">
        <v>0</v>
      </c>
      <c r="BA62" s="25">
        <v>0</v>
      </c>
      <c r="BB62" s="25">
        <v>0</v>
      </c>
      <c r="BC62" s="25">
        <v>0</v>
      </c>
      <c r="BD62" s="25">
        <v>0</v>
      </c>
      <c r="BE62" s="25">
        <v>0</v>
      </c>
      <c r="BF62" s="25">
        <v>0</v>
      </c>
      <c r="BG62" s="25">
        <v>0</v>
      </c>
      <c r="BH62" s="25">
        <v>0</v>
      </c>
      <c r="BI62" s="25">
        <v>0</v>
      </c>
      <c r="BJ62" s="25">
        <v>0</v>
      </c>
      <c r="BK62" s="25">
        <v>0</v>
      </c>
      <c r="BL62" s="25">
        <v>0</v>
      </c>
      <c r="BM62" s="25">
        <v>0</v>
      </c>
      <c r="BN62" s="25">
        <v>0</v>
      </c>
      <c r="BO62" s="25">
        <v>0</v>
      </c>
      <c r="BP62" s="25">
        <v>0</v>
      </c>
      <c r="BQ62" s="25">
        <v>0</v>
      </c>
      <c r="BR62" s="25">
        <v>0</v>
      </c>
      <c r="BS62" s="25">
        <v>0</v>
      </c>
      <c r="BT62" s="25">
        <v>0</v>
      </c>
      <c r="BU62" s="25">
        <v>0</v>
      </c>
      <c r="BV62" s="25">
        <v>0</v>
      </c>
      <c r="BW62" s="25">
        <v>0</v>
      </c>
      <c r="BX62" s="25">
        <v>0</v>
      </c>
      <c r="BY62" s="25">
        <v>0</v>
      </c>
      <c r="BZ62" s="25">
        <v>0</v>
      </c>
      <c r="CA62" s="25">
        <v>0</v>
      </c>
      <c r="CB62" s="25">
        <v>0</v>
      </c>
      <c r="CC62" s="25">
        <v>0</v>
      </c>
      <c r="CD62" s="25">
        <v>0</v>
      </c>
      <c r="CE62" s="25">
        <v>0</v>
      </c>
    </row>
    <row r="63" spans="1:83" ht="14.25" x14ac:dyDescent="0.2">
      <c r="A63" s="15" t="s">
        <v>1190</v>
      </c>
      <c r="B63" s="1">
        <f>COUNTIF('User data'!D:D,A63)</f>
        <v>0</v>
      </c>
      <c r="C63" s="18">
        <v>0</v>
      </c>
      <c r="D63" s="20">
        <f t="shared" si="0"/>
        <v>0</v>
      </c>
      <c r="F63" s="18">
        <f t="array" ref="F63:CE63">$B63*correlation!B63:CA63</f>
        <v>0</v>
      </c>
      <c r="G63" s="25">
        <v>0</v>
      </c>
      <c r="H63" s="25">
        <v>0</v>
      </c>
      <c r="I63" s="25">
        <v>0</v>
      </c>
      <c r="J63" s="25">
        <v>0</v>
      </c>
      <c r="K63" s="25">
        <v>0</v>
      </c>
      <c r="L63" s="25">
        <v>0</v>
      </c>
      <c r="M63" s="25">
        <v>0</v>
      </c>
      <c r="N63" s="25">
        <v>0</v>
      </c>
      <c r="O63" s="25">
        <v>0</v>
      </c>
      <c r="P63" s="25">
        <v>0</v>
      </c>
      <c r="Q63" s="25">
        <v>0</v>
      </c>
      <c r="R63" s="25">
        <v>0</v>
      </c>
      <c r="S63" s="25">
        <v>0</v>
      </c>
      <c r="T63" s="25">
        <v>0</v>
      </c>
      <c r="U63" s="25">
        <v>0</v>
      </c>
      <c r="V63" s="25">
        <v>0</v>
      </c>
      <c r="W63" s="25">
        <v>0</v>
      </c>
      <c r="X63" s="25">
        <v>0</v>
      </c>
      <c r="Y63" s="25">
        <v>0</v>
      </c>
      <c r="Z63" s="25">
        <v>0</v>
      </c>
      <c r="AA63" s="25">
        <v>0</v>
      </c>
      <c r="AB63" s="25">
        <v>0</v>
      </c>
      <c r="AC63" s="25">
        <v>0</v>
      </c>
      <c r="AD63" s="25">
        <v>0</v>
      </c>
      <c r="AE63" s="25">
        <v>0</v>
      </c>
      <c r="AF63" s="25">
        <v>0</v>
      </c>
      <c r="AG63" s="25">
        <v>0</v>
      </c>
      <c r="AH63" s="25">
        <v>0</v>
      </c>
      <c r="AI63" s="25">
        <v>0</v>
      </c>
      <c r="AJ63" s="25">
        <v>0</v>
      </c>
      <c r="AK63" s="25">
        <v>0</v>
      </c>
      <c r="AL63" s="25">
        <v>0</v>
      </c>
      <c r="AM63" s="25">
        <v>0</v>
      </c>
      <c r="AN63" s="25">
        <v>0</v>
      </c>
      <c r="AO63" s="25">
        <v>0</v>
      </c>
      <c r="AP63" s="25">
        <v>0</v>
      </c>
      <c r="AQ63" s="25">
        <v>0</v>
      </c>
      <c r="AR63" s="25">
        <v>0</v>
      </c>
      <c r="AS63" s="25">
        <v>0</v>
      </c>
      <c r="AT63" s="25">
        <v>0</v>
      </c>
      <c r="AU63" s="25">
        <v>0</v>
      </c>
      <c r="AV63" s="25">
        <v>0</v>
      </c>
      <c r="AW63" s="25">
        <v>0</v>
      </c>
      <c r="AX63" s="25">
        <v>0</v>
      </c>
      <c r="AY63" s="25">
        <v>0</v>
      </c>
      <c r="AZ63" s="25">
        <v>0</v>
      </c>
      <c r="BA63" s="25">
        <v>0</v>
      </c>
      <c r="BB63" s="25">
        <v>0</v>
      </c>
      <c r="BC63" s="25">
        <v>0</v>
      </c>
      <c r="BD63" s="25">
        <v>0</v>
      </c>
      <c r="BE63" s="25">
        <v>0</v>
      </c>
      <c r="BF63" s="25">
        <v>0</v>
      </c>
      <c r="BG63" s="25">
        <v>0</v>
      </c>
      <c r="BH63" s="25">
        <v>0</v>
      </c>
      <c r="BI63" s="25">
        <v>0</v>
      </c>
      <c r="BJ63" s="25">
        <v>0</v>
      </c>
      <c r="BK63" s="25">
        <v>0</v>
      </c>
      <c r="BL63" s="25">
        <v>0</v>
      </c>
      <c r="BM63" s="25">
        <v>0</v>
      </c>
      <c r="BN63" s="25">
        <v>0</v>
      </c>
      <c r="BO63" s="25">
        <v>0</v>
      </c>
      <c r="BP63" s="25">
        <v>0</v>
      </c>
      <c r="BQ63" s="25">
        <v>0</v>
      </c>
      <c r="BR63" s="25">
        <v>0</v>
      </c>
      <c r="BS63" s="25">
        <v>0</v>
      </c>
      <c r="BT63" s="25">
        <v>0</v>
      </c>
      <c r="BU63" s="25">
        <v>0</v>
      </c>
      <c r="BV63" s="25">
        <v>0</v>
      </c>
      <c r="BW63" s="25">
        <v>0</v>
      </c>
      <c r="BX63" s="25">
        <v>0</v>
      </c>
      <c r="BY63" s="25">
        <v>0</v>
      </c>
      <c r="BZ63" s="25">
        <v>0</v>
      </c>
      <c r="CA63" s="25">
        <v>0</v>
      </c>
      <c r="CB63" s="25">
        <v>0</v>
      </c>
      <c r="CC63" s="25">
        <v>0</v>
      </c>
      <c r="CD63" s="25">
        <v>0</v>
      </c>
      <c r="CE63" s="25">
        <v>0</v>
      </c>
    </row>
    <row r="64" spans="1:83" ht="14.25" x14ac:dyDescent="0.2">
      <c r="A64" s="15" t="s">
        <v>1191</v>
      </c>
      <c r="B64" s="1">
        <f>COUNTIF('User data'!D:D,A64)</f>
        <v>0</v>
      </c>
      <c r="C64" s="18">
        <v>2.21</v>
      </c>
      <c r="D64" s="20">
        <f t="shared" si="0"/>
        <v>2.4667931688804552E-2</v>
      </c>
      <c r="F64" s="18">
        <f t="array" ref="F64:CE64">$B64*correlation!B64:CA64</f>
        <v>0</v>
      </c>
      <c r="G64" s="25">
        <v>0</v>
      </c>
      <c r="H64" s="25">
        <v>0</v>
      </c>
      <c r="I64" s="25">
        <v>0</v>
      </c>
      <c r="J64" s="25">
        <v>0</v>
      </c>
      <c r="K64" s="25">
        <v>0</v>
      </c>
      <c r="L64" s="25">
        <v>0</v>
      </c>
      <c r="M64" s="25">
        <v>0</v>
      </c>
      <c r="N64" s="25">
        <v>0</v>
      </c>
      <c r="O64" s="25">
        <v>0</v>
      </c>
      <c r="P64" s="25">
        <v>0</v>
      </c>
      <c r="Q64" s="25">
        <v>0</v>
      </c>
      <c r="R64" s="25">
        <v>0</v>
      </c>
      <c r="S64" s="25">
        <v>0</v>
      </c>
      <c r="T64" s="25">
        <v>0</v>
      </c>
      <c r="U64" s="25">
        <v>0</v>
      </c>
      <c r="V64" s="25">
        <v>0</v>
      </c>
      <c r="W64" s="25">
        <v>0</v>
      </c>
      <c r="X64" s="25">
        <v>0</v>
      </c>
      <c r="Y64" s="25">
        <v>0</v>
      </c>
      <c r="Z64" s="25">
        <v>0</v>
      </c>
      <c r="AA64" s="25">
        <v>0</v>
      </c>
      <c r="AB64" s="25">
        <v>0</v>
      </c>
      <c r="AC64" s="25">
        <v>0</v>
      </c>
      <c r="AD64" s="25">
        <v>0</v>
      </c>
      <c r="AE64" s="25">
        <v>0</v>
      </c>
      <c r="AF64" s="25">
        <v>0</v>
      </c>
      <c r="AG64" s="25">
        <v>0</v>
      </c>
      <c r="AH64" s="25">
        <v>0</v>
      </c>
      <c r="AI64" s="25">
        <v>0</v>
      </c>
      <c r="AJ64" s="25">
        <v>0</v>
      </c>
      <c r="AK64" s="25">
        <v>0</v>
      </c>
      <c r="AL64" s="25">
        <v>0</v>
      </c>
      <c r="AM64" s="25">
        <v>0</v>
      </c>
      <c r="AN64" s="25">
        <v>0</v>
      </c>
      <c r="AO64" s="25">
        <v>0</v>
      </c>
      <c r="AP64" s="25">
        <v>0</v>
      </c>
      <c r="AQ64" s="25">
        <v>0</v>
      </c>
      <c r="AR64" s="25">
        <v>0</v>
      </c>
      <c r="AS64" s="25">
        <v>0</v>
      </c>
      <c r="AT64" s="25">
        <v>0</v>
      </c>
      <c r="AU64" s="25">
        <v>0</v>
      </c>
      <c r="AV64" s="25">
        <v>0</v>
      </c>
      <c r="AW64" s="25">
        <v>0</v>
      </c>
      <c r="AX64" s="25">
        <v>0</v>
      </c>
      <c r="AY64" s="25">
        <v>0</v>
      </c>
      <c r="AZ64" s="25">
        <v>0</v>
      </c>
      <c r="BA64" s="25">
        <v>0</v>
      </c>
      <c r="BB64" s="25">
        <v>0</v>
      </c>
      <c r="BC64" s="25">
        <v>0</v>
      </c>
      <c r="BD64" s="25">
        <v>0</v>
      </c>
      <c r="BE64" s="25">
        <v>0</v>
      </c>
      <c r="BF64" s="25">
        <v>0</v>
      </c>
      <c r="BG64" s="25">
        <v>0</v>
      </c>
      <c r="BH64" s="25">
        <v>0</v>
      </c>
      <c r="BI64" s="25">
        <v>0</v>
      </c>
      <c r="BJ64" s="25">
        <v>0</v>
      </c>
      <c r="BK64" s="25">
        <v>0</v>
      </c>
      <c r="BL64" s="25">
        <v>0</v>
      </c>
      <c r="BM64" s="25">
        <v>0</v>
      </c>
      <c r="BN64" s="25">
        <v>0</v>
      </c>
      <c r="BO64" s="25">
        <v>0</v>
      </c>
      <c r="BP64" s="25">
        <v>0</v>
      </c>
      <c r="BQ64" s="25">
        <v>0</v>
      </c>
      <c r="BR64" s="25">
        <v>0</v>
      </c>
      <c r="BS64" s="25">
        <v>0</v>
      </c>
      <c r="BT64" s="25">
        <v>0</v>
      </c>
      <c r="BU64" s="25">
        <v>0</v>
      </c>
      <c r="BV64" s="25">
        <v>0</v>
      </c>
      <c r="BW64" s="25">
        <v>0</v>
      </c>
      <c r="BX64" s="25">
        <v>0</v>
      </c>
      <c r="BY64" s="25">
        <v>0</v>
      </c>
      <c r="BZ64" s="25">
        <v>0</v>
      </c>
      <c r="CA64" s="25">
        <v>0</v>
      </c>
      <c r="CB64" s="25">
        <v>0</v>
      </c>
      <c r="CC64" s="25">
        <v>0</v>
      </c>
      <c r="CD64" s="25">
        <v>0</v>
      </c>
      <c r="CE64" s="25">
        <v>0</v>
      </c>
    </row>
    <row r="65" spans="1:83" ht="14.25" x14ac:dyDescent="0.2">
      <c r="A65" s="15" t="s">
        <v>1192</v>
      </c>
      <c r="B65" s="1">
        <f>COUNTIF('User data'!D:D,A65)</f>
        <v>0</v>
      </c>
      <c r="C65" s="18">
        <v>0</v>
      </c>
      <c r="D65" s="20">
        <f t="shared" si="0"/>
        <v>0</v>
      </c>
      <c r="F65" s="18">
        <f t="array" ref="F65:CE65">$B65*correlation!B65:CA65</f>
        <v>0</v>
      </c>
      <c r="G65" s="25">
        <v>0</v>
      </c>
      <c r="H65" s="25">
        <v>0</v>
      </c>
      <c r="I65" s="25">
        <v>0</v>
      </c>
      <c r="J65" s="25">
        <v>0</v>
      </c>
      <c r="K65" s="25">
        <v>0</v>
      </c>
      <c r="L65" s="25">
        <v>0</v>
      </c>
      <c r="M65" s="25">
        <v>0</v>
      </c>
      <c r="N65" s="25">
        <v>0</v>
      </c>
      <c r="O65" s="25">
        <v>0</v>
      </c>
      <c r="P65" s="25">
        <v>0</v>
      </c>
      <c r="Q65" s="25">
        <v>0</v>
      </c>
      <c r="R65" s="25">
        <v>0</v>
      </c>
      <c r="S65" s="25">
        <v>0</v>
      </c>
      <c r="T65" s="25">
        <v>0</v>
      </c>
      <c r="U65" s="25">
        <v>0</v>
      </c>
      <c r="V65" s="25">
        <v>0</v>
      </c>
      <c r="W65" s="25">
        <v>0</v>
      </c>
      <c r="X65" s="25">
        <v>0</v>
      </c>
      <c r="Y65" s="25">
        <v>0</v>
      </c>
      <c r="Z65" s="25">
        <v>0</v>
      </c>
      <c r="AA65" s="25">
        <v>0</v>
      </c>
      <c r="AB65" s="25">
        <v>0</v>
      </c>
      <c r="AC65" s="25">
        <v>0</v>
      </c>
      <c r="AD65" s="25">
        <v>0</v>
      </c>
      <c r="AE65" s="25">
        <v>0</v>
      </c>
      <c r="AF65" s="25">
        <v>0</v>
      </c>
      <c r="AG65" s="25">
        <v>0</v>
      </c>
      <c r="AH65" s="25">
        <v>0</v>
      </c>
      <c r="AI65" s="25">
        <v>0</v>
      </c>
      <c r="AJ65" s="25">
        <v>0</v>
      </c>
      <c r="AK65" s="25">
        <v>0</v>
      </c>
      <c r="AL65" s="25">
        <v>0</v>
      </c>
      <c r="AM65" s="25">
        <v>0</v>
      </c>
      <c r="AN65" s="25">
        <v>0</v>
      </c>
      <c r="AO65" s="25">
        <v>0</v>
      </c>
      <c r="AP65" s="25">
        <v>0</v>
      </c>
      <c r="AQ65" s="25">
        <v>0</v>
      </c>
      <c r="AR65" s="25">
        <v>0</v>
      </c>
      <c r="AS65" s="25">
        <v>0</v>
      </c>
      <c r="AT65" s="25">
        <v>0</v>
      </c>
      <c r="AU65" s="25">
        <v>0</v>
      </c>
      <c r="AV65" s="25">
        <v>0</v>
      </c>
      <c r="AW65" s="25">
        <v>0</v>
      </c>
      <c r="AX65" s="25">
        <v>0</v>
      </c>
      <c r="AY65" s="25">
        <v>0</v>
      </c>
      <c r="AZ65" s="25">
        <v>0</v>
      </c>
      <c r="BA65" s="25">
        <v>0</v>
      </c>
      <c r="BB65" s="25">
        <v>0</v>
      </c>
      <c r="BC65" s="25">
        <v>0</v>
      </c>
      <c r="BD65" s="25">
        <v>0</v>
      </c>
      <c r="BE65" s="25">
        <v>0</v>
      </c>
      <c r="BF65" s="25">
        <v>0</v>
      </c>
      <c r="BG65" s="25">
        <v>0</v>
      </c>
      <c r="BH65" s="25">
        <v>0</v>
      </c>
      <c r="BI65" s="25">
        <v>0</v>
      </c>
      <c r="BJ65" s="25">
        <v>0</v>
      </c>
      <c r="BK65" s="25">
        <v>0</v>
      </c>
      <c r="BL65" s="25">
        <v>0</v>
      </c>
      <c r="BM65" s="25">
        <v>0</v>
      </c>
      <c r="BN65" s="25">
        <v>0</v>
      </c>
      <c r="BO65" s="25">
        <v>0</v>
      </c>
      <c r="BP65" s="25">
        <v>0</v>
      </c>
      <c r="BQ65" s="25">
        <v>0</v>
      </c>
      <c r="BR65" s="25">
        <v>0</v>
      </c>
      <c r="BS65" s="25">
        <v>0</v>
      </c>
      <c r="BT65" s="25">
        <v>0</v>
      </c>
      <c r="BU65" s="25">
        <v>0</v>
      </c>
      <c r="BV65" s="25">
        <v>0</v>
      </c>
      <c r="BW65" s="25">
        <v>0</v>
      </c>
      <c r="BX65" s="25">
        <v>0</v>
      </c>
      <c r="BY65" s="25">
        <v>0</v>
      </c>
      <c r="BZ65" s="25">
        <v>0</v>
      </c>
      <c r="CA65" s="25">
        <v>0</v>
      </c>
      <c r="CB65" s="25">
        <v>0</v>
      </c>
      <c r="CC65" s="25">
        <v>0</v>
      </c>
      <c r="CD65" s="25">
        <v>0</v>
      </c>
      <c r="CE65" s="25">
        <v>0</v>
      </c>
    </row>
    <row r="66" spans="1:83" ht="14.25" x14ac:dyDescent="0.2">
      <c r="A66" s="15" t="s">
        <v>1193</v>
      </c>
      <c r="B66" s="1">
        <f>COUNTIF('User data'!D:D,A66)</f>
        <v>0</v>
      </c>
      <c r="C66" s="18">
        <v>0</v>
      </c>
      <c r="D66" s="20">
        <f t="shared" si="0"/>
        <v>0</v>
      </c>
      <c r="F66" s="18">
        <f t="array" ref="F66:CE66">$B66*correlation!B66:CA66</f>
        <v>0</v>
      </c>
      <c r="G66" s="25">
        <v>0</v>
      </c>
      <c r="H66" s="25">
        <v>0</v>
      </c>
      <c r="I66" s="25">
        <v>0</v>
      </c>
      <c r="J66" s="25">
        <v>0</v>
      </c>
      <c r="K66" s="25">
        <v>0</v>
      </c>
      <c r="L66" s="25">
        <v>0</v>
      </c>
      <c r="M66" s="25">
        <v>0</v>
      </c>
      <c r="N66" s="25">
        <v>0</v>
      </c>
      <c r="O66" s="25">
        <v>0</v>
      </c>
      <c r="P66" s="25">
        <v>0</v>
      </c>
      <c r="Q66" s="25">
        <v>0</v>
      </c>
      <c r="R66" s="25">
        <v>0</v>
      </c>
      <c r="S66" s="25">
        <v>0</v>
      </c>
      <c r="T66" s="25">
        <v>0</v>
      </c>
      <c r="U66" s="25">
        <v>0</v>
      </c>
      <c r="V66" s="25">
        <v>0</v>
      </c>
      <c r="W66" s="25">
        <v>0</v>
      </c>
      <c r="X66" s="25">
        <v>0</v>
      </c>
      <c r="Y66" s="25">
        <v>0</v>
      </c>
      <c r="Z66" s="25">
        <v>0</v>
      </c>
      <c r="AA66" s="25">
        <v>0</v>
      </c>
      <c r="AB66" s="25">
        <v>0</v>
      </c>
      <c r="AC66" s="25">
        <v>0</v>
      </c>
      <c r="AD66" s="25">
        <v>0</v>
      </c>
      <c r="AE66" s="25">
        <v>0</v>
      </c>
      <c r="AF66" s="25">
        <v>0</v>
      </c>
      <c r="AG66" s="25">
        <v>0</v>
      </c>
      <c r="AH66" s="25">
        <v>0</v>
      </c>
      <c r="AI66" s="25">
        <v>0</v>
      </c>
      <c r="AJ66" s="25">
        <v>0</v>
      </c>
      <c r="AK66" s="25">
        <v>0</v>
      </c>
      <c r="AL66" s="25">
        <v>0</v>
      </c>
      <c r="AM66" s="25">
        <v>0</v>
      </c>
      <c r="AN66" s="25">
        <v>0</v>
      </c>
      <c r="AO66" s="25">
        <v>0</v>
      </c>
      <c r="AP66" s="25">
        <v>0</v>
      </c>
      <c r="AQ66" s="25">
        <v>0</v>
      </c>
      <c r="AR66" s="25">
        <v>0</v>
      </c>
      <c r="AS66" s="25">
        <v>0</v>
      </c>
      <c r="AT66" s="25">
        <v>0</v>
      </c>
      <c r="AU66" s="25">
        <v>0</v>
      </c>
      <c r="AV66" s="25">
        <v>0</v>
      </c>
      <c r="AW66" s="25">
        <v>0</v>
      </c>
      <c r="AX66" s="25">
        <v>0</v>
      </c>
      <c r="AY66" s="25">
        <v>0</v>
      </c>
      <c r="AZ66" s="25">
        <v>0</v>
      </c>
      <c r="BA66" s="25">
        <v>0</v>
      </c>
      <c r="BB66" s="25">
        <v>0</v>
      </c>
      <c r="BC66" s="25">
        <v>0</v>
      </c>
      <c r="BD66" s="25">
        <v>0</v>
      </c>
      <c r="BE66" s="25">
        <v>0</v>
      </c>
      <c r="BF66" s="25">
        <v>0</v>
      </c>
      <c r="BG66" s="25">
        <v>0</v>
      </c>
      <c r="BH66" s="25">
        <v>0</v>
      </c>
      <c r="BI66" s="25">
        <v>0</v>
      </c>
      <c r="BJ66" s="25">
        <v>0</v>
      </c>
      <c r="BK66" s="25">
        <v>0</v>
      </c>
      <c r="BL66" s="25">
        <v>0</v>
      </c>
      <c r="BM66" s="25">
        <v>0</v>
      </c>
      <c r="BN66" s="25">
        <v>0</v>
      </c>
      <c r="BO66" s="25">
        <v>0</v>
      </c>
      <c r="BP66" s="25">
        <v>0</v>
      </c>
      <c r="BQ66" s="25">
        <v>0</v>
      </c>
      <c r="BR66" s="25">
        <v>0</v>
      </c>
      <c r="BS66" s="25">
        <v>0</v>
      </c>
      <c r="BT66" s="25">
        <v>0</v>
      </c>
      <c r="BU66" s="25">
        <v>0</v>
      </c>
      <c r="BV66" s="25">
        <v>0</v>
      </c>
      <c r="BW66" s="25">
        <v>0</v>
      </c>
      <c r="BX66" s="25">
        <v>0</v>
      </c>
      <c r="BY66" s="25">
        <v>0</v>
      </c>
      <c r="BZ66" s="25">
        <v>0</v>
      </c>
      <c r="CA66" s="25">
        <v>0</v>
      </c>
      <c r="CB66" s="25">
        <v>0</v>
      </c>
      <c r="CC66" s="25">
        <v>0</v>
      </c>
      <c r="CD66" s="25">
        <v>0</v>
      </c>
      <c r="CE66" s="25">
        <v>0</v>
      </c>
    </row>
    <row r="67" spans="1:83" ht="14.25" x14ac:dyDescent="0.2">
      <c r="A67" s="15" t="s">
        <v>1194</v>
      </c>
      <c r="B67" s="1">
        <f>COUNTIF('User data'!D:D,A67)</f>
        <v>0</v>
      </c>
      <c r="C67" s="18">
        <v>0</v>
      </c>
      <c r="D67" s="20">
        <f t="shared" si="0"/>
        <v>0</v>
      </c>
      <c r="F67" s="18">
        <f t="array" ref="F67:CE67">$B67*correlation!B67:CA67</f>
        <v>0</v>
      </c>
      <c r="G67" s="25">
        <v>0</v>
      </c>
      <c r="H67" s="25">
        <v>0</v>
      </c>
      <c r="I67" s="25">
        <v>0</v>
      </c>
      <c r="J67" s="25">
        <v>0</v>
      </c>
      <c r="K67" s="25">
        <v>0</v>
      </c>
      <c r="L67" s="25">
        <v>0</v>
      </c>
      <c r="M67" s="25">
        <v>0</v>
      </c>
      <c r="N67" s="25">
        <v>0</v>
      </c>
      <c r="O67" s="25">
        <v>0</v>
      </c>
      <c r="P67" s="25">
        <v>0</v>
      </c>
      <c r="Q67" s="25">
        <v>0</v>
      </c>
      <c r="R67" s="25">
        <v>0</v>
      </c>
      <c r="S67" s="25">
        <v>0</v>
      </c>
      <c r="T67" s="25">
        <v>0</v>
      </c>
      <c r="U67" s="25">
        <v>0</v>
      </c>
      <c r="V67" s="25">
        <v>0</v>
      </c>
      <c r="W67" s="25">
        <v>0</v>
      </c>
      <c r="X67" s="25">
        <v>0</v>
      </c>
      <c r="Y67" s="25">
        <v>0</v>
      </c>
      <c r="Z67" s="25">
        <v>0</v>
      </c>
      <c r="AA67" s="25">
        <v>0</v>
      </c>
      <c r="AB67" s="25">
        <v>0</v>
      </c>
      <c r="AC67" s="25">
        <v>0</v>
      </c>
      <c r="AD67" s="25">
        <v>0</v>
      </c>
      <c r="AE67" s="25">
        <v>0</v>
      </c>
      <c r="AF67" s="25">
        <v>0</v>
      </c>
      <c r="AG67" s="25">
        <v>0</v>
      </c>
      <c r="AH67" s="25">
        <v>0</v>
      </c>
      <c r="AI67" s="25">
        <v>0</v>
      </c>
      <c r="AJ67" s="25">
        <v>0</v>
      </c>
      <c r="AK67" s="25">
        <v>0</v>
      </c>
      <c r="AL67" s="25">
        <v>0</v>
      </c>
      <c r="AM67" s="25">
        <v>0</v>
      </c>
      <c r="AN67" s="25">
        <v>0</v>
      </c>
      <c r="AO67" s="25">
        <v>0</v>
      </c>
      <c r="AP67" s="25">
        <v>0</v>
      </c>
      <c r="AQ67" s="25">
        <v>0</v>
      </c>
      <c r="AR67" s="25">
        <v>0</v>
      </c>
      <c r="AS67" s="25">
        <v>0</v>
      </c>
      <c r="AT67" s="25">
        <v>0</v>
      </c>
      <c r="AU67" s="25">
        <v>0</v>
      </c>
      <c r="AV67" s="25">
        <v>0</v>
      </c>
      <c r="AW67" s="25">
        <v>0</v>
      </c>
      <c r="AX67" s="25">
        <v>0</v>
      </c>
      <c r="AY67" s="25">
        <v>0</v>
      </c>
      <c r="AZ67" s="25">
        <v>0</v>
      </c>
      <c r="BA67" s="25">
        <v>0</v>
      </c>
      <c r="BB67" s="25">
        <v>0</v>
      </c>
      <c r="BC67" s="25">
        <v>0</v>
      </c>
      <c r="BD67" s="25">
        <v>0</v>
      </c>
      <c r="BE67" s="25">
        <v>0</v>
      </c>
      <c r="BF67" s="25">
        <v>0</v>
      </c>
      <c r="BG67" s="25">
        <v>0</v>
      </c>
      <c r="BH67" s="25">
        <v>0</v>
      </c>
      <c r="BI67" s="25">
        <v>0</v>
      </c>
      <c r="BJ67" s="25">
        <v>0</v>
      </c>
      <c r="BK67" s="25">
        <v>0</v>
      </c>
      <c r="BL67" s="25">
        <v>0</v>
      </c>
      <c r="BM67" s="25">
        <v>0</v>
      </c>
      <c r="BN67" s="25">
        <v>0</v>
      </c>
      <c r="BO67" s="25">
        <v>0</v>
      </c>
      <c r="BP67" s="25">
        <v>0</v>
      </c>
      <c r="BQ67" s="25">
        <v>0</v>
      </c>
      <c r="BR67" s="25">
        <v>0</v>
      </c>
      <c r="BS67" s="25">
        <v>0</v>
      </c>
      <c r="BT67" s="25">
        <v>0</v>
      </c>
      <c r="BU67" s="25">
        <v>0</v>
      </c>
      <c r="BV67" s="25">
        <v>0</v>
      </c>
      <c r="BW67" s="25">
        <v>0</v>
      </c>
      <c r="BX67" s="25">
        <v>0</v>
      </c>
      <c r="BY67" s="25">
        <v>0</v>
      </c>
      <c r="BZ67" s="25">
        <v>0</v>
      </c>
      <c r="CA67" s="25">
        <v>0</v>
      </c>
      <c r="CB67" s="25">
        <v>0</v>
      </c>
      <c r="CC67" s="25">
        <v>0</v>
      </c>
      <c r="CD67" s="25">
        <v>0</v>
      </c>
      <c r="CE67" s="25">
        <v>0</v>
      </c>
    </row>
    <row r="68" spans="1:83" ht="14.25" x14ac:dyDescent="0.2">
      <c r="A68" s="15" t="s">
        <v>1195</v>
      </c>
      <c r="B68" s="1">
        <f>COUNTIF('User data'!D:D,A68)</f>
        <v>0</v>
      </c>
      <c r="C68" s="18">
        <v>0</v>
      </c>
      <c r="D68" s="20">
        <f t="shared" si="0"/>
        <v>0</v>
      </c>
      <c r="F68" s="18">
        <f t="array" ref="F68:CE68">$B68*correlation!B68:CA68</f>
        <v>0</v>
      </c>
      <c r="G68" s="25">
        <v>0</v>
      </c>
      <c r="H68" s="25">
        <v>0</v>
      </c>
      <c r="I68" s="25">
        <v>0</v>
      </c>
      <c r="J68" s="25">
        <v>0</v>
      </c>
      <c r="K68" s="25">
        <v>0</v>
      </c>
      <c r="L68" s="25">
        <v>0</v>
      </c>
      <c r="M68" s="25">
        <v>0</v>
      </c>
      <c r="N68" s="25">
        <v>0</v>
      </c>
      <c r="O68" s="25">
        <v>0</v>
      </c>
      <c r="P68" s="25">
        <v>0</v>
      </c>
      <c r="Q68" s="25">
        <v>0</v>
      </c>
      <c r="R68" s="25">
        <v>0</v>
      </c>
      <c r="S68" s="25">
        <v>0</v>
      </c>
      <c r="T68" s="25">
        <v>0</v>
      </c>
      <c r="U68" s="25">
        <v>0</v>
      </c>
      <c r="V68" s="25">
        <v>0</v>
      </c>
      <c r="W68" s="25">
        <v>0</v>
      </c>
      <c r="X68" s="25">
        <v>0</v>
      </c>
      <c r="Y68" s="25">
        <v>0</v>
      </c>
      <c r="Z68" s="25">
        <v>0</v>
      </c>
      <c r="AA68" s="25">
        <v>0</v>
      </c>
      <c r="AB68" s="25">
        <v>0</v>
      </c>
      <c r="AC68" s="25">
        <v>0</v>
      </c>
      <c r="AD68" s="25">
        <v>0</v>
      </c>
      <c r="AE68" s="25">
        <v>0</v>
      </c>
      <c r="AF68" s="25">
        <v>0</v>
      </c>
      <c r="AG68" s="25">
        <v>0</v>
      </c>
      <c r="AH68" s="25">
        <v>0</v>
      </c>
      <c r="AI68" s="25">
        <v>0</v>
      </c>
      <c r="AJ68" s="25">
        <v>0</v>
      </c>
      <c r="AK68" s="25">
        <v>0</v>
      </c>
      <c r="AL68" s="25">
        <v>0</v>
      </c>
      <c r="AM68" s="25">
        <v>0</v>
      </c>
      <c r="AN68" s="25">
        <v>0</v>
      </c>
      <c r="AO68" s="25">
        <v>0</v>
      </c>
      <c r="AP68" s="25">
        <v>0</v>
      </c>
      <c r="AQ68" s="25">
        <v>0</v>
      </c>
      <c r="AR68" s="25">
        <v>0</v>
      </c>
      <c r="AS68" s="25">
        <v>0</v>
      </c>
      <c r="AT68" s="25">
        <v>0</v>
      </c>
      <c r="AU68" s="25">
        <v>0</v>
      </c>
      <c r="AV68" s="25">
        <v>0</v>
      </c>
      <c r="AW68" s="25">
        <v>0</v>
      </c>
      <c r="AX68" s="25">
        <v>0</v>
      </c>
      <c r="AY68" s="25">
        <v>0</v>
      </c>
      <c r="AZ68" s="25">
        <v>0</v>
      </c>
      <c r="BA68" s="25">
        <v>0</v>
      </c>
      <c r="BB68" s="25">
        <v>0</v>
      </c>
      <c r="BC68" s="25">
        <v>0</v>
      </c>
      <c r="BD68" s="25">
        <v>0</v>
      </c>
      <c r="BE68" s="25">
        <v>0</v>
      </c>
      <c r="BF68" s="25">
        <v>0</v>
      </c>
      <c r="BG68" s="25">
        <v>0</v>
      </c>
      <c r="BH68" s="25">
        <v>0</v>
      </c>
      <c r="BI68" s="25">
        <v>0</v>
      </c>
      <c r="BJ68" s="25">
        <v>0</v>
      </c>
      <c r="BK68" s="25">
        <v>0</v>
      </c>
      <c r="BL68" s="25">
        <v>0</v>
      </c>
      <c r="BM68" s="25">
        <v>0</v>
      </c>
      <c r="BN68" s="25">
        <v>0</v>
      </c>
      <c r="BO68" s="25">
        <v>0</v>
      </c>
      <c r="BP68" s="25">
        <v>0</v>
      </c>
      <c r="BQ68" s="25">
        <v>0</v>
      </c>
      <c r="BR68" s="25">
        <v>0</v>
      </c>
      <c r="BS68" s="25">
        <v>0</v>
      </c>
      <c r="BT68" s="25">
        <v>0</v>
      </c>
      <c r="BU68" s="25">
        <v>0</v>
      </c>
      <c r="BV68" s="25">
        <v>0</v>
      </c>
      <c r="BW68" s="25">
        <v>0</v>
      </c>
      <c r="BX68" s="25">
        <v>0</v>
      </c>
      <c r="BY68" s="25">
        <v>0</v>
      </c>
      <c r="BZ68" s="25">
        <v>0</v>
      </c>
      <c r="CA68" s="25">
        <v>0</v>
      </c>
      <c r="CB68" s="25">
        <v>0</v>
      </c>
      <c r="CC68" s="25">
        <v>0</v>
      </c>
      <c r="CD68" s="25">
        <v>0</v>
      </c>
      <c r="CE68" s="25">
        <v>0</v>
      </c>
    </row>
    <row r="69" spans="1:83" ht="14.25" x14ac:dyDescent="0.2">
      <c r="A69" s="15" t="s">
        <v>1196</v>
      </c>
      <c r="B69" s="1">
        <f>COUNTIF('User data'!D:D,A69)</f>
        <v>0</v>
      </c>
      <c r="C69" s="18">
        <v>1.6</v>
      </c>
      <c r="D69" s="20">
        <f t="shared" si="0"/>
        <v>1.7859136064292892E-2</v>
      </c>
      <c r="F69" s="18">
        <f t="array" ref="F69:CE69">$B69*correlation!B69:CA69</f>
        <v>0</v>
      </c>
      <c r="G69" s="25">
        <v>0</v>
      </c>
      <c r="H69" s="25">
        <v>0</v>
      </c>
      <c r="I69" s="25">
        <v>0</v>
      </c>
      <c r="J69" s="25">
        <v>0</v>
      </c>
      <c r="K69" s="25">
        <v>0</v>
      </c>
      <c r="L69" s="25">
        <v>0</v>
      </c>
      <c r="M69" s="25">
        <v>0</v>
      </c>
      <c r="N69" s="25">
        <v>0</v>
      </c>
      <c r="O69" s="25">
        <v>0</v>
      </c>
      <c r="P69" s="25">
        <v>0</v>
      </c>
      <c r="Q69" s="25">
        <v>0</v>
      </c>
      <c r="R69" s="25">
        <v>0</v>
      </c>
      <c r="S69" s="25">
        <v>0</v>
      </c>
      <c r="T69" s="25">
        <v>0</v>
      </c>
      <c r="U69" s="25">
        <v>0</v>
      </c>
      <c r="V69" s="25">
        <v>0</v>
      </c>
      <c r="W69" s="25">
        <v>0</v>
      </c>
      <c r="X69" s="25">
        <v>0</v>
      </c>
      <c r="Y69" s="25">
        <v>0</v>
      </c>
      <c r="Z69" s="25">
        <v>0</v>
      </c>
      <c r="AA69" s="25">
        <v>0</v>
      </c>
      <c r="AB69" s="25">
        <v>0</v>
      </c>
      <c r="AC69" s="25">
        <v>0</v>
      </c>
      <c r="AD69" s="25">
        <v>0</v>
      </c>
      <c r="AE69" s="25">
        <v>0</v>
      </c>
      <c r="AF69" s="25">
        <v>0</v>
      </c>
      <c r="AG69" s="25">
        <v>0</v>
      </c>
      <c r="AH69" s="25">
        <v>0</v>
      </c>
      <c r="AI69" s="25">
        <v>0</v>
      </c>
      <c r="AJ69" s="25">
        <v>0</v>
      </c>
      <c r="AK69" s="25">
        <v>0</v>
      </c>
      <c r="AL69" s="25">
        <v>0</v>
      </c>
      <c r="AM69" s="25">
        <v>0</v>
      </c>
      <c r="AN69" s="25">
        <v>0</v>
      </c>
      <c r="AO69" s="25">
        <v>0</v>
      </c>
      <c r="AP69" s="25">
        <v>0</v>
      </c>
      <c r="AQ69" s="25">
        <v>0</v>
      </c>
      <c r="AR69" s="25">
        <v>0</v>
      </c>
      <c r="AS69" s="25">
        <v>0</v>
      </c>
      <c r="AT69" s="25">
        <v>0</v>
      </c>
      <c r="AU69" s="25">
        <v>0</v>
      </c>
      <c r="AV69" s="25">
        <v>0</v>
      </c>
      <c r="AW69" s="25">
        <v>0</v>
      </c>
      <c r="AX69" s="25">
        <v>0</v>
      </c>
      <c r="AY69" s="25">
        <v>0</v>
      </c>
      <c r="AZ69" s="25">
        <v>0</v>
      </c>
      <c r="BA69" s="25">
        <v>0</v>
      </c>
      <c r="BB69" s="25">
        <v>0</v>
      </c>
      <c r="BC69" s="25">
        <v>0</v>
      </c>
      <c r="BD69" s="25">
        <v>0</v>
      </c>
      <c r="BE69" s="25">
        <v>0</v>
      </c>
      <c r="BF69" s="25">
        <v>0</v>
      </c>
      <c r="BG69" s="25">
        <v>0</v>
      </c>
      <c r="BH69" s="25">
        <v>0</v>
      </c>
      <c r="BI69" s="25">
        <v>0</v>
      </c>
      <c r="BJ69" s="25">
        <v>0</v>
      </c>
      <c r="BK69" s="25">
        <v>0</v>
      </c>
      <c r="BL69" s="25">
        <v>0</v>
      </c>
      <c r="BM69" s="25">
        <v>0</v>
      </c>
      <c r="BN69" s="25">
        <v>0</v>
      </c>
      <c r="BO69" s="25">
        <v>0</v>
      </c>
      <c r="BP69" s="25">
        <v>0</v>
      </c>
      <c r="BQ69" s="25">
        <v>0</v>
      </c>
      <c r="BR69" s="25">
        <v>0</v>
      </c>
      <c r="BS69" s="25">
        <v>0</v>
      </c>
      <c r="BT69" s="25">
        <v>0</v>
      </c>
      <c r="BU69" s="25">
        <v>0</v>
      </c>
      <c r="BV69" s="25">
        <v>0</v>
      </c>
      <c r="BW69" s="25">
        <v>0</v>
      </c>
      <c r="BX69" s="25">
        <v>0</v>
      </c>
      <c r="BY69" s="25">
        <v>0</v>
      </c>
      <c r="BZ69" s="25">
        <v>0</v>
      </c>
      <c r="CA69" s="25">
        <v>0</v>
      </c>
      <c r="CB69" s="25">
        <v>0</v>
      </c>
      <c r="CC69" s="25">
        <v>0</v>
      </c>
      <c r="CD69" s="25">
        <v>0</v>
      </c>
      <c r="CE69" s="25">
        <v>0</v>
      </c>
    </row>
    <row r="70" spans="1:83" ht="14.25" x14ac:dyDescent="0.2">
      <c r="A70" s="15" t="s">
        <v>1197</v>
      </c>
      <c r="B70" s="1">
        <f>COUNTIF('User data'!D:D,A70)</f>
        <v>0</v>
      </c>
      <c r="C70" s="18">
        <v>2.57</v>
      </c>
      <c r="D70" s="20">
        <f t="shared" si="0"/>
        <v>2.868623730327045E-2</v>
      </c>
      <c r="F70" s="18">
        <f t="array" ref="F70:CE70">$B70*correlation!B70:CA70</f>
        <v>0</v>
      </c>
      <c r="G70" s="25">
        <v>0</v>
      </c>
      <c r="H70" s="25">
        <v>0</v>
      </c>
      <c r="I70" s="25">
        <v>0</v>
      </c>
      <c r="J70" s="25">
        <v>0</v>
      </c>
      <c r="K70" s="25">
        <v>0</v>
      </c>
      <c r="L70" s="25">
        <v>0</v>
      </c>
      <c r="M70" s="25">
        <v>0</v>
      </c>
      <c r="N70" s="25">
        <v>0</v>
      </c>
      <c r="O70" s="25">
        <v>0</v>
      </c>
      <c r="P70" s="25">
        <v>0</v>
      </c>
      <c r="Q70" s="25">
        <v>0</v>
      </c>
      <c r="R70" s="25">
        <v>0</v>
      </c>
      <c r="S70" s="25">
        <v>0</v>
      </c>
      <c r="T70" s="25">
        <v>0</v>
      </c>
      <c r="U70" s="25">
        <v>0</v>
      </c>
      <c r="V70" s="25">
        <v>0</v>
      </c>
      <c r="W70" s="25">
        <v>0</v>
      </c>
      <c r="X70" s="25">
        <v>0</v>
      </c>
      <c r="Y70" s="25">
        <v>0</v>
      </c>
      <c r="Z70" s="25">
        <v>0</v>
      </c>
      <c r="AA70" s="25">
        <v>0</v>
      </c>
      <c r="AB70" s="25">
        <v>0</v>
      </c>
      <c r="AC70" s="25">
        <v>0</v>
      </c>
      <c r="AD70" s="25">
        <v>0</v>
      </c>
      <c r="AE70" s="25">
        <v>0</v>
      </c>
      <c r="AF70" s="25">
        <v>0</v>
      </c>
      <c r="AG70" s="25">
        <v>0</v>
      </c>
      <c r="AH70" s="25">
        <v>0</v>
      </c>
      <c r="AI70" s="25">
        <v>0</v>
      </c>
      <c r="AJ70" s="25">
        <v>0</v>
      </c>
      <c r="AK70" s="25">
        <v>0</v>
      </c>
      <c r="AL70" s="25">
        <v>0</v>
      </c>
      <c r="AM70" s="25">
        <v>0</v>
      </c>
      <c r="AN70" s="25">
        <v>0</v>
      </c>
      <c r="AO70" s="25">
        <v>0</v>
      </c>
      <c r="AP70" s="25">
        <v>0</v>
      </c>
      <c r="AQ70" s="25">
        <v>0</v>
      </c>
      <c r="AR70" s="25">
        <v>0</v>
      </c>
      <c r="AS70" s="25">
        <v>0</v>
      </c>
      <c r="AT70" s="25">
        <v>0</v>
      </c>
      <c r="AU70" s="25">
        <v>0</v>
      </c>
      <c r="AV70" s="25">
        <v>0</v>
      </c>
      <c r="AW70" s="25">
        <v>0</v>
      </c>
      <c r="AX70" s="25">
        <v>0</v>
      </c>
      <c r="AY70" s="25">
        <v>0</v>
      </c>
      <c r="AZ70" s="25">
        <v>0</v>
      </c>
      <c r="BA70" s="25">
        <v>0</v>
      </c>
      <c r="BB70" s="25">
        <v>0</v>
      </c>
      <c r="BC70" s="25">
        <v>0</v>
      </c>
      <c r="BD70" s="25">
        <v>0</v>
      </c>
      <c r="BE70" s="25">
        <v>0</v>
      </c>
      <c r="BF70" s="25">
        <v>0</v>
      </c>
      <c r="BG70" s="25">
        <v>0</v>
      </c>
      <c r="BH70" s="25">
        <v>0</v>
      </c>
      <c r="BI70" s="25">
        <v>0</v>
      </c>
      <c r="BJ70" s="25">
        <v>0</v>
      </c>
      <c r="BK70" s="25">
        <v>0</v>
      </c>
      <c r="BL70" s="25">
        <v>0</v>
      </c>
      <c r="BM70" s="25">
        <v>0</v>
      </c>
      <c r="BN70" s="25">
        <v>0</v>
      </c>
      <c r="BO70" s="25">
        <v>0</v>
      </c>
      <c r="BP70" s="25">
        <v>0</v>
      </c>
      <c r="BQ70" s="25">
        <v>0</v>
      </c>
      <c r="BR70" s="25">
        <v>0</v>
      </c>
      <c r="BS70" s="25">
        <v>0</v>
      </c>
      <c r="BT70" s="25">
        <v>0</v>
      </c>
      <c r="BU70" s="25">
        <v>0</v>
      </c>
      <c r="BV70" s="25">
        <v>0</v>
      </c>
      <c r="BW70" s="25">
        <v>0</v>
      </c>
      <c r="BX70" s="25">
        <v>0</v>
      </c>
      <c r="BY70" s="25">
        <v>0</v>
      </c>
      <c r="BZ70" s="25">
        <v>0</v>
      </c>
      <c r="CA70" s="25">
        <v>0</v>
      </c>
      <c r="CB70" s="25">
        <v>0</v>
      </c>
      <c r="CC70" s="25">
        <v>0</v>
      </c>
      <c r="CD70" s="25">
        <v>0</v>
      </c>
      <c r="CE70" s="25">
        <v>0</v>
      </c>
    </row>
    <row r="71" spans="1:83" ht="14.25" x14ac:dyDescent="0.2">
      <c r="A71" s="15" t="s">
        <v>1198</v>
      </c>
      <c r="B71" s="1">
        <f>COUNTIF('User data'!D:D,A71)</f>
        <v>0</v>
      </c>
      <c r="C71" s="18">
        <v>2.3200000000000003</v>
      </c>
      <c r="D71" s="20">
        <f t="shared" si="0"/>
        <v>2.5895747293224691E-2</v>
      </c>
      <c r="F71" s="18">
        <f t="array" ref="F71:CE71">$B71*correlation!B71:CA71</f>
        <v>0</v>
      </c>
      <c r="G71" s="25">
        <v>0</v>
      </c>
      <c r="H71" s="25">
        <v>0</v>
      </c>
      <c r="I71" s="25">
        <v>0</v>
      </c>
      <c r="J71" s="25">
        <v>0</v>
      </c>
      <c r="K71" s="25">
        <v>0</v>
      </c>
      <c r="L71" s="25">
        <v>0</v>
      </c>
      <c r="M71" s="25">
        <v>0</v>
      </c>
      <c r="N71" s="25">
        <v>0</v>
      </c>
      <c r="O71" s="25">
        <v>0</v>
      </c>
      <c r="P71" s="25">
        <v>0</v>
      </c>
      <c r="Q71" s="25">
        <v>0</v>
      </c>
      <c r="R71" s="25">
        <v>0</v>
      </c>
      <c r="S71" s="25">
        <v>0</v>
      </c>
      <c r="T71" s="25">
        <v>0</v>
      </c>
      <c r="U71" s="25">
        <v>0</v>
      </c>
      <c r="V71" s="25">
        <v>0</v>
      </c>
      <c r="W71" s="25">
        <v>0</v>
      </c>
      <c r="X71" s="25">
        <v>0</v>
      </c>
      <c r="Y71" s="25">
        <v>0</v>
      </c>
      <c r="Z71" s="25">
        <v>0</v>
      </c>
      <c r="AA71" s="25">
        <v>0</v>
      </c>
      <c r="AB71" s="25">
        <v>0</v>
      </c>
      <c r="AC71" s="25">
        <v>0</v>
      </c>
      <c r="AD71" s="25">
        <v>0</v>
      </c>
      <c r="AE71" s="25">
        <v>0</v>
      </c>
      <c r="AF71" s="25">
        <v>0</v>
      </c>
      <c r="AG71" s="25">
        <v>0</v>
      </c>
      <c r="AH71" s="25">
        <v>0</v>
      </c>
      <c r="AI71" s="25">
        <v>0</v>
      </c>
      <c r="AJ71" s="25">
        <v>0</v>
      </c>
      <c r="AK71" s="25">
        <v>0</v>
      </c>
      <c r="AL71" s="25">
        <v>0</v>
      </c>
      <c r="AM71" s="25">
        <v>0</v>
      </c>
      <c r="AN71" s="25">
        <v>0</v>
      </c>
      <c r="AO71" s="25">
        <v>0</v>
      </c>
      <c r="AP71" s="25">
        <v>0</v>
      </c>
      <c r="AQ71" s="25">
        <v>0</v>
      </c>
      <c r="AR71" s="25">
        <v>0</v>
      </c>
      <c r="AS71" s="25">
        <v>0</v>
      </c>
      <c r="AT71" s="25">
        <v>0</v>
      </c>
      <c r="AU71" s="25">
        <v>0</v>
      </c>
      <c r="AV71" s="25">
        <v>0</v>
      </c>
      <c r="AW71" s="25">
        <v>0</v>
      </c>
      <c r="AX71" s="25">
        <v>0</v>
      </c>
      <c r="AY71" s="25">
        <v>0</v>
      </c>
      <c r="AZ71" s="25">
        <v>0</v>
      </c>
      <c r="BA71" s="25">
        <v>0</v>
      </c>
      <c r="BB71" s="25">
        <v>0</v>
      </c>
      <c r="BC71" s="25">
        <v>0</v>
      </c>
      <c r="BD71" s="25">
        <v>0</v>
      </c>
      <c r="BE71" s="25">
        <v>0</v>
      </c>
      <c r="BF71" s="25">
        <v>0</v>
      </c>
      <c r="BG71" s="25">
        <v>0</v>
      </c>
      <c r="BH71" s="25">
        <v>0</v>
      </c>
      <c r="BI71" s="25">
        <v>0</v>
      </c>
      <c r="BJ71" s="25">
        <v>0</v>
      </c>
      <c r="BK71" s="25">
        <v>0</v>
      </c>
      <c r="BL71" s="25">
        <v>0</v>
      </c>
      <c r="BM71" s="25">
        <v>0</v>
      </c>
      <c r="BN71" s="25">
        <v>0</v>
      </c>
      <c r="BO71" s="25">
        <v>0</v>
      </c>
      <c r="BP71" s="25">
        <v>0</v>
      </c>
      <c r="BQ71" s="25">
        <v>0</v>
      </c>
      <c r="BR71" s="25">
        <v>0</v>
      </c>
      <c r="BS71" s="25">
        <v>0</v>
      </c>
      <c r="BT71" s="25">
        <v>0</v>
      </c>
      <c r="BU71" s="25">
        <v>0</v>
      </c>
      <c r="BV71" s="25">
        <v>0</v>
      </c>
      <c r="BW71" s="25">
        <v>0</v>
      </c>
      <c r="BX71" s="25">
        <v>0</v>
      </c>
      <c r="BY71" s="25">
        <v>0</v>
      </c>
      <c r="BZ71" s="25">
        <v>0</v>
      </c>
      <c r="CA71" s="25">
        <v>0</v>
      </c>
      <c r="CB71" s="25">
        <v>0</v>
      </c>
      <c r="CC71" s="25">
        <v>0</v>
      </c>
      <c r="CD71" s="25">
        <v>0</v>
      </c>
      <c r="CE71" s="25">
        <v>0</v>
      </c>
    </row>
    <row r="72" spans="1:83" ht="14.25" x14ac:dyDescent="0.2">
      <c r="A72" s="15" t="s">
        <v>1199</v>
      </c>
      <c r="B72" s="1">
        <f>COUNTIF('User data'!D:D,A72)</f>
        <v>0</v>
      </c>
      <c r="C72" s="18">
        <v>0.48</v>
      </c>
      <c r="D72" s="20">
        <f t="shared" si="0"/>
        <v>5.3577408192878664E-3</v>
      </c>
      <c r="F72" s="18">
        <f t="array" ref="F72:CE72">$B72*correlation!B72:CA72</f>
        <v>0</v>
      </c>
      <c r="G72" s="25">
        <v>0</v>
      </c>
      <c r="H72" s="25">
        <v>0</v>
      </c>
      <c r="I72" s="25">
        <v>0</v>
      </c>
      <c r="J72" s="25">
        <v>0</v>
      </c>
      <c r="K72" s="25">
        <v>0</v>
      </c>
      <c r="L72" s="25">
        <v>0</v>
      </c>
      <c r="M72" s="25">
        <v>0</v>
      </c>
      <c r="N72" s="25">
        <v>0</v>
      </c>
      <c r="O72" s="25">
        <v>0</v>
      </c>
      <c r="P72" s="25">
        <v>0</v>
      </c>
      <c r="Q72" s="25">
        <v>0</v>
      </c>
      <c r="R72" s="25">
        <v>0</v>
      </c>
      <c r="S72" s="25">
        <v>0</v>
      </c>
      <c r="T72" s="25">
        <v>0</v>
      </c>
      <c r="U72" s="25">
        <v>0</v>
      </c>
      <c r="V72" s="25">
        <v>0</v>
      </c>
      <c r="W72" s="25">
        <v>0</v>
      </c>
      <c r="X72" s="25">
        <v>0</v>
      </c>
      <c r="Y72" s="25">
        <v>0</v>
      </c>
      <c r="Z72" s="25">
        <v>0</v>
      </c>
      <c r="AA72" s="25">
        <v>0</v>
      </c>
      <c r="AB72" s="25">
        <v>0</v>
      </c>
      <c r="AC72" s="25">
        <v>0</v>
      </c>
      <c r="AD72" s="25">
        <v>0</v>
      </c>
      <c r="AE72" s="25">
        <v>0</v>
      </c>
      <c r="AF72" s="25">
        <v>0</v>
      </c>
      <c r="AG72" s="25">
        <v>0</v>
      </c>
      <c r="AH72" s="25">
        <v>0</v>
      </c>
      <c r="AI72" s="25">
        <v>0</v>
      </c>
      <c r="AJ72" s="25">
        <v>0</v>
      </c>
      <c r="AK72" s="25">
        <v>0</v>
      </c>
      <c r="AL72" s="25">
        <v>0</v>
      </c>
      <c r="AM72" s="25">
        <v>0</v>
      </c>
      <c r="AN72" s="25">
        <v>0</v>
      </c>
      <c r="AO72" s="25">
        <v>0</v>
      </c>
      <c r="AP72" s="25">
        <v>0</v>
      </c>
      <c r="AQ72" s="25">
        <v>0</v>
      </c>
      <c r="AR72" s="25">
        <v>0</v>
      </c>
      <c r="AS72" s="25">
        <v>0</v>
      </c>
      <c r="AT72" s="25">
        <v>0</v>
      </c>
      <c r="AU72" s="25">
        <v>0</v>
      </c>
      <c r="AV72" s="25">
        <v>0</v>
      </c>
      <c r="AW72" s="25">
        <v>0</v>
      </c>
      <c r="AX72" s="25">
        <v>0</v>
      </c>
      <c r="AY72" s="25">
        <v>0</v>
      </c>
      <c r="AZ72" s="25">
        <v>0</v>
      </c>
      <c r="BA72" s="25">
        <v>0</v>
      </c>
      <c r="BB72" s="25">
        <v>0</v>
      </c>
      <c r="BC72" s="25">
        <v>0</v>
      </c>
      <c r="BD72" s="25">
        <v>0</v>
      </c>
      <c r="BE72" s="25">
        <v>0</v>
      </c>
      <c r="BF72" s="25">
        <v>0</v>
      </c>
      <c r="BG72" s="25">
        <v>0</v>
      </c>
      <c r="BH72" s="25">
        <v>0</v>
      </c>
      <c r="BI72" s="25">
        <v>0</v>
      </c>
      <c r="BJ72" s="25">
        <v>0</v>
      </c>
      <c r="BK72" s="25">
        <v>0</v>
      </c>
      <c r="BL72" s="25">
        <v>0</v>
      </c>
      <c r="BM72" s="25">
        <v>0</v>
      </c>
      <c r="BN72" s="25">
        <v>0</v>
      </c>
      <c r="BO72" s="25">
        <v>0</v>
      </c>
      <c r="BP72" s="25">
        <v>0</v>
      </c>
      <c r="BQ72" s="25">
        <v>0</v>
      </c>
      <c r="BR72" s="25">
        <v>0</v>
      </c>
      <c r="BS72" s="25">
        <v>0</v>
      </c>
      <c r="BT72" s="25">
        <v>0</v>
      </c>
      <c r="BU72" s="25">
        <v>0</v>
      </c>
      <c r="BV72" s="25">
        <v>0</v>
      </c>
      <c r="BW72" s="25">
        <v>0</v>
      </c>
      <c r="BX72" s="25">
        <v>0</v>
      </c>
      <c r="BY72" s="25">
        <v>0</v>
      </c>
      <c r="BZ72" s="25">
        <v>0</v>
      </c>
      <c r="CA72" s="25">
        <v>0</v>
      </c>
      <c r="CB72" s="25">
        <v>0</v>
      </c>
      <c r="CC72" s="25">
        <v>0</v>
      </c>
      <c r="CD72" s="25">
        <v>0</v>
      </c>
      <c r="CE72" s="25">
        <v>0</v>
      </c>
    </row>
    <row r="73" spans="1:83" ht="14.25" x14ac:dyDescent="0.2">
      <c r="A73" s="15" t="s">
        <v>1200</v>
      </c>
      <c r="B73" s="1">
        <f>COUNTIF('User data'!D:D,A73)</f>
        <v>0</v>
      </c>
      <c r="C73" s="18">
        <v>3.1300000000000003</v>
      </c>
      <c r="D73" s="20">
        <f t="shared" si="0"/>
        <v>3.4936934925772968E-2</v>
      </c>
      <c r="F73" s="18">
        <f t="array" ref="F73:CE73">$B73*correlation!B73:CA73</f>
        <v>0</v>
      </c>
      <c r="G73" s="25">
        <v>0</v>
      </c>
      <c r="H73" s="25">
        <v>0</v>
      </c>
      <c r="I73" s="25">
        <v>0</v>
      </c>
      <c r="J73" s="25">
        <v>0</v>
      </c>
      <c r="K73" s="25">
        <v>0</v>
      </c>
      <c r="L73" s="25">
        <v>0</v>
      </c>
      <c r="M73" s="25">
        <v>0</v>
      </c>
      <c r="N73" s="25">
        <v>0</v>
      </c>
      <c r="O73" s="25">
        <v>0</v>
      </c>
      <c r="P73" s="25">
        <v>0</v>
      </c>
      <c r="Q73" s="25">
        <v>0</v>
      </c>
      <c r="R73" s="25">
        <v>0</v>
      </c>
      <c r="S73" s="25">
        <v>0</v>
      </c>
      <c r="T73" s="25">
        <v>0</v>
      </c>
      <c r="U73" s="25">
        <v>0</v>
      </c>
      <c r="V73" s="25">
        <v>0</v>
      </c>
      <c r="W73" s="25">
        <v>0</v>
      </c>
      <c r="X73" s="25">
        <v>0</v>
      </c>
      <c r="Y73" s="25">
        <v>0</v>
      </c>
      <c r="Z73" s="25">
        <v>0</v>
      </c>
      <c r="AA73" s="25">
        <v>0</v>
      </c>
      <c r="AB73" s="25">
        <v>0</v>
      </c>
      <c r="AC73" s="25">
        <v>0</v>
      </c>
      <c r="AD73" s="25">
        <v>0</v>
      </c>
      <c r="AE73" s="25">
        <v>0</v>
      </c>
      <c r="AF73" s="25">
        <v>0</v>
      </c>
      <c r="AG73" s="25">
        <v>0</v>
      </c>
      <c r="AH73" s="25">
        <v>0</v>
      </c>
      <c r="AI73" s="25">
        <v>0</v>
      </c>
      <c r="AJ73" s="25">
        <v>0</v>
      </c>
      <c r="AK73" s="25">
        <v>0</v>
      </c>
      <c r="AL73" s="25">
        <v>0</v>
      </c>
      <c r="AM73" s="25">
        <v>0</v>
      </c>
      <c r="AN73" s="25">
        <v>0</v>
      </c>
      <c r="AO73" s="25">
        <v>0</v>
      </c>
      <c r="AP73" s="25">
        <v>0</v>
      </c>
      <c r="AQ73" s="25">
        <v>0</v>
      </c>
      <c r="AR73" s="25">
        <v>0</v>
      </c>
      <c r="AS73" s="25">
        <v>0</v>
      </c>
      <c r="AT73" s="25">
        <v>0</v>
      </c>
      <c r="AU73" s="25">
        <v>0</v>
      </c>
      <c r="AV73" s="25">
        <v>0</v>
      </c>
      <c r="AW73" s="25">
        <v>0</v>
      </c>
      <c r="AX73" s="25">
        <v>0</v>
      </c>
      <c r="AY73" s="25">
        <v>0</v>
      </c>
      <c r="AZ73" s="25">
        <v>0</v>
      </c>
      <c r="BA73" s="25">
        <v>0</v>
      </c>
      <c r="BB73" s="25">
        <v>0</v>
      </c>
      <c r="BC73" s="25">
        <v>0</v>
      </c>
      <c r="BD73" s="25">
        <v>0</v>
      </c>
      <c r="BE73" s="25">
        <v>0</v>
      </c>
      <c r="BF73" s="25">
        <v>0</v>
      </c>
      <c r="BG73" s="25">
        <v>0</v>
      </c>
      <c r="BH73" s="25">
        <v>0</v>
      </c>
      <c r="BI73" s="25">
        <v>0</v>
      </c>
      <c r="BJ73" s="25">
        <v>0</v>
      </c>
      <c r="BK73" s="25">
        <v>0</v>
      </c>
      <c r="BL73" s="25">
        <v>0</v>
      </c>
      <c r="BM73" s="25">
        <v>0</v>
      </c>
      <c r="BN73" s="25">
        <v>0</v>
      </c>
      <c r="BO73" s="25">
        <v>0</v>
      </c>
      <c r="BP73" s="25">
        <v>0</v>
      </c>
      <c r="BQ73" s="25">
        <v>0</v>
      </c>
      <c r="BR73" s="25">
        <v>0</v>
      </c>
      <c r="BS73" s="25">
        <v>0</v>
      </c>
      <c r="BT73" s="25">
        <v>0</v>
      </c>
      <c r="BU73" s="25">
        <v>0</v>
      </c>
      <c r="BV73" s="25">
        <v>0</v>
      </c>
      <c r="BW73" s="25">
        <v>0</v>
      </c>
      <c r="BX73" s="25">
        <v>0</v>
      </c>
      <c r="BY73" s="25">
        <v>0</v>
      </c>
      <c r="BZ73" s="25">
        <v>0</v>
      </c>
      <c r="CA73" s="25">
        <v>0</v>
      </c>
      <c r="CB73" s="25">
        <v>0</v>
      </c>
      <c r="CC73" s="25">
        <v>0</v>
      </c>
      <c r="CD73" s="25">
        <v>0</v>
      </c>
      <c r="CE73" s="25">
        <v>0</v>
      </c>
    </row>
    <row r="74" spans="1:83" ht="14.25" x14ac:dyDescent="0.2">
      <c r="A74" s="15" t="s">
        <v>1201</v>
      </c>
      <c r="B74" s="1">
        <f>COUNTIF('User data'!D:D,A74)</f>
        <v>0</v>
      </c>
      <c r="C74" s="18">
        <v>0</v>
      </c>
      <c r="D74" s="20">
        <f t="shared" si="0"/>
        <v>0</v>
      </c>
      <c r="F74" s="18">
        <f t="array" ref="F74:CE74">$B74*correlation!B74:CA74</f>
        <v>0</v>
      </c>
      <c r="G74" s="25">
        <v>0</v>
      </c>
      <c r="H74" s="25">
        <v>0</v>
      </c>
      <c r="I74" s="25">
        <v>0</v>
      </c>
      <c r="J74" s="25">
        <v>0</v>
      </c>
      <c r="K74" s="25">
        <v>0</v>
      </c>
      <c r="L74" s="25">
        <v>0</v>
      </c>
      <c r="M74" s="25">
        <v>0</v>
      </c>
      <c r="N74" s="25">
        <v>0</v>
      </c>
      <c r="O74" s="25">
        <v>0</v>
      </c>
      <c r="P74" s="25">
        <v>0</v>
      </c>
      <c r="Q74" s="25">
        <v>0</v>
      </c>
      <c r="R74" s="25">
        <v>0</v>
      </c>
      <c r="S74" s="25">
        <v>0</v>
      </c>
      <c r="T74" s="25">
        <v>0</v>
      </c>
      <c r="U74" s="25">
        <v>0</v>
      </c>
      <c r="V74" s="25">
        <v>0</v>
      </c>
      <c r="W74" s="25">
        <v>0</v>
      </c>
      <c r="X74" s="25">
        <v>0</v>
      </c>
      <c r="Y74" s="25">
        <v>0</v>
      </c>
      <c r="Z74" s="25">
        <v>0</v>
      </c>
      <c r="AA74" s="25">
        <v>0</v>
      </c>
      <c r="AB74" s="25">
        <v>0</v>
      </c>
      <c r="AC74" s="25">
        <v>0</v>
      </c>
      <c r="AD74" s="25">
        <v>0</v>
      </c>
      <c r="AE74" s="25">
        <v>0</v>
      </c>
      <c r="AF74" s="25">
        <v>0</v>
      </c>
      <c r="AG74" s="25">
        <v>0</v>
      </c>
      <c r="AH74" s="25">
        <v>0</v>
      </c>
      <c r="AI74" s="25">
        <v>0</v>
      </c>
      <c r="AJ74" s="25">
        <v>0</v>
      </c>
      <c r="AK74" s="25">
        <v>0</v>
      </c>
      <c r="AL74" s="25">
        <v>0</v>
      </c>
      <c r="AM74" s="25">
        <v>0</v>
      </c>
      <c r="AN74" s="25">
        <v>0</v>
      </c>
      <c r="AO74" s="25">
        <v>0</v>
      </c>
      <c r="AP74" s="25">
        <v>0</v>
      </c>
      <c r="AQ74" s="25">
        <v>0</v>
      </c>
      <c r="AR74" s="25">
        <v>0</v>
      </c>
      <c r="AS74" s="25">
        <v>0</v>
      </c>
      <c r="AT74" s="25">
        <v>0</v>
      </c>
      <c r="AU74" s="25">
        <v>0</v>
      </c>
      <c r="AV74" s="25">
        <v>0</v>
      </c>
      <c r="AW74" s="25">
        <v>0</v>
      </c>
      <c r="AX74" s="25">
        <v>0</v>
      </c>
      <c r="AY74" s="25">
        <v>0</v>
      </c>
      <c r="AZ74" s="25">
        <v>0</v>
      </c>
      <c r="BA74" s="25">
        <v>0</v>
      </c>
      <c r="BB74" s="25">
        <v>0</v>
      </c>
      <c r="BC74" s="25">
        <v>0</v>
      </c>
      <c r="BD74" s="25">
        <v>0</v>
      </c>
      <c r="BE74" s="25">
        <v>0</v>
      </c>
      <c r="BF74" s="25">
        <v>0</v>
      </c>
      <c r="BG74" s="25">
        <v>0</v>
      </c>
      <c r="BH74" s="25">
        <v>0</v>
      </c>
      <c r="BI74" s="25">
        <v>0</v>
      </c>
      <c r="BJ74" s="25">
        <v>0</v>
      </c>
      <c r="BK74" s="25">
        <v>0</v>
      </c>
      <c r="BL74" s="25">
        <v>0</v>
      </c>
      <c r="BM74" s="25">
        <v>0</v>
      </c>
      <c r="BN74" s="25">
        <v>0</v>
      </c>
      <c r="BO74" s="25">
        <v>0</v>
      </c>
      <c r="BP74" s="25">
        <v>0</v>
      </c>
      <c r="BQ74" s="25">
        <v>0</v>
      </c>
      <c r="BR74" s="25">
        <v>0</v>
      </c>
      <c r="BS74" s="25">
        <v>0</v>
      </c>
      <c r="BT74" s="25">
        <v>0</v>
      </c>
      <c r="BU74" s="25">
        <v>0</v>
      </c>
      <c r="BV74" s="25">
        <v>0</v>
      </c>
      <c r="BW74" s="25">
        <v>0</v>
      </c>
      <c r="BX74" s="25">
        <v>0</v>
      </c>
      <c r="BY74" s="25">
        <v>0</v>
      </c>
      <c r="BZ74" s="25">
        <v>0</v>
      </c>
      <c r="CA74" s="25">
        <v>0</v>
      </c>
      <c r="CB74" s="25">
        <v>0</v>
      </c>
      <c r="CC74" s="25">
        <v>0</v>
      </c>
      <c r="CD74" s="25">
        <v>0</v>
      </c>
      <c r="CE74" s="25">
        <v>0</v>
      </c>
    </row>
    <row r="75" spans="1:83" ht="14.25" x14ac:dyDescent="0.2">
      <c r="A75" s="15" t="s">
        <v>1202</v>
      </c>
      <c r="B75" s="1">
        <f>COUNTIF('User data'!D:D,A75)</f>
        <v>0</v>
      </c>
      <c r="C75" s="18">
        <v>0</v>
      </c>
      <c r="D75" s="20">
        <f t="shared" si="0"/>
        <v>0</v>
      </c>
      <c r="F75" s="18">
        <f t="array" ref="F75:CE75">$B75*correlation!B75:CA75</f>
        <v>0</v>
      </c>
      <c r="G75" s="25">
        <v>0</v>
      </c>
      <c r="H75" s="25">
        <v>0</v>
      </c>
      <c r="I75" s="25">
        <v>0</v>
      </c>
      <c r="J75" s="25">
        <v>0</v>
      </c>
      <c r="K75" s="25">
        <v>0</v>
      </c>
      <c r="L75" s="25">
        <v>0</v>
      </c>
      <c r="M75" s="25">
        <v>0</v>
      </c>
      <c r="N75" s="25">
        <v>0</v>
      </c>
      <c r="O75" s="25">
        <v>0</v>
      </c>
      <c r="P75" s="25">
        <v>0</v>
      </c>
      <c r="Q75" s="25">
        <v>0</v>
      </c>
      <c r="R75" s="25">
        <v>0</v>
      </c>
      <c r="S75" s="25">
        <v>0</v>
      </c>
      <c r="T75" s="25">
        <v>0</v>
      </c>
      <c r="U75" s="25">
        <v>0</v>
      </c>
      <c r="V75" s="25">
        <v>0</v>
      </c>
      <c r="W75" s="25">
        <v>0</v>
      </c>
      <c r="X75" s="25">
        <v>0</v>
      </c>
      <c r="Y75" s="25">
        <v>0</v>
      </c>
      <c r="Z75" s="25">
        <v>0</v>
      </c>
      <c r="AA75" s="25">
        <v>0</v>
      </c>
      <c r="AB75" s="25">
        <v>0</v>
      </c>
      <c r="AC75" s="25">
        <v>0</v>
      </c>
      <c r="AD75" s="25">
        <v>0</v>
      </c>
      <c r="AE75" s="25">
        <v>0</v>
      </c>
      <c r="AF75" s="25">
        <v>0</v>
      </c>
      <c r="AG75" s="25">
        <v>0</v>
      </c>
      <c r="AH75" s="25">
        <v>0</v>
      </c>
      <c r="AI75" s="25">
        <v>0</v>
      </c>
      <c r="AJ75" s="25">
        <v>0</v>
      </c>
      <c r="AK75" s="25">
        <v>0</v>
      </c>
      <c r="AL75" s="25">
        <v>0</v>
      </c>
      <c r="AM75" s="25">
        <v>0</v>
      </c>
      <c r="AN75" s="25">
        <v>0</v>
      </c>
      <c r="AO75" s="25">
        <v>0</v>
      </c>
      <c r="AP75" s="25">
        <v>0</v>
      </c>
      <c r="AQ75" s="25">
        <v>0</v>
      </c>
      <c r="AR75" s="25">
        <v>0</v>
      </c>
      <c r="AS75" s="25">
        <v>0</v>
      </c>
      <c r="AT75" s="25">
        <v>0</v>
      </c>
      <c r="AU75" s="25">
        <v>0</v>
      </c>
      <c r="AV75" s="25">
        <v>0</v>
      </c>
      <c r="AW75" s="25">
        <v>0</v>
      </c>
      <c r="AX75" s="25">
        <v>0</v>
      </c>
      <c r="AY75" s="25">
        <v>0</v>
      </c>
      <c r="AZ75" s="25">
        <v>0</v>
      </c>
      <c r="BA75" s="25">
        <v>0</v>
      </c>
      <c r="BB75" s="25">
        <v>0</v>
      </c>
      <c r="BC75" s="25">
        <v>0</v>
      </c>
      <c r="BD75" s="25">
        <v>0</v>
      </c>
      <c r="BE75" s="25">
        <v>0</v>
      </c>
      <c r="BF75" s="25">
        <v>0</v>
      </c>
      <c r="BG75" s="25">
        <v>0</v>
      </c>
      <c r="BH75" s="25">
        <v>0</v>
      </c>
      <c r="BI75" s="25">
        <v>0</v>
      </c>
      <c r="BJ75" s="25">
        <v>0</v>
      </c>
      <c r="BK75" s="25">
        <v>0</v>
      </c>
      <c r="BL75" s="25">
        <v>0</v>
      </c>
      <c r="BM75" s="25">
        <v>0</v>
      </c>
      <c r="BN75" s="25">
        <v>0</v>
      </c>
      <c r="BO75" s="25">
        <v>0</v>
      </c>
      <c r="BP75" s="25">
        <v>0</v>
      </c>
      <c r="BQ75" s="25">
        <v>0</v>
      </c>
      <c r="BR75" s="25">
        <v>0</v>
      </c>
      <c r="BS75" s="25">
        <v>0</v>
      </c>
      <c r="BT75" s="25">
        <v>0</v>
      </c>
      <c r="BU75" s="25">
        <v>0</v>
      </c>
      <c r="BV75" s="25">
        <v>0</v>
      </c>
      <c r="BW75" s="25">
        <v>0</v>
      </c>
      <c r="BX75" s="25">
        <v>0</v>
      </c>
      <c r="BY75" s="25">
        <v>0</v>
      </c>
      <c r="BZ75" s="25">
        <v>0</v>
      </c>
      <c r="CA75" s="25">
        <v>0</v>
      </c>
      <c r="CB75" s="25">
        <v>0</v>
      </c>
      <c r="CC75" s="25">
        <v>0</v>
      </c>
      <c r="CD75" s="25">
        <v>0</v>
      </c>
      <c r="CE75" s="25">
        <v>0</v>
      </c>
    </row>
    <row r="76" spans="1:83" ht="14.25" x14ac:dyDescent="0.2">
      <c r="A76" s="15" t="s">
        <v>1203</v>
      </c>
      <c r="B76" s="1">
        <f>COUNTIF('User data'!D:D,A76)</f>
        <v>0</v>
      </c>
      <c r="C76" s="18">
        <v>0</v>
      </c>
      <c r="D76" s="20">
        <f t="shared" si="0"/>
        <v>0</v>
      </c>
      <c r="F76" s="18">
        <f t="array" ref="F76:CE76">$B76*correlation!B76:CA76</f>
        <v>0</v>
      </c>
      <c r="G76" s="25">
        <v>0</v>
      </c>
      <c r="H76" s="25">
        <v>0</v>
      </c>
      <c r="I76" s="25">
        <v>0</v>
      </c>
      <c r="J76" s="25">
        <v>0</v>
      </c>
      <c r="K76" s="25">
        <v>0</v>
      </c>
      <c r="L76" s="25">
        <v>0</v>
      </c>
      <c r="M76" s="25">
        <v>0</v>
      </c>
      <c r="N76" s="25">
        <v>0</v>
      </c>
      <c r="O76" s="25">
        <v>0</v>
      </c>
      <c r="P76" s="25">
        <v>0</v>
      </c>
      <c r="Q76" s="25">
        <v>0</v>
      </c>
      <c r="R76" s="25">
        <v>0</v>
      </c>
      <c r="S76" s="25">
        <v>0</v>
      </c>
      <c r="T76" s="25">
        <v>0</v>
      </c>
      <c r="U76" s="25">
        <v>0</v>
      </c>
      <c r="V76" s="25">
        <v>0</v>
      </c>
      <c r="W76" s="25">
        <v>0</v>
      </c>
      <c r="X76" s="25">
        <v>0</v>
      </c>
      <c r="Y76" s="25">
        <v>0</v>
      </c>
      <c r="Z76" s="25">
        <v>0</v>
      </c>
      <c r="AA76" s="25">
        <v>0</v>
      </c>
      <c r="AB76" s="25">
        <v>0</v>
      </c>
      <c r="AC76" s="25">
        <v>0</v>
      </c>
      <c r="AD76" s="25">
        <v>0</v>
      </c>
      <c r="AE76" s="25">
        <v>0</v>
      </c>
      <c r="AF76" s="25">
        <v>0</v>
      </c>
      <c r="AG76" s="25">
        <v>0</v>
      </c>
      <c r="AH76" s="25">
        <v>0</v>
      </c>
      <c r="AI76" s="25">
        <v>0</v>
      </c>
      <c r="AJ76" s="25">
        <v>0</v>
      </c>
      <c r="AK76" s="25">
        <v>0</v>
      </c>
      <c r="AL76" s="25">
        <v>0</v>
      </c>
      <c r="AM76" s="25">
        <v>0</v>
      </c>
      <c r="AN76" s="25">
        <v>0</v>
      </c>
      <c r="AO76" s="25">
        <v>0</v>
      </c>
      <c r="AP76" s="25">
        <v>0</v>
      </c>
      <c r="AQ76" s="25">
        <v>0</v>
      </c>
      <c r="AR76" s="25">
        <v>0</v>
      </c>
      <c r="AS76" s="25">
        <v>0</v>
      </c>
      <c r="AT76" s="25">
        <v>0</v>
      </c>
      <c r="AU76" s="25">
        <v>0</v>
      </c>
      <c r="AV76" s="25">
        <v>0</v>
      </c>
      <c r="AW76" s="25">
        <v>0</v>
      </c>
      <c r="AX76" s="25">
        <v>0</v>
      </c>
      <c r="AY76" s="25">
        <v>0</v>
      </c>
      <c r="AZ76" s="25">
        <v>0</v>
      </c>
      <c r="BA76" s="25">
        <v>0</v>
      </c>
      <c r="BB76" s="25">
        <v>0</v>
      </c>
      <c r="BC76" s="25">
        <v>0</v>
      </c>
      <c r="BD76" s="25">
        <v>0</v>
      </c>
      <c r="BE76" s="25">
        <v>0</v>
      </c>
      <c r="BF76" s="25">
        <v>0</v>
      </c>
      <c r="BG76" s="25">
        <v>0</v>
      </c>
      <c r="BH76" s="25">
        <v>0</v>
      </c>
      <c r="BI76" s="25">
        <v>0</v>
      </c>
      <c r="BJ76" s="25">
        <v>0</v>
      </c>
      <c r="BK76" s="25">
        <v>0</v>
      </c>
      <c r="BL76" s="25">
        <v>0</v>
      </c>
      <c r="BM76" s="25">
        <v>0</v>
      </c>
      <c r="BN76" s="25">
        <v>0</v>
      </c>
      <c r="BO76" s="25">
        <v>0</v>
      </c>
      <c r="BP76" s="25">
        <v>0</v>
      </c>
      <c r="BQ76" s="25">
        <v>0</v>
      </c>
      <c r="BR76" s="25">
        <v>0</v>
      </c>
      <c r="BS76" s="25">
        <v>0</v>
      </c>
      <c r="BT76" s="25">
        <v>0</v>
      </c>
      <c r="BU76" s="25">
        <v>0</v>
      </c>
      <c r="BV76" s="25">
        <v>0</v>
      </c>
      <c r="BW76" s="25">
        <v>0</v>
      </c>
      <c r="BX76" s="25">
        <v>0</v>
      </c>
      <c r="BY76" s="25">
        <v>0</v>
      </c>
      <c r="BZ76" s="25">
        <v>0</v>
      </c>
      <c r="CA76" s="25">
        <v>0</v>
      </c>
      <c r="CB76" s="25">
        <v>0</v>
      </c>
      <c r="CC76" s="25">
        <v>0</v>
      </c>
      <c r="CD76" s="25">
        <v>0</v>
      </c>
      <c r="CE76" s="25">
        <v>0</v>
      </c>
    </row>
    <row r="77" spans="1:83" ht="14.25" x14ac:dyDescent="0.2">
      <c r="A77" s="15" t="s">
        <v>1204</v>
      </c>
      <c r="B77" s="1">
        <f>COUNTIF('User data'!D:D,A77)</f>
        <v>0</v>
      </c>
      <c r="C77" s="18">
        <v>1.46</v>
      </c>
      <c r="D77" s="20">
        <f t="shared" si="0"/>
        <v>1.6296461658667261E-2</v>
      </c>
      <c r="F77" s="18">
        <f t="array" ref="F77:CE77">$B77*correlation!B77:CA77</f>
        <v>0</v>
      </c>
      <c r="G77" s="25">
        <v>0</v>
      </c>
      <c r="H77" s="25">
        <v>0</v>
      </c>
      <c r="I77" s="25">
        <v>0</v>
      </c>
      <c r="J77" s="25">
        <v>0</v>
      </c>
      <c r="K77" s="25">
        <v>0</v>
      </c>
      <c r="L77" s="25">
        <v>0</v>
      </c>
      <c r="M77" s="25">
        <v>0</v>
      </c>
      <c r="N77" s="25">
        <v>0</v>
      </c>
      <c r="O77" s="25">
        <v>0</v>
      </c>
      <c r="P77" s="25">
        <v>0</v>
      </c>
      <c r="Q77" s="25">
        <v>0</v>
      </c>
      <c r="R77" s="25">
        <v>0</v>
      </c>
      <c r="S77" s="25">
        <v>0</v>
      </c>
      <c r="T77" s="25">
        <v>0</v>
      </c>
      <c r="U77" s="25">
        <v>0</v>
      </c>
      <c r="V77" s="25">
        <v>0</v>
      </c>
      <c r="W77" s="25">
        <v>0</v>
      </c>
      <c r="X77" s="25">
        <v>0</v>
      </c>
      <c r="Y77" s="25">
        <v>0</v>
      </c>
      <c r="Z77" s="25">
        <v>0</v>
      </c>
      <c r="AA77" s="25">
        <v>0</v>
      </c>
      <c r="AB77" s="25">
        <v>0</v>
      </c>
      <c r="AC77" s="25">
        <v>0</v>
      </c>
      <c r="AD77" s="25">
        <v>0</v>
      </c>
      <c r="AE77" s="25">
        <v>0</v>
      </c>
      <c r="AF77" s="25">
        <v>0</v>
      </c>
      <c r="AG77" s="25">
        <v>0</v>
      </c>
      <c r="AH77" s="25">
        <v>0</v>
      </c>
      <c r="AI77" s="25">
        <v>0</v>
      </c>
      <c r="AJ77" s="25">
        <v>0</v>
      </c>
      <c r="AK77" s="25">
        <v>0</v>
      </c>
      <c r="AL77" s="25">
        <v>0</v>
      </c>
      <c r="AM77" s="25">
        <v>0</v>
      </c>
      <c r="AN77" s="25">
        <v>0</v>
      </c>
      <c r="AO77" s="25">
        <v>0</v>
      </c>
      <c r="AP77" s="25">
        <v>0</v>
      </c>
      <c r="AQ77" s="25">
        <v>0</v>
      </c>
      <c r="AR77" s="25">
        <v>0</v>
      </c>
      <c r="AS77" s="25">
        <v>0</v>
      </c>
      <c r="AT77" s="25">
        <v>0</v>
      </c>
      <c r="AU77" s="25">
        <v>0</v>
      </c>
      <c r="AV77" s="25">
        <v>0</v>
      </c>
      <c r="AW77" s="25">
        <v>0</v>
      </c>
      <c r="AX77" s="25">
        <v>0</v>
      </c>
      <c r="AY77" s="25">
        <v>0</v>
      </c>
      <c r="AZ77" s="25">
        <v>0</v>
      </c>
      <c r="BA77" s="25">
        <v>0</v>
      </c>
      <c r="BB77" s="25">
        <v>0</v>
      </c>
      <c r="BC77" s="25">
        <v>0</v>
      </c>
      <c r="BD77" s="25">
        <v>0</v>
      </c>
      <c r="BE77" s="25">
        <v>0</v>
      </c>
      <c r="BF77" s="25">
        <v>0</v>
      </c>
      <c r="BG77" s="25">
        <v>0</v>
      </c>
      <c r="BH77" s="25">
        <v>0</v>
      </c>
      <c r="BI77" s="25">
        <v>0</v>
      </c>
      <c r="BJ77" s="25">
        <v>0</v>
      </c>
      <c r="BK77" s="25">
        <v>0</v>
      </c>
      <c r="BL77" s="25">
        <v>0</v>
      </c>
      <c r="BM77" s="25">
        <v>0</v>
      </c>
      <c r="BN77" s="25">
        <v>0</v>
      </c>
      <c r="BO77" s="25">
        <v>0</v>
      </c>
      <c r="BP77" s="25">
        <v>0</v>
      </c>
      <c r="BQ77" s="25">
        <v>0</v>
      </c>
      <c r="BR77" s="25">
        <v>0</v>
      </c>
      <c r="BS77" s="25">
        <v>0</v>
      </c>
      <c r="BT77" s="25">
        <v>0</v>
      </c>
      <c r="BU77" s="25">
        <v>0</v>
      </c>
      <c r="BV77" s="25">
        <v>0</v>
      </c>
      <c r="BW77" s="25">
        <v>0</v>
      </c>
      <c r="BX77" s="25">
        <v>0</v>
      </c>
      <c r="BY77" s="25">
        <v>0</v>
      </c>
      <c r="BZ77" s="25">
        <v>0</v>
      </c>
      <c r="CA77" s="25">
        <v>0</v>
      </c>
      <c r="CB77" s="25">
        <v>0</v>
      </c>
      <c r="CC77" s="25">
        <v>0</v>
      </c>
      <c r="CD77" s="25">
        <v>0</v>
      </c>
      <c r="CE77" s="25">
        <v>0</v>
      </c>
    </row>
    <row r="78" spans="1:83" ht="14.25" x14ac:dyDescent="0.2">
      <c r="A78" s="15" t="s">
        <v>1205</v>
      </c>
      <c r="B78" s="1">
        <f>COUNTIF('User data'!D:D,A78)</f>
        <v>0</v>
      </c>
      <c r="C78" s="18">
        <v>2.4</v>
      </c>
      <c r="D78" s="20">
        <f t="shared" si="0"/>
        <v>2.6788704096439332E-2</v>
      </c>
      <c r="F78" s="18">
        <f t="array" ref="F78:CE78">$B78*correlation!B78:CA78</f>
        <v>0</v>
      </c>
      <c r="G78" s="25">
        <v>0</v>
      </c>
      <c r="H78" s="25">
        <v>0</v>
      </c>
      <c r="I78" s="25">
        <v>0</v>
      </c>
      <c r="J78" s="25">
        <v>0</v>
      </c>
      <c r="K78" s="25">
        <v>0</v>
      </c>
      <c r="L78" s="25">
        <v>0</v>
      </c>
      <c r="M78" s="25">
        <v>0</v>
      </c>
      <c r="N78" s="25">
        <v>0</v>
      </c>
      <c r="O78" s="25">
        <v>0</v>
      </c>
      <c r="P78" s="25">
        <v>0</v>
      </c>
      <c r="Q78" s="25">
        <v>0</v>
      </c>
      <c r="R78" s="25">
        <v>0</v>
      </c>
      <c r="S78" s="25">
        <v>0</v>
      </c>
      <c r="T78" s="25">
        <v>0</v>
      </c>
      <c r="U78" s="25">
        <v>0</v>
      </c>
      <c r="V78" s="25">
        <v>0</v>
      </c>
      <c r="W78" s="25">
        <v>0</v>
      </c>
      <c r="X78" s="25">
        <v>0</v>
      </c>
      <c r="Y78" s="25">
        <v>0</v>
      </c>
      <c r="Z78" s="25">
        <v>0</v>
      </c>
      <c r="AA78" s="25">
        <v>0</v>
      </c>
      <c r="AB78" s="25">
        <v>0</v>
      </c>
      <c r="AC78" s="25">
        <v>0</v>
      </c>
      <c r="AD78" s="25">
        <v>0</v>
      </c>
      <c r="AE78" s="25">
        <v>0</v>
      </c>
      <c r="AF78" s="25">
        <v>0</v>
      </c>
      <c r="AG78" s="25">
        <v>0</v>
      </c>
      <c r="AH78" s="25">
        <v>0</v>
      </c>
      <c r="AI78" s="25">
        <v>0</v>
      </c>
      <c r="AJ78" s="25">
        <v>0</v>
      </c>
      <c r="AK78" s="25">
        <v>0</v>
      </c>
      <c r="AL78" s="25">
        <v>0</v>
      </c>
      <c r="AM78" s="25">
        <v>0</v>
      </c>
      <c r="AN78" s="25">
        <v>0</v>
      </c>
      <c r="AO78" s="25">
        <v>0</v>
      </c>
      <c r="AP78" s="25">
        <v>0</v>
      </c>
      <c r="AQ78" s="25">
        <v>0</v>
      </c>
      <c r="AR78" s="25">
        <v>0</v>
      </c>
      <c r="AS78" s="25">
        <v>0</v>
      </c>
      <c r="AT78" s="25">
        <v>0</v>
      </c>
      <c r="AU78" s="25">
        <v>0</v>
      </c>
      <c r="AV78" s="25">
        <v>0</v>
      </c>
      <c r="AW78" s="25">
        <v>0</v>
      </c>
      <c r="AX78" s="25">
        <v>0</v>
      </c>
      <c r="AY78" s="25">
        <v>0</v>
      </c>
      <c r="AZ78" s="25">
        <v>0</v>
      </c>
      <c r="BA78" s="25">
        <v>0</v>
      </c>
      <c r="BB78" s="25">
        <v>0</v>
      </c>
      <c r="BC78" s="25">
        <v>0</v>
      </c>
      <c r="BD78" s="25">
        <v>0</v>
      </c>
      <c r="BE78" s="25">
        <v>0</v>
      </c>
      <c r="BF78" s="25">
        <v>0</v>
      </c>
      <c r="BG78" s="25">
        <v>0</v>
      </c>
      <c r="BH78" s="25">
        <v>0</v>
      </c>
      <c r="BI78" s="25">
        <v>0</v>
      </c>
      <c r="BJ78" s="25">
        <v>0</v>
      </c>
      <c r="BK78" s="25">
        <v>0</v>
      </c>
      <c r="BL78" s="25">
        <v>0</v>
      </c>
      <c r="BM78" s="25">
        <v>0</v>
      </c>
      <c r="BN78" s="25">
        <v>0</v>
      </c>
      <c r="BO78" s="25">
        <v>0</v>
      </c>
      <c r="BP78" s="25">
        <v>0</v>
      </c>
      <c r="BQ78" s="25">
        <v>0</v>
      </c>
      <c r="BR78" s="25">
        <v>0</v>
      </c>
      <c r="BS78" s="25">
        <v>0</v>
      </c>
      <c r="BT78" s="25">
        <v>0</v>
      </c>
      <c r="BU78" s="25">
        <v>0</v>
      </c>
      <c r="BV78" s="25">
        <v>0</v>
      </c>
      <c r="BW78" s="25">
        <v>0</v>
      </c>
      <c r="BX78" s="25">
        <v>0</v>
      </c>
      <c r="BY78" s="25">
        <v>0</v>
      </c>
      <c r="BZ78" s="25">
        <v>0</v>
      </c>
      <c r="CA78" s="25">
        <v>0</v>
      </c>
      <c r="CB78" s="25">
        <v>0</v>
      </c>
      <c r="CC78" s="25">
        <v>0</v>
      </c>
      <c r="CD78" s="25">
        <v>0</v>
      </c>
      <c r="CE78" s="25">
        <v>0</v>
      </c>
    </row>
    <row r="79" spans="1:83" ht="14.25" x14ac:dyDescent="0.2">
      <c r="A79" s="15" t="s">
        <v>1206</v>
      </c>
      <c r="B79" s="1">
        <f>COUNTIF('User data'!D:D,A79)</f>
        <v>0</v>
      </c>
      <c r="C79" s="18">
        <v>3.1</v>
      </c>
      <c r="D79" s="20">
        <f t="shared" si="0"/>
        <v>3.4602076124567477E-2</v>
      </c>
      <c r="F79" s="18">
        <f t="array" ref="F79:CE79">$B79*correlation!B79:CA79</f>
        <v>0</v>
      </c>
      <c r="G79" s="25">
        <v>0</v>
      </c>
      <c r="H79" s="25">
        <v>0</v>
      </c>
      <c r="I79" s="25">
        <v>0</v>
      </c>
      <c r="J79" s="25">
        <v>0</v>
      </c>
      <c r="K79" s="25">
        <v>0</v>
      </c>
      <c r="L79" s="25">
        <v>0</v>
      </c>
      <c r="M79" s="25">
        <v>0</v>
      </c>
      <c r="N79" s="25">
        <v>0</v>
      </c>
      <c r="O79" s="25">
        <v>0</v>
      </c>
      <c r="P79" s="25">
        <v>0</v>
      </c>
      <c r="Q79" s="25">
        <v>0</v>
      </c>
      <c r="R79" s="25">
        <v>0</v>
      </c>
      <c r="S79" s="25">
        <v>0</v>
      </c>
      <c r="T79" s="25">
        <v>0</v>
      </c>
      <c r="U79" s="25">
        <v>0</v>
      </c>
      <c r="V79" s="25">
        <v>0</v>
      </c>
      <c r="W79" s="25">
        <v>0</v>
      </c>
      <c r="X79" s="25">
        <v>0</v>
      </c>
      <c r="Y79" s="25">
        <v>0</v>
      </c>
      <c r="Z79" s="25">
        <v>0</v>
      </c>
      <c r="AA79" s="25">
        <v>0</v>
      </c>
      <c r="AB79" s="25">
        <v>0</v>
      </c>
      <c r="AC79" s="25">
        <v>0</v>
      </c>
      <c r="AD79" s="25">
        <v>0</v>
      </c>
      <c r="AE79" s="25">
        <v>0</v>
      </c>
      <c r="AF79" s="25">
        <v>0</v>
      </c>
      <c r="AG79" s="25">
        <v>0</v>
      </c>
      <c r="AH79" s="25">
        <v>0</v>
      </c>
      <c r="AI79" s="25">
        <v>0</v>
      </c>
      <c r="AJ79" s="25">
        <v>0</v>
      </c>
      <c r="AK79" s="25">
        <v>0</v>
      </c>
      <c r="AL79" s="25">
        <v>0</v>
      </c>
      <c r="AM79" s="25">
        <v>0</v>
      </c>
      <c r="AN79" s="25">
        <v>0</v>
      </c>
      <c r="AO79" s="25">
        <v>0</v>
      </c>
      <c r="AP79" s="25">
        <v>0</v>
      </c>
      <c r="AQ79" s="25">
        <v>0</v>
      </c>
      <c r="AR79" s="25">
        <v>0</v>
      </c>
      <c r="AS79" s="25">
        <v>0</v>
      </c>
      <c r="AT79" s="25">
        <v>0</v>
      </c>
      <c r="AU79" s="25">
        <v>0</v>
      </c>
      <c r="AV79" s="25">
        <v>0</v>
      </c>
      <c r="AW79" s="25">
        <v>0</v>
      </c>
      <c r="AX79" s="25">
        <v>0</v>
      </c>
      <c r="AY79" s="25">
        <v>0</v>
      </c>
      <c r="AZ79" s="25">
        <v>0</v>
      </c>
      <c r="BA79" s="25">
        <v>0</v>
      </c>
      <c r="BB79" s="25">
        <v>0</v>
      </c>
      <c r="BC79" s="25">
        <v>0</v>
      </c>
      <c r="BD79" s="25">
        <v>0</v>
      </c>
      <c r="BE79" s="25">
        <v>0</v>
      </c>
      <c r="BF79" s="25">
        <v>0</v>
      </c>
      <c r="BG79" s="25">
        <v>0</v>
      </c>
      <c r="BH79" s="25">
        <v>0</v>
      </c>
      <c r="BI79" s="25">
        <v>0</v>
      </c>
      <c r="BJ79" s="25">
        <v>0</v>
      </c>
      <c r="BK79" s="25">
        <v>0</v>
      </c>
      <c r="BL79" s="25">
        <v>0</v>
      </c>
      <c r="BM79" s="25">
        <v>0</v>
      </c>
      <c r="BN79" s="25">
        <v>0</v>
      </c>
      <c r="BO79" s="25">
        <v>0</v>
      </c>
      <c r="BP79" s="25">
        <v>0</v>
      </c>
      <c r="BQ79" s="25">
        <v>0</v>
      </c>
      <c r="BR79" s="25">
        <v>0</v>
      </c>
      <c r="BS79" s="25">
        <v>0</v>
      </c>
      <c r="BT79" s="25">
        <v>0</v>
      </c>
      <c r="BU79" s="25">
        <v>0</v>
      </c>
      <c r="BV79" s="25">
        <v>0</v>
      </c>
      <c r="BW79" s="25">
        <v>0</v>
      </c>
      <c r="BX79" s="25">
        <v>0</v>
      </c>
      <c r="BY79" s="25">
        <v>0</v>
      </c>
      <c r="BZ79" s="25">
        <v>0</v>
      </c>
      <c r="CA79" s="25">
        <v>0</v>
      </c>
      <c r="CB79" s="25">
        <v>0</v>
      </c>
      <c r="CC79" s="25">
        <v>0</v>
      </c>
      <c r="CD79" s="25">
        <v>0</v>
      </c>
      <c r="CE79" s="25">
        <v>0</v>
      </c>
    </row>
    <row r="80" spans="1:83" ht="12.75" x14ac:dyDescent="0.2">
      <c r="C80" s="25"/>
      <c r="D80" s="25"/>
      <c r="F80" s="32">
        <f t="shared" ref="F80:CE80" si="1">SUM(F2:F79)</f>
        <v>0</v>
      </c>
      <c r="G80" s="32">
        <f t="shared" si="1"/>
        <v>0</v>
      </c>
      <c r="H80" s="32">
        <f t="shared" si="1"/>
        <v>2.99</v>
      </c>
      <c r="I80" s="32">
        <f t="shared" si="1"/>
        <v>3.3100000000000005</v>
      </c>
      <c r="J80" s="32">
        <f t="shared" si="1"/>
        <v>0</v>
      </c>
      <c r="K80" s="32">
        <f t="shared" si="1"/>
        <v>0</v>
      </c>
      <c r="L80" s="32">
        <f t="shared" si="1"/>
        <v>0</v>
      </c>
      <c r="M80" s="32">
        <f t="shared" si="1"/>
        <v>4.01</v>
      </c>
      <c r="N80" s="32">
        <f t="shared" si="1"/>
        <v>0</v>
      </c>
      <c r="O80" s="32">
        <f t="shared" si="1"/>
        <v>0</v>
      </c>
      <c r="P80" s="32">
        <f t="shared" si="1"/>
        <v>0</v>
      </c>
      <c r="Q80" s="32">
        <f t="shared" si="1"/>
        <v>2.88</v>
      </c>
      <c r="R80" s="32">
        <f t="shared" si="1"/>
        <v>0</v>
      </c>
      <c r="S80" s="32">
        <f t="shared" si="1"/>
        <v>0</v>
      </c>
      <c r="T80" s="32">
        <f t="shared" si="1"/>
        <v>0.2</v>
      </c>
      <c r="U80" s="32">
        <f t="shared" si="1"/>
        <v>3.08</v>
      </c>
      <c r="V80" s="32">
        <f t="shared" si="1"/>
        <v>0</v>
      </c>
      <c r="W80" s="32">
        <f t="shared" si="1"/>
        <v>2.5499999999999998</v>
      </c>
      <c r="X80" s="32">
        <f t="shared" si="1"/>
        <v>0</v>
      </c>
      <c r="Y80" s="32">
        <f t="shared" si="1"/>
        <v>2.33</v>
      </c>
      <c r="Z80" s="32">
        <f t="shared" si="1"/>
        <v>1.05</v>
      </c>
      <c r="AA80" s="32">
        <f t="shared" si="1"/>
        <v>0</v>
      </c>
      <c r="AB80" s="32">
        <f t="shared" si="1"/>
        <v>0</v>
      </c>
      <c r="AC80" s="32">
        <f t="shared" si="1"/>
        <v>5.99</v>
      </c>
      <c r="AD80" s="32">
        <f t="shared" si="1"/>
        <v>0</v>
      </c>
      <c r="AE80" s="32">
        <f t="shared" si="1"/>
        <v>1.1000000000000001</v>
      </c>
      <c r="AF80" s="32">
        <f t="shared" si="1"/>
        <v>0</v>
      </c>
      <c r="AG80" s="32">
        <f t="shared" si="1"/>
        <v>0</v>
      </c>
      <c r="AH80" s="32">
        <f t="shared" si="1"/>
        <v>1.73</v>
      </c>
      <c r="AI80" s="32">
        <f t="shared" si="1"/>
        <v>0</v>
      </c>
      <c r="AJ80" s="32">
        <f t="shared" si="1"/>
        <v>1.7200000000000002</v>
      </c>
      <c r="AK80" s="32">
        <f t="shared" si="1"/>
        <v>0</v>
      </c>
      <c r="AL80" s="32">
        <f t="shared" si="1"/>
        <v>0</v>
      </c>
      <c r="AM80" s="32">
        <f t="shared" si="1"/>
        <v>2.42</v>
      </c>
      <c r="AN80" s="32">
        <f t="shared" si="1"/>
        <v>1.2</v>
      </c>
      <c r="AO80" s="32">
        <f t="shared" si="1"/>
        <v>2.5099999999999998</v>
      </c>
      <c r="AP80" s="32">
        <f t="shared" si="1"/>
        <v>0</v>
      </c>
      <c r="AQ80" s="32">
        <f t="shared" si="1"/>
        <v>0</v>
      </c>
      <c r="AR80" s="32">
        <f t="shared" si="1"/>
        <v>0</v>
      </c>
      <c r="AS80" s="32">
        <f t="shared" si="1"/>
        <v>0.22</v>
      </c>
      <c r="AT80" s="32">
        <f t="shared" si="1"/>
        <v>2.3699999999999997</v>
      </c>
      <c r="AU80" s="32">
        <f t="shared" si="1"/>
        <v>0</v>
      </c>
      <c r="AV80" s="32">
        <f t="shared" si="1"/>
        <v>1.27</v>
      </c>
      <c r="AW80" s="32">
        <f t="shared" si="1"/>
        <v>3.2099999999999995</v>
      </c>
      <c r="AX80" s="32">
        <f t="shared" si="1"/>
        <v>3.96</v>
      </c>
      <c r="AY80" s="32">
        <f t="shared" si="1"/>
        <v>2.83</v>
      </c>
      <c r="AZ80" s="32">
        <f t="shared" si="1"/>
        <v>0</v>
      </c>
      <c r="BA80" s="32">
        <f t="shared" si="1"/>
        <v>0</v>
      </c>
      <c r="BB80" s="32">
        <f t="shared" si="1"/>
        <v>1.75</v>
      </c>
      <c r="BC80" s="32">
        <f t="shared" si="1"/>
        <v>3.16</v>
      </c>
      <c r="BD80" s="32">
        <f t="shared" si="1"/>
        <v>1.28</v>
      </c>
      <c r="BE80" s="32">
        <f t="shared" si="1"/>
        <v>2.82</v>
      </c>
      <c r="BF80" s="32">
        <f t="shared" si="1"/>
        <v>3.41</v>
      </c>
      <c r="BG80" s="32">
        <f t="shared" si="1"/>
        <v>2.1700000000000004</v>
      </c>
      <c r="BH80" s="32">
        <f t="shared" si="1"/>
        <v>1.1500000000000001</v>
      </c>
      <c r="BI80" s="32">
        <f t="shared" si="1"/>
        <v>0</v>
      </c>
      <c r="BJ80" s="32">
        <f t="shared" si="1"/>
        <v>1.6500000000000001</v>
      </c>
      <c r="BK80" s="32">
        <f t="shared" si="1"/>
        <v>0</v>
      </c>
      <c r="BL80" s="32">
        <f t="shared" si="1"/>
        <v>0</v>
      </c>
      <c r="BM80" s="32">
        <f t="shared" si="1"/>
        <v>0</v>
      </c>
      <c r="BN80" s="32">
        <f t="shared" si="1"/>
        <v>0</v>
      </c>
      <c r="BO80" s="32">
        <f t="shared" si="1"/>
        <v>0</v>
      </c>
      <c r="BP80" s="32">
        <f t="shared" si="1"/>
        <v>2.21</v>
      </c>
      <c r="BQ80" s="32">
        <f t="shared" si="1"/>
        <v>0</v>
      </c>
      <c r="BR80" s="32">
        <f t="shared" si="1"/>
        <v>0</v>
      </c>
      <c r="BS80" s="32">
        <f t="shared" si="1"/>
        <v>0</v>
      </c>
      <c r="BT80" s="32">
        <f t="shared" si="1"/>
        <v>0</v>
      </c>
      <c r="BU80" s="32">
        <f t="shared" si="1"/>
        <v>1.6</v>
      </c>
      <c r="BV80" s="32">
        <f t="shared" si="1"/>
        <v>2.57</v>
      </c>
      <c r="BW80" s="32">
        <f t="shared" si="1"/>
        <v>2.3200000000000003</v>
      </c>
      <c r="BX80" s="32">
        <f t="shared" si="1"/>
        <v>0.48</v>
      </c>
      <c r="BY80" s="32">
        <f t="shared" si="1"/>
        <v>3.1300000000000003</v>
      </c>
      <c r="BZ80" s="32">
        <f t="shared" si="1"/>
        <v>0</v>
      </c>
      <c r="CA80" s="32">
        <f t="shared" si="1"/>
        <v>0</v>
      </c>
      <c r="CB80" s="32">
        <f t="shared" si="1"/>
        <v>0</v>
      </c>
      <c r="CC80" s="32">
        <f t="shared" si="1"/>
        <v>1.46</v>
      </c>
      <c r="CD80" s="32">
        <f t="shared" si="1"/>
        <v>2.4</v>
      </c>
      <c r="CE80" s="32">
        <f t="shared" si="1"/>
        <v>3.1</v>
      </c>
    </row>
    <row r="81" spans="3:83" ht="12.75" x14ac:dyDescent="0.2">
      <c r="C81" s="25"/>
      <c r="D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row>
    <row r="82" spans="3:83" ht="12.75" x14ac:dyDescent="0.2">
      <c r="C82" s="25"/>
      <c r="D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row>
    <row r="83" spans="3:83" ht="12.75" x14ac:dyDescent="0.2">
      <c r="C83" s="25"/>
      <c r="D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row>
    <row r="84" spans="3:83" ht="12.75" x14ac:dyDescent="0.2">
      <c r="C84" s="25"/>
      <c r="D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row>
    <row r="85" spans="3:83" ht="12.75" x14ac:dyDescent="0.2">
      <c r="C85" s="25"/>
      <c r="D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row>
    <row r="86" spans="3:83" ht="12.75" x14ac:dyDescent="0.2">
      <c r="C86" s="25"/>
      <c r="D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row>
    <row r="87" spans="3:83" ht="12.75" x14ac:dyDescent="0.2">
      <c r="C87" s="25"/>
      <c r="D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row>
    <row r="88" spans="3:83" ht="12.75" x14ac:dyDescent="0.2">
      <c r="C88" s="25"/>
      <c r="D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row>
    <row r="89" spans="3:83" ht="12.75" x14ac:dyDescent="0.2">
      <c r="C89" s="25"/>
      <c r="D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row>
    <row r="90" spans="3:83" ht="12.75" x14ac:dyDescent="0.2">
      <c r="C90" s="25"/>
      <c r="D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row>
    <row r="91" spans="3:83" ht="12.75" x14ac:dyDescent="0.2">
      <c r="C91" s="25"/>
      <c r="D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row>
    <row r="92" spans="3:83" ht="12.75" x14ac:dyDescent="0.2">
      <c r="C92" s="25"/>
      <c r="D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row>
    <row r="93" spans="3:83" ht="12.75" x14ac:dyDescent="0.2">
      <c r="C93" s="25"/>
      <c r="D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row>
    <row r="94" spans="3:83" ht="12.75" x14ac:dyDescent="0.2">
      <c r="C94" s="25"/>
      <c r="D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row>
    <row r="95" spans="3:83" ht="12.75" x14ac:dyDescent="0.2">
      <c r="C95" s="25"/>
      <c r="D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row>
    <row r="96" spans="3:83" ht="12.75" x14ac:dyDescent="0.2">
      <c r="C96" s="25"/>
      <c r="D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row>
    <row r="97" spans="3:83" ht="12.75" x14ac:dyDescent="0.2">
      <c r="C97" s="25"/>
      <c r="D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row>
    <row r="98" spans="3:83" ht="12.75" x14ac:dyDescent="0.2">
      <c r="C98" s="25"/>
      <c r="D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row>
    <row r="99" spans="3:83" ht="12.75" x14ac:dyDescent="0.2">
      <c r="C99" s="25"/>
      <c r="D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row>
    <row r="100" spans="3:83" ht="12.75" x14ac:dyDescent="0.2">
      <c r="C100" s="25"/>
      <c r="D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row>
    <row r="101" spans="3:83" ht="12.75" x14ac:dyDescent="0.2">
      <c r="C101" s="25"/>
      <c r="D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row>
    <row r="102" spans="3:83" ht="12.75" x14ac:dyDescent="0.2">
      <c r="C102" s="25"/>
      <c r="D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row>
    <row r="103" spans="3:83" ht="12.75" x14ac:dyDescent="0.2">
      <c r="C103" s="25"/>
      <c r="D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row>
    <row r="104" spans="3:83" ht="12.75" x14ac:dyDescent="0.2">
      <c r="C104" s="25"/>
      <c r="D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row>
    <row r="105" spans="3:83" ht="12.75" x14ac:dyDescent="0.2">
      <c r="C105" s="25"/>
      <c r="D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row>
    <row r="106" spans="3:83" ht="12.75" x14ac:dyDescent="0.2">
      <c r="C106" s="25"/>
      <c r="D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row>
    <row r="107" spans="3:83" ht="12.75" x14ac:dyDescent="0.2">
      <c r="C107" s="25"/>
      <c r="D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row>
    <row r="108" spans="3:83" ht="12.75" x14ac:dyDescent="0.2">
      <c r="C108" s="25"/>
      <c r="D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row>
    <row r="109" spans="3:83" ht="12.75" x14ac:dyDescent="0.2">
      <c r="C109" s="25"/>
      <c r="D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row>
    <row r="110" spans="3:83" ht="12.75" x14ac:dyDescent="0.2">
      <c r="C110" s="25"/>
      <c r="D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row>
    <row r="111" spans="3:83" ht="12.75" x14ac:dyDescent="0.2">
      <c r="C111" s="25"/>
      <c r="D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row>
    <row r="112" spans="3:83" ht="12.75" x14ac:dyDescent="0.2">
      <c r="C112" s="25"/>
      <c r="D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row>
    <row r="113" spans="3:83" ht="12.75" x14ac:dyDescent="0.2">
      <c r="C113" s="25"/>
      <c r="D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row>
    <row r="114" spans="3:83" ht="12.75" x14ac:dyDescent="0.2">
      <c r="C114" s="25"/>
      <c r="D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row>
    <row r="115" spans="3:83" ht="12.75" x14ac:dyDescent="0.2">
      <c r="C115" s="25"/>
      <c r="D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row>
    <row r="116" spans="3:83" ht="12.75" x14ac:dyDescent="0.2">
      <c r="C116" s="25"/>
      <c r="D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row>
    <row r="117" spans="3:83" ht="12.75" x14ac:dyDescent="0.2">
      <c r="C117" s="25"/>
      <c r="D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row>
    <row r="118" spans="3:83" ht="12.75" x14ac:dyDescent="0.2">
      <c r="C118" s="25"/>
      <c r="D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row>
    <row r="119" spans="3:83" ht="12.75" x14ac:dyDescent="0.2">
      <c r="C119" s="25"/>
      <c r="D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row>
    <row r="120" spans="3:83" ht="12.75" x14ac:dyDescent="0.2">
      <c r="C120" s="25"/>
      <c r="D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row>
    <row r="121" spans="3:83" ht="12.75" x14ac:dyDescent="0.2">
      <c r="C121" s="25"/>
      <c r="D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row>
    <row r="122" spans="3:83" ht="12.75" x14ac:dyDescent="0.2">
      <c r="C122" s="25"/>
      <c r="D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row>
    <row r="123" spans="3:83" ht="12.75" x14ac:dyDescent="0.2">
      <c r="C123" s="25"/>
      <c r="D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row>
    <row r="124" spans="3:83" ht="12.75" x14ac:dyDescent="0.2">
      <c r="C124" s="25"/>
      <c r="D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row>
    <row r="125" spans="3:83" ht="12.75" x14ac:dyDescent="0.2">
      <c r="C125" s="25"/>
      <c r="D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row>
    <row r="126" spans="3:83" ht="12.75" x14ac:dyDescent="0.2">
      <c r="C126" s="25"/>
      <c r="D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row>
    <row r="127" spans="3:83" ht="12.75" x14ac:dyDescent="0.2">
      <c r="C127" s="25"/>
      <c r="D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row>
    <row r="128" spans="3:83" ht="12.75" x14ac:dyDescent="0.2">
      <c r="C128" s="25"/>
      <c r="D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row>
    <row r="129" spans="3:83" ht="12.75" x14ac:dyDescent="0.2">
      <c r="C129" s="25"/>
      <c r="D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row>
    <row r="130" spans="3:83" ht="12.75" x14ac:dyDescent="0.2">
      <c r="C130" s="25"/>
      <c r="D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row>
    <row r="131" spans="3:83" ht="12.75" x14ac:dyDescent="0.2">
      <c r="C131" s="25"/>
      <c r="D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row>
    <row r="132" spans="3:83" ht="12.75" x14ac:dyDescent="0.2">
      <c r="C132" s="25"/>
      <c r="D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row>
    <row r="133" spans="3:83" ht="12.75" x14ac:dyDescent="0.2">
      <c r="C133" s="25"/>
      <c r="D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row>
    <row r="134" spans="3:83" ht="12.75" x14ac:dyDescent="0.2">
      <c r="C134" s="25"/>
      <c r="D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row>
    <row r="135" spans="3:83" ht="12.75" x14ac:dyDescent="0.2">
      <c r="C135" s="25"/>
      <c r="D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row>
    <row r="136" spans="3:83" ht="12.75" x14ac:dyDescent="0.2">
      <c r="C136" s="25"/>
      <c r="D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row>
    <row r="137" spans="3:83" ht="12.75" x14ac:dyDescent="0.2">
      <c r="C137" s="25"/>
      <c r="D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row>
    <row r="138" spans="3:83" ht="12.75" x14ac:dyDescent="0.2">
      <c r="C138" s="25"/>
      <c r="D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row>
    <row r="139" spans="3:83" ht="12.75" x14ac:dyDescent="0.2">
      <c r="C139" s="25"/>
      <c r="D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row>
    <row r="140" spans="3:83" ht="12.75" x14ac:dyDescent="0.2">
      <c r="C140" s="25"/>
      <c r="D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row>
    <row r="141" spans="3:83" ht="12.75" x14ac:dyDescent="0.2">
      <c r="C141" s="25"/>
      <c r="D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row>
    <row r="142" spans="3:83" ht="12.75" x14ac:dyDescent="0.2">
      <c r="C142" s="25"/>
      <c r="D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row>
    <row r="143" spans="3:83" ht="12.75" x14ac:dyDescent="0.2">
      <c r="C143" s="25"/>
      <c r="D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row>
    <row r="144" spans="3:83" ht="12.75" x14ac:dyDescent="0.2">
      <c r="C144" s="25"/>
      <c r="D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row>
    <row r="145" spans="3:83" ht="12.75" x14ac:dyDescent="0.2">
      <c r="C145" s="25"/>
      <c r="D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row>
    <row r="146" spans="3:83" ht="12.75" x14ac:dyDescent="0.2">
      <c r="C146" s="25"/>
      <c r="D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row>
    <row r="147" spans="3:83" ht="12.75" x14ac:dyDescent="0.2">
      <c r="C147" s="25"/>
      <c r="D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row>
    <row r="148" spans="3:83" ht="12.75" x14ac:dyDescent="0.2">
      <c r="C148" s="25"/>
      <c r="D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row>
    <row r="149" spans="3:83" ht="12.75" x14ac:dyDescent="0.2">
      <c r="C149" s="25"/>
      <c r="D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row>
    <row r="150" spans="3:83" ht="12.75" x14ac:dyDescent="0.2">
      <c r="C150" s="25"/>
      <c r="D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row>
    <row r="151" spans="3:83" ht="12.75" x14ac:dyDescent="0.2">
      <c r="C151" s="25"/>
      <c r="D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row>
    <row r="152" spans="3:83" ht="12.75" x14ac:dyDescent="0.2">
      <c r="C152" s="25"/>
      <c r="D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row>
    <row r="153" spans="3:83" ht="12.75" x14ac:dyDescent="0.2">
      <c r="C153" s="25"/>
      <c r="D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row>
    <row r="154" spans="3:83" ht="12.75" x14ac:dyDescent="0.2">
      <c r="C154" s="25"/>
      <c r="D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row>
    <row r="155" spans="3:83" ht="12.75" x14ac:dyDescent="0.2">
      <c r="C155" s="25"/>
      <c r="D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row>
    <row r="156" spans="3:83" ht="12.75" x14ac:dyDescent="0.2">
      <c r="C156" s="25"/>
      <c r="D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row>
    <row r="157" spans="3:83" ht="12.75" x14ac:dyDescent="0.2">
      <c r="C157" s="25"/>
      <c r="D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row>
    <row r="158" spans="3:83" ht="12.75" x14ac:dyDescent="0.2">
      <c r="C158" s="25"/>
      <c r="D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row>
    <row r="159" spans="3:83" ht="12.75" x14ac:dyDescent="0.2">
      <c r="C159" s="25"/>
      <c r="D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row>
    <row r="160" spans="3:83" ht="12.75" x14ac:dyDescent="0.2">
      <c r="C160" s="25"/>
      <c r="D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row>
    <row r="161" spans="3:83" ht="12.75" x14ac:dyDescent="0.2">
      <c r="C161" s="25"/>
      <c r="D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row>
    <row r="162" spans="3:83" ht="12.75" x14ac:dyDescent="0.2">
      <c r="C162" s="25"/>
      <c r="D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row>
    <row r="163" spans="3:83" ht="12.75" x14ac:dyDescent="0.2">
      <c r="C163" s="25"/>
      <c r="D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row>
    <row r="164" spans="3:83" ht="12.75" x14ac:dyDescent="0.2">
      <c r="C164" s="25"/>
      <c r="D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row>
    <row r="165" spans="3:83" ht="12.75" x14ac:dyDescent="0.2">
      <c r="C165" s="25"/>
      <c r="D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row>
    <row r="166" spans="3:83" ht="12.75" x14ac:dyDescent="0.2">
      <c r="C166" s="25"/>
      <c r="D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row>
    <row r="167" spans="3:83" ht="12.75" x14ac:dyDescent="0.2">
      <c r="C167" s="25"/>
      <c r="D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row>
    <row r="168" spans="3:83" ht="12.75" x14ac:dyDescent="0.2">
      <c r="C168" s="25"/>
      <c r="D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row>
    <row r="169" spans="3:83" ht="12.75" x14ac:dyDescent="0.2">
      <c r="C169" s="25"/>
      <c r="D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row>
    <row r="170" spans="3:83" ht="12.75" x14ac:dyDescent="0.2">
      <c r="C170" s="25"/>
      <c r="D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row>
    <row r="171" spans="3:83" ht="12.75" x14ac:dyDescent="0.2">
      <c r="C171" s="25"/>
      <c r="D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row>
    <row r="172" spans="3:83" ht="12.75" x14ac:dyDescent="0.2">
      <c r="C172" s="25"/>
      <c r="D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row>
    <row r="173" spans="3:83" ht="12.75" x14ac:dyDescent="0.2">
      <c r="C173" s="25"/>
      <c r="D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row>
    <row r="174" spans="3:83" ht="12.75" x14ac:dyDescent="0.2">
      <c r="C174" s="25"/>
      <c r="D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row>
    <row r="175" spans="3:83" ht="12.75" x14ac:dyDescent="0.2">
      <c r="C175" s="25"/>
      <c r="D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row>
    <row r="176" spans="3:83" ht="12.75" x14ac:dyDescent="0.2">
      <c r="C176" s="25"/>
      <c r="D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row>
    <row r="177" spans="3:83" ht="12.75" x14ac:dyDescent="0.2">
      <c r="C177" s="25"/>
      <c r="D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row>
    <row r="178" spans="3:83" ht="12.75" x14ac:dyDescent="0.2">
      <c r="C178" s="25"/>
      <c r="D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row>
    <row r="179" spans="3:83" ht="12.75" x14ac:dyDescent="0.2">
      <c r="C179" s="25"/>
      <c r="D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row>
    <row r="180" spans="3:83" ht="12.75" x14ac:dyDescent="0.2">
      <c r="C180" s="25"/>
      <c r="D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row>
    <row r="181" spans="3:83" ht="12.75" x14ac:dyDescent="0.2">
      <c r="C181" s="25"/>
      <c r="D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row>
    <row r="182" spans="3:83" ht="12.75" x14ac:dyDescent="0.2">
      <c r="C182" s="25"/>
      <c r="D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row>
    <row r="183" spans="3:83" ht="12.75" x14ac:dyDescent="0.2">
      <c r="C183" s="25"/>
      <c r="D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row>
    <row r="184" spans="3:83" ht="12.75" x14ac:dyDescent="0.2">
      <c r="C184" s="25"/>
      <c r="D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row>
    <row r="185" spans="3:83" ht="12.75" x14ac:dyDescent="0.2">
      <c r="C185" s="25"/>
      <c r="D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row>
    <row r="186" spans="3:83" ht="12.75" x14ac:dyDescent="0.2">
      <c r="C186" s="25"/>
      <c r="D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row>
    <row r="187" spans="3:83" ht="12.75" x14ac:dyDescent="0.2">
      <c r="C187" s="25"/>
      <c r="D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row>
    <row r="188" spans="3:83" ht="12.75" x14ac:dyDescent="0.2">
      <c r="C188" s="25"/>
      <c r="D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row>
    <row r="189" spans="3:83" ht="12.75" x14ac:dyDescent="0.2">
      <c r="C189" s="25"/>
      <c r="D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row>
    <row r="190" spans="3:83" ht="12.75" x14ac:dyDescent="0.2">
      <c r="C190" s="25"/>
      <c r="D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row>
    <row r="191" spans="3:83" ht="12.75" x14ac:dyDescent="0.2">
      <c r="C191" s="25"/>
      <c r="D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row>
    <row r="192" spans="3:83" ht="12.75" x14ac:dyDescent="0.2">
      <c r="C192" s="25"/>
      <c r="D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row>
    <row r="193" spans="3:83" ht="12.75" x14ac:dyDescent="0.2">
      <c r="C193" s="25"/>
      <c r="D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row>
    <row r="194" spans="3:83" ht="12.75" x14ac:dyDescent="0.2">
      <c r="C194" s="25"/>
      <c r="D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row>
    <row r="195" spans="3:83" ht="12.75" x14ac:dyDescent="0.2">
      <c r="C195" s="25"/>
      <c r="D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row>
    <row r="196" spans="3:83" ht="12.75" x14ac:dyDescent="0.2">
      <c r="C196" s="25"/>
      <c r="D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row>
    <row r="197" spans="3:83" ht="12.75" x14ac:dyDescent="0.2">
      <c r="C197" s="25"/>
      <c r="D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row>
    <row r="198" spans="3:83" ht="12.75" x14ac:dyDescent="0.2">
      <c r="C198" s="25"/>
      <c r="D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row>
    <row r="199" spans="3:83" ht="12.75" x14ac:dyDescent="0.2">
      <c r="C199" s="25"/>
      <c r="D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row>
    <row r="200" spans="3:83" ht="12.75" x14ac:dyDescent="0.2">
      <c r="C200" s="25"/>
      <c r="D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row>
    <row r="201" spans="3:83" ht="12.75" x14ac:dyDescent="0.2">
      <c r="C201" s="25"/>
      <c r="D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row>
    <row r="202" spans="3:83" ht="12.75" x14ac:dyDescent="0.2">
      <c r="C202" s="25"/>
      <c r="D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row>
    <row r="203" spans="3:83" ht="12.75" x14ac:dyDescent="0.2">
      <c r="C203" s="25"/>
      <c r="D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row>
    <row r="204" spans="3:83" ht="12.75" x14ac:dyDescent="0.2">
      <c r="C204" s="25"/>
      <c r="D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row>
    <row r="205" spans="3:83" ht="12.75" x14ac:dyDescent="0.2">
      <c r="C205" s="25"/>
      <c r="D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row>
    <row r="206" spans="3:83" ht="12.75" x14ac:dyDescent="0.2">
      <c r="C206" s="25"/>
      <c r="D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row>
    <row r="207" spans="3:83" ht="12.75" x14ac:dyDescent="0.2">
      <c r="C207" s="25"/>
      <c r="D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row>
    <row r="208" spans="3:83" ht="12.75" x14ac:dyDescent="0.2">
      <c r="C208" s="25"/>
      <c r="D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row>
    <row r="209" spans="3:83" ht="12.75" x14ac:dyDescent="0.2">
      <c r="C209" s="25"/>
      <c r="D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row>
    <row r="210" spans="3:83" ht="12.75" x14ac:dyDescent="0.2">
      <c r="C210" s="25"/>
      <c r="D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row>
    <row r="211" spans="3:83" ht="12.75" x14ac:dyDescent="0.2">
      <c r="C211" s="25"/>
      <c r="D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row>
    <row r="212" spans="3:83" ht="12.75" x14ac:dyDescent="0.2">
      <c r="C212" s="25"/>
      <c r="D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row>
    <row r="213" spans="3:83" ht="12.75" x14ac:dyDescent="0.2">
      <c r="C213" s="25"/>
      <c r="D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row>
    <row r="214" spans="3:83" ht="12.75" x14ac:dyDescent="0.2">
      <c r="C214" s="25"/>
      <c r="D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row>
    <row r="215" spans="3:83" ht="12.75" x14ac:dyDescent="0.2">
      <c r="C215" s="25"/>
      <c r="D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row>
    <row r="216" spans="3:83" ht="12.75" x14ac:dyDescent="0.2">
      <c r="C216" s="25"/>
      <c r="D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row>
    <row r="217" spans="3:83" ht="12.75" x14ac:dyDescent="0.2">
      <c r="C217" s="25"/>
      <c r="D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row>
    <row r="218" spans="3:83" ht="12.75" x14ac:dyDescent="0.2">
      <c r="C218" s="25"/>
      <c r="D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row>
    <row r="219" spans="3:83" ht="12.75" x14ac:dyDescent="0.2">
      <c r="C219" s="25"/>
      <c r="D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row>
    <row r="220" spans="3:83" ht="12.75" x14ac:dyDescent="0.2">
      <c r="C220" s="25"/>
      <c r="D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row>
    <row r="221" spans="3:83" ht="12.75" x14ac:dyDescent="0.2">
      <c r="C221" s="25"/>
      <c r="D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row>
    <row r="222" spans="3:83" ht="12.75" x14ac:dyDescent="0.2">
      <c r="C222" s="25"/>
      <c r="D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row>
    <row r="223" spans="3:83" ht="12.75" x14ac:dyDescent="0.2">
      <c r="C223" s="25"/>
      <c r="D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row>
    <row r="224" spans="3:83" ht="12.75" x14ac:dyDescent="0.2">
      <c r="C224" s="25"/>
      <c r="D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row>
    <row r="225" spans="3:83" ht="12.75" x14ac:dyDescent="0.2">
      <c r="C225" s="25"/>
      <c r="D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row>
    <row r="226" spans="3:83" ht="12.75" x14ac:dyDescent="0.2">
      <c r="C226" s="25"/>
      <c r="D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row>
    <row r="227" spans="3:83" ht="12.75" x14ac:dyDescent="0.2">
      <c r="C227" s="25"/>
      <c r="D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row>
    <row r="228" spans="3:83" ht="12.75" x14ac:dyDescent="0.2">
      <c r="C228" s="25"/>
      <c r="D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row>
    <row r="229" spans="3:83" ht="12.75" x14ac:dyDescent="0.2">
      <c r="C229" s="25"/>
      <c r="D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row>
    <row r="230" spans="3:83" ht="12.75" x14ac:dyDescent="0.2">
      <c r="C230" s="25"/>
      <c r="D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row>
    <row r="231" spans="3:83" ht="12.75" x14ac:dyDescent="0.2">
      <c r="C231" s="25"/>
      <c r="D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row>
    <row r="232" spans="3:83" ht="12.75" x14ac:dyDescent="0.2">
      <c r="C232" s="25"/>
      <c r="D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row>
    <row r="233" spans="3:83" ht="12.75" x14ac:dyDescent="0.2">
      <c r="C233" s="25"/>
      <c r="D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row>
    <row r="234" spans="3:83" ht="12.75" x14ac:dyDescent="0.2">
      <c r="C234" s="25"/>
      <c r="D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row>
    <row r="235" spans="3:83" ht="12.75" x14ac:dyDescent="0.2">
      <c r="C235" s="25"/>
      <c r="D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row>
    <row r="236" spans="3:83" ht="12.75" x14ac:dyDescent="0.2">
      <c r="C236" s="25"/>
      <c r="D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row>
    <row r="237" spans="3:83" ht="12.75" x14ac:dyDescent="0.2">
      <c r="C237" s="25"/>
      <c r="D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row>
    <row r="238" spans="3:83" ht="12.75" x14ac:dyDescent="0.2">
      <c r="C238" s="25"/>
      <c r="D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row>
    <row r="239" spans="3:83" ht="12.75" x14ac:dyDescent="0.2">
      <c r="C239" s="25"/>
      <c r="D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row>
    <row r="240" spans="3:83" ht="12.75" x14ac:dyDescent="0.2">
      <c r="C240" s="25"/>
      <c r="D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row>
    <row r="241" spans="3:83" ht="12.75" x14ac:dyDescent="0.2">
      <c r="C241" s="25"/>
      <c r="D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row>
    <row r="242" spans="3:83" ht="12.75" x14ac:dyDescent="0.2">
      <c r="C242" s="25"/>
      <c r="D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row>
    <row r="243" spans="3:83" ht="12.75" x14ac:dyDescent="0.2">
      <c r="C243" s="25"/>
      <c r="D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row>
    <row r="244" spans="3:83" ht="12.75" x14ac:dyDescent="0.2">
      <c r="C244" s="25"/>
      <c r="D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row>
    <row r="245" spans="3:83" ht="12.75" x14ac:dyDescent="0.2">
      <c r="C245" s="25"/>
      <c r="D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row>
    <row r="246" spans="3:83" ht="12.75" x14ac:dyDescent="0.2">
      <c r="C246" s="25"/>
      <c r="D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row>
    <row r="247" spans="3:83" ht="12.75" x14ac:dyDescent="0.2">
      <c r="C247" s="25"/>
      <c r="D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row>
    <row r="248" spans="3:83" ht="12.75" x14ac:dyDescent="0.2">
      <c r="C248" s="25"/>
      <c r="D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row>
    <row r="249" spans="3:83" ht="12.75" x14ac:dyDescent="0.2">
      <c r="C249" s="25"/>
      <c r="D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row>
    <row r="250" spans="3:83" ht="12.75" x14ac:dyDescent="0.2">
      <c r="C250" s="25"/>
      <c r="D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row>
    <row r="251" spans="3:83" ht="12.75" x14ac:dyDescent="0.2">
      <c r="C251" s="25"/>
      <c r="D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row>
    <row r="252" spans="3:83" ht="12.75" x14ac:dyDescent="0.2">
      <c r="C252" s="25"/>
      <c r="D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row>
    <row r="253" spans="3:83" ht="12.75" x14ac:dyDescent="0.2">
      <c r="C253" s="25"/>
      <c r="D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row>
    <row r="254" spans="3:83" ht="12.75" x14ac:dyDescent="0.2">
      <c r="C254" s="25"/>
      <c r="D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row>
    <row r="255" spans="3:83" ht="12.75" x14ac:dyDescent="0.2">
      <c r="C255" s="25"/>
      <c r="D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row>
    <row r="256" spans="3:83" ht="12.75" x14ac:dyDescent="0.2">
      <c r="C256" s="25"/>
      <c r="D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row>
    <row r="257" spans="3:83" ht="12.75" x14ac:dyDescent="0.2">
      <c r="C257" s="25"/>
      <c r="D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row>
    <row r="258" spans="3:83" ht="12.75" x14ac:dyDescent="0.2">
      <c r="C258" s="25"/>
      <c r="D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row>
    <row r="259" spans="3:83" ht="12.75" x14ac:dyDescent="0.2">
      <c r="C259" s="25"/>
      <c r="D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row>
    <row r="260" spans="3:83" ht="12.75" x14ac:dyDescent="0.2">
      <c r="C260" s="25"/>
      <c r="D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row>
    <row r="261" spans="3:83" ht="12.75" x14ac:dyDescent="0.2">
      <c r="C261" s="25"/>
      <c r="D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row>
    <row r="262" spans="3:83" ht="12.75" x14ac:dyDescent="0.2">
      <c r="C262" s="25"/>
      <c r="D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row>
    <row r="263" spans="3:83" ht="12.75" x14ac:dyDescent="0.2">
      <c r="C263" s="25"/>
      <c r="D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row>
    <row r="264" spans="3:83" ht="12.75" x14ac:dyDescent="0.2">
      <c r="C264" s="25"/>
      <c r="D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row>
    <row r="265" spans="3:83" ht="12.75" x14ac:dyDescent="0.2">
      <c r="C265" s="25"/>
      <c r="D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row>
    <row r="266" spans="3:83" ht="12.75" x14ac:dyDescent="0.2">
      <c r="C266" s="25"/>
      <c r="D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row>
    <row r="267" spans="3:83" ht="12.75" x14ac:dyDescent="0.2">
      <c r="C267" s="25"/>
      <c r="D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row>
    <row r="268" spans="3:83" ht="12.75" x14ac:dyDescent="0.2">
      <c r="C268" s="25"/>
      <c r="D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row>
    <row r="269" spans="3:83" ht="12.75" x14ac:dyDescent="0.2">
      <c r="C269" s="25"/>
      <c r="D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row>
    <row r="270" spans="3:83" ht="12.75" x14ac:dyDescent="0.2">
      <c r="C270" s="25"/>
      <c r="D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row>
    <row r="271" spans="3:83" ht="12.75" x14ac:dyDescent="0.2">
      <c r="C271" s="25"/>
      <c r="D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row>
    <row r="272" spans="3:83" ht="12.75" x14ac:dyDescent="0.2">
      <c r="C272" s="25"/>
      <c r="D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row>
    <row r="273" spans="3:83" ht="12.75" x14ac:dyDescent="0.2">
      <c r="C273" s="25"/>
      <c r="D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row>
    <row r="274" spans="3:83" ht="12.75" x14ac:dyDescent="0.2">
      <c r="C274" s="25"/>
      <c r="D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row>
    <row r="275" spans="3:83" ht="12.75" x14ac:dyDescent="0.2">
      <c r="C275" s="25"/>
      <c r="D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row>
    <row r="276" spans="3:83" ht="12.75" x14ac:dyDescent="0.2">
      <c r="C276" s="25"/>
      <c r="D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row>
    <row r="277" spans="3:83" ht="12.75" x14ac:dyDescent="0.2">
      <c r="C277" s="25"/>
      <c r="D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row>
    <row r="278" spans="3:83" ht="12.75" x14ac:dyDescent="0.2">
      <c r="C278" s="25"/>
      <c r="D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row>
    <row r="279" spans="3:83" ht="12.75" x14ac:dyDescent="0.2">
      <c r="C279" s="25"/>
      <c r="D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row>
    <row r="280" spans="3:83" ht="12.75" x14ac:dyDescent="0.2">
      <c r="C280" s="25"/>
      <c r="D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row>
    <row r="281" spans="3:83" ht="12.75" x14ac:dyDescent="0.2">
      <c r="C281" s="25"/>
      <c r="D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row>
    <row r="282" spans="3:83" ht="12.75" x14ac:dyDescent="0.2">
      <c r="C282" s="25"/>
      <c r="D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row>
    <row r="283" spans="3:83" ht="12.75" x14ac:dyDescent="0.2">
      <c r="C283" s="25"/>
      <c r="D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row>
    <row r="284" spans="3:83" ht="12.75" x14ac:dyDescent="0.2">
      <c r="C284" s="25"/>
      <c r="D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row>
    <row r="285" spans="3:83" ht="12.75" x14ac:dyDescent="0.2">
      <c r="C285" s="25"/>
      <c r="D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row>
    <row r="286" spans="3:83" ht="12.75" x14ac:dyDescent="0.2">
      <c r="C286" s="25"/>
      <c r="D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row>
    <row r="287" spans="3:83" ht="12.75" x14ac:dyDescent="0.2">
      <c r="C287" s="25"/>
      <c r="D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row>
    <row r="288" spans="3:83" ht="12.75" x14ac:dyDescent="0.2">
      <c r="C288" s="25"/>
      <c r="D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row>
    <row r="289" spans="3:83" ht="12.75" x14ac:dyDescent="0.2">
      <c r="C289" s="25"/>
      <c r="D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row>
    <row r="290" spans="3:83" ht="12.75" x14ac:dyDescent="0.2">
      <c r="C290" s="25"/>
      <c r="D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row>
    <row r="291" spans="3:83" ht="12.75" x14ac:dyDescent="0.2">
      <c r="C291" s="25"/>
      <c r="D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row>
    <row r="292" spans="3:83" ht="12.75" x14ac:dyDescent="0.2">
      <c r="C292" s="25"/>
      <c r="D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row>
    <row r="293" spans="3:83" ht="12.75" x14ac:dyDescent="0.2">
      <c r="C293" s="25"/>
      <c r="D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row>
    <row r="294" spans="3:83" ht="12.75" x14ac:dyDescent="0.2">
      <c r="C294" s="25"/>
      <c r="D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row>
    <row r="295" spans="3:83" ht="12.75" x14ac:dyDescent="0.2">
      <c r="C295" s="25"/>
      <c r="D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row>
    <row r="296" spans="3:83" ht="12.75" x14ac:dyDescent="0.2">
      <c r="C296" s="25"/>
      <c r="D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row>
    <row r="297" spans="3:83" ht="12.75" x14ac:dyDescent="0.2">
      <c r="C297" s="25"/>
      <c r="D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row>
    <row r="298" spans="3:83" ht="12.75" x14ac:dyDescent="0.2">
      <c r="C298" s="25"/>
      <c r="D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row>
    <row r="299" spans="3:83" ht="12.75" x14ac:dyDescent="0.2">
      <c r="C299" s="25"/>
      <c r="D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row>
    <row r="300" spans="3:83" ht="12.75" x14ac:dyDescent="0.2">
      <c r="C300" s="25"/>
      <c r="D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row>
    <row r="301" spans="3:83" ht="12.75" x14ac:dyDescent="0.2">
      <c r="C301" s="25"/>
      <c r="D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row>
    <row r="302" spans="3:83" ht="12.75" x14ac:dyDescent="0.2">
      <c r="C302" s="25"/>
      <c r="D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row>
    <row r="303" spans="3:83" ht="12.75" x14ac:dyDescent="0.2">
      <c r="C303" s="25"/>
      <c r="D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row>
    <row r="304" spans="3:83" ht="12.75" x14ac:dyDescent="0.2">
      <c r="C304" s="25"/>
      <c r="D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row>
    <row r="305" spans="3:83" ht="12.75" x14ac:dyDescent="0.2">
      <c r="C305" s="25"/>
      <c r="D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row>
    <row r="306" spans="3:83" ht="12.75" x14ac:dyDescent="0.2">
      <c r="C306" s="25"/>
      <c r="D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row>
    <row r="307" spans="3:83" ht="12.75" x14ac:dyDescent="0.2">
      <c r="C307" s="25"/>
      <c r="D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row>
    <row r="308" spans="3:83" ht="12.75" x14ac:dyDescent="0.2">
      <c r="C308" s="25"/>
      <c r="D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row>
    <row r="309" spans="3:83" ht="12.75" x14ac:dyDescent="0.2">
      <c r="C309" s="25"/>
      <c r="D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row>
    <row r="310" spans="3:83" ht="12.75" x14ac:dyDescent="0.2">
      <c r="C310" s="25"/>
      <c r="D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row>
    <row r="311" spans="3:83" ht="12.75" x14ac:dyDescent="0.2">
      <c r="C311" s="25"/>
      <c r="D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row>
    <row r="312" spans="3:83" ht="12.75" x14ac:dyDescent="0.2">
      <c r="C312" s="25"/>
      <c r="D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row>
    <row r="313" spans="3:83" ht="12.75" x14ac:dyDescent="0.2">
      <c r="C313" s="25"/>
      <c r="D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row>
    <row r="314" spans="3:83" ht="12.75" x14ac:dyDescent="0.2">
      <c r="C314" s="25"/>
      <c r="D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row>
    <row r="315" spans="3:83" ht="12.75" x14ac:dyDescent="0.2">
      <c r="C315" s="25"/>
      <c r="D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row>
    <row r="316" spans="3:83" ht="12.75" x14ac:dyDescent="0.2">
      <c r="C316" s="25"/>
      <c r="D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row>
    <row r="317" spans="3:83" ht="12.75" x14ac:dyDescent="0.2">
      <c r="C317" s="25"/>
      <c r="D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row>
    <row r="318" spans="3:83" ht="12.75" x14ac:dyDescent="0.2">
      <c r="C318" s="25"/>
      <c r="D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row>
    <row r="319" spans="3:83" ht="12.75" x14ac:dyDescent="0.2">
      <c r="C319" s="25"/>
      <c r="D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row>
    <row r="320" spans="3:83" ht="12.75" x14ac:dyDescent="0.2">
      <c r="C320" s="25"/>
      <c r="D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row>
    <row r="321" spans="3:83" ht="12.75" x14ac:dyDescent="0.2">
      <c r="C321" s="25"/>
      <c r="D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row>
    <row r="322" spans="3:83" ht="12.75" x14ac:dyDescent="0.2">
      <c r="C322" s="25"/>
      <c r="D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row>
    <row r="323" spans="3:83" ht="12.75" x14ac:dyDescent="0.2">
      <c r="C323" s="25"/>
      <c r="D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row>
    <row r="324" spans="3:83" ht="12.75" x14ac:dyDescent="0.2">
      <c r="C324" s="25"/>
      <c r="D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row>
    <row r="325" spans="3:83" ht="12.75" x14ac:dyDescent="0.2">
      <c r="C325" s="25"/>
      <c r="D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row>
    <row r="326" spans="3:83" ht="12.75" x14ac:dyDescent="0.2">
      <c r="C326" s="25"/>
      <c r="D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row>
    <row r="327" spans="3:83" ht="12.75" x14ac:dyDescent="0.2">
      <c r="C327" s="25"/>
      <c r="D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row>
    <row r="328" spans="3:83" ht="12.75" x14ac:dyDescent="0.2">
      <c r="C328" s="25"/>
      <c r="D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row>
    <row r="329" spans="3:83" ht="12.75" x14ac:dyDescent="0.2">
      <c r="C329" s="25"/>
      <c r="D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row>
    <row r="330" spans="3:83" ht="12.75" x14ac:dyDescent="0.2">
      <c r="C330" s="25"/>
      <c r="D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row>
    <row r="331" spans="3:83" ht="12.75" x14ac:dyDescent="0.2">
      <c r="C331" s="25"/>
      <c r="D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row>
    <row r="332" spans="3:83" ht="12.75" x14ac:dyDescent="0.2">
      <c r="C332" s="25"/>
      <c r="D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row>
    <row r="333" spans="3:83" ht="12.75" x14ac:dyDescent="0.2">
      <c r="C333" s="25"/>
      <c r="D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row>
    <row r="334" spans="3:83" ht="12.75" x14ac:dyDescent="0.2">
      <c r="C334" s="25"/>
      <c r="D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row>
    <row r="335" spans="3:83" ht="12.75" x14ac:dyDescent="0.2">
      <c r="C335" s="25"/>
      <c r="D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row>
    <row r="336" spans="3:83" ht="12.75" x14ac:dyDescent="0.2">
      <c r="C336" s="25"/>
      <c r="D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row>
    <row r="337" spans="3:83" ht="12.75" x14ac:dyDescent="0.2">
      <c r="C337" s="25"/>
      <c r="D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row>
    <row r="338" spans="3:83" ht="12.75" x14ac:dyDescent="0.2">
      <c r="C338" s="25"/>
      <c r="D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row>
    <row r="339" spans="3:83" ht="12.75" x14ac:dyDescent="0.2">
      <c r="C339" s="25"/>
      <c r="D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row>
    <row r="340" spans="3:83" ht="12.75" x14ac:dyDescent="0.2">
      <c r="C340" s="25"/>
      <c r="D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row>
    <row r="341" spans="3:83" ht="12.75" x14ac:dyDescent="0.2">
      <c r="C341" s="25"/>
      <c r="D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row>
    <row r="342" spans="3:83" ht="12.75" x14ac:dyDescent="0.2">
      <c r="C342" s="25"/>
      <c r="D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row>
    <row r="343" spans="3:83" ht="12.75" x14ac:dyDescent="0.2">
      <c r="C343" s="25"/>
      <c r="D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row>
    <row r="344" spans="3:83" ht="12.75" x14ac:dyDescent="0.2">
      <c r="C344" s="25"/>
      <c r="D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row>
    <row r="345" spans="3:83" ht="12.75" x14ac:dyDescent="0.2">
      <c r="C345" s="25"/>
      <c r="D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row>
    <row r="346" spans="3:83" ht="12.75" x14ac:dyDescent="0.2">
      <c r="C346" s="25"/>
      <c r="D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row>
    <row r="347" spans="3:83" ht="12.75" x14ac:dyDescent="0.2">
      <c r="C347" s="25"/>
      <c r="D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row>
    <row r="348" spans="3:83" ht="12.75" x14ac:dyDescent="0.2">
      <c r="C348" s="25"/>
      <c r="D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row>
    <row r="349" spans="3:83" ht="12.75" x14ac:dyDescent="0.2">
      <c r="C349" s="25"/>
      <c r="D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row>
    <row r="350" spans="3:83" ht="12.75" x14ac:dyDescent="0.2">
      <c r="C350" s="25"/>
      <c r="D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row>
    <row r="351" spans="3:83" ht="12.75" x14ac:dyDescent="0.2">
      <c r="C351" s="25"/>
      <c r="D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row>
    <row r="352" spans="3:83" ht="12.75" x14ac:dyDescent="0.2">
      <c r="C352" s="25"/>
      <c r="D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row>
    <row r="353" spans="3:83" ht="12.75" x14ac:dyDescent="0.2">
      <c r="C353" s="25"/>
      <c r="D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row>
    <row r="354" spans="3:83" ht="12.75" x14ac:dyDescent="0.2">
      <c r="C354" s="25"/>
      <c r="D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row>
    <row r="355" spans="3:83" ht="12.75" x14ac:dyDescent="0.2">
      <c r="C355" s="25"/>
      <c r="D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row>
    <row r="356" spans="3:83" ht="12.75" x14ac:dyDescent="0.2">
      <c r="C356" s="25"/>
      <c r="D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row>
    <row r="357" spans="3:83" ht="12.75" x14ac:dyDescent="0.2">
      <c r="C357" s="25"/>
      <c r="D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row>
    <row r="358" spans="3:83" ht="12.75" x14ac:dyDescent="0.2">
      <c r="C358" s="25"/>
      <c r="D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row>
    <row r="359" spans="3:83" ht="12.75" x14ac:dyDescent="0.2">
      <c r="C359" s="25"/>
      <c r="D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row>
    <row r="360" spans="3:83" ht="12.75" x14ac:dyDescent="0.2">
      <c r="C360" s="25"/>
      <c r="D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row>
    <row r="361" spans="3:83" ht="12.75" x14ac:dyDescent="0.2">
      <c r="C361" s="25"/>
      <c r="D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row>
    <row r="362" spans="3:83" ht="12.75" x14ac:dyDescent="0.2">
      <c r="C362" s="25"/>
      <c r="D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row>
    <row r="363" spans="3:83" ht="12.75" x14ac:dyDescent="0.2">
      <c r="C363" s="25"/>
      <c r="D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row>
    <row r="364" spans="3:83" ht="12.75" x14ac:dyDescent="0.2">
      <c r="C364" s="25"/>
      <c r="D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row>
    <row r="365" spans="3:83" ht="12.75" x14ac:dyDescent="0.2">
      <c r="C365" s="25"/>
      <c r="D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row>
    <row r="366" spans="3:83" ht="12.75" x14ac:dyDescent="0.2">
      <c r="C366" s="25"/>
      <c r="D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row>
    <row r="367" spans="3:83" ht="12.75" x14ac:dyDescent="0.2">
      <c r="C367" s="25"/>
      <c r="D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row>
    <row r="368" spans="3:83" ht="12.75" x14ac:dyDescent="0.2">
      <c r="C368" s="25"/>
      <c r="D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row>
    <row r="369" spans="3:83" ht="12.75" x14ac:dyDescent="0.2">
      <c r="C369" s="25"/>
      <c r="D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row>
    <row r="370" spans="3:83" ht="12.75" x14ac:dyDescent="0.2">
      <c r="C370" s="25"/>
      <c r="D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row>
    <row r="371" spans="3:83" ht="12.75" x14ac:dyDescent="0.2">
      <c r="C371" s="25"/>
      <c r="D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row>
    <row r="372" spans="3:83" ht="12.75" x14ac:dyDescent="0.2">
      <c r="C372" s="25"/>
      <c r="D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row>
    <row r="373" spans="3:83" ht="12.75" x14ac:dyDescent="0.2">
      <c r="C373" s="25"/>
      <c r="D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row>
    <row r="374" spans="3:83" ht="12.75" x14ac:dyDescent="0.2">
      <c r="C374" s="25"/>
      <c r="D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row>
    <row r="375" spans="3:83" ht="12.75" x14ac:dyDescent="0.2">
      <c r="C375" s="25"/>
      <c r="D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row>
    <row r="376" spans="3:83" ht="12.75" x14ac:dyDescent="0.2">
      <c r="C376" s="25"/>
      <c r="D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row>
    <row r="377" spans="3:83" ht="12.75" x14ac:dyDescent="0.2">
      <c r="C377" s="25"/>
      <c r="D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row>
    <row r="378" spans="3:83" ht="12.75" x14ac:dyDescent="0.2">
      <c r="C378" s="25"/>
      <c r="D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row>
    <row r="379" spans="3:83" ht="12.75" x14ac:dyDescent="0.2">
      <c r="C379" s="25"/>
      <c r="D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row>
    <row r="380" spans="3:83" ht="12.75" x14ac:dyDescent="0.2">
      <c r="C380" s="25"/>
      <c r="D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row>
    <row r="381" spans="3:83" ht="12.75" x14ac:dyDescent="0.2">
      <c r="C381" s="25"/>
      <c r="D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row>
    <row r="382" spans="3:83" ht="12.75" x14ac:dyDescent="0.2">
      <c r="C382" s="25"/>
      <c r="D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row>
    <row r="383" spans="3:83" ht="12.75" x14ac:dyDescent="0.2">
      <c r="C383" s="25"/>
      <c r="D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row>
    <row r="384" spans="3:83" ht="12.75" x14ac:dyDescent="0.2">
      <c r="C384" s="25"/>
      <c r="D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row>
    <row r="385" spans="3:83" ht="12.75" x14ac:dyDescent="0.2">
      <c r="C385" s="25"/>
      <c r="D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row>
    <row r="386" spans="3:83" ht="12.75" x14ac:dyDescent="0.2">
      <c r="C386" s="25"/>
      <c r="D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row>
    <row r="387" spans="3:83" ht="12.75" x14ac:dyDescent="0.2">
      <c r="C387" s="25"/>
      <c r="D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row>
    <row r="388" spans="3:83" ht="12.75" x14ac:dyDescent="0.2">
      <c r="C388" s="25"/>
      <c r="D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row>
    <row r="389" spans="3:83" ht="12.75" x14ac:dyDescent="0.2">
      <c r="C389" s="25"/>
      <c r="D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row>
    <row r="390" spans="3:83" ht="12.75" x14ac:dyDescent="0.2">
      <c r="C390" s="25"/>
      <c r="D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row>
    <row r="391" spans="3:83" ht="12.75" x14ac:dyDescent="0.2">
      <c r="C391" s="25"/>
      <c r="D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row>
    <row r="392" spans="3:83" ht="12.75" x14ac:dyDescent="0.2">
      <c r="C392" s="25"/>
      <c r="D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row>
    <row r="393" spans="3:83" ht="12.75" x14ac:dyDescent="0.2">
      <c r="C393" s="25"/>
      <c r="D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row>
    <row r="394" spans="3:83" ht="12.75" x14ac:dyDescent="0.2">
      <c r="C394" s="25"/>
      <c r="D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row>
    <row r="395" spans="3:83" ht="12.75" x14ac:dyDescent="0.2">
      <c r="C395" s="25"/>
      <c r="D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row>
    <row r="396" spans="3:83" ht="12.75" x14ac:dyDescent="0.2">
      <c r="C396" s="25"/>
      <c r="D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row>
    <row r="397" spans="3:83" ht="12.75" x14ac:dyDescent="0.2">
      <c r="C397" s="25"/>
      <c r="D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row>
    <row r="398" spans="3:83" ht="12.75" x14ac:dyDescent="0.2">
      <c r="C398" s="25"/>
      <c r="D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row>
    <row r="399" spans="3:83" ht="12.75" x14ac:dyDescent="0.2">
      <c r="C399" s="25"/>
      <c r="D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row>
    <row r="400" spans="3:83" ht="12.75" x14ac:dyDescent="0.2">
      <c r="C400" s="25"/>
      <c r="D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row>
    <row r="401" spans="3:83" ht="12.75" x14ac:dyDescent="0.2">
      <c r="C401" s="25"/>
      <c r="D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row>
    <row r="402" spans="3:83" ht="12.75" x14ac:dyDescent="0.2">
      <c r="C402" s="25"/>
      <c r="D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row>
    <row r="403" spans="3:83" ht="12.75" x14ac:dyDescent="0.2">
      <c r="C403" s="25"/>
      <c r="D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row>
    <row r="404" spans="3:83" ht="12.75" x14ac:dyDescent="0.2">
      <c r="C404" s="25"/>
      <c r="D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row>
    <row r="405" spans="3:83" ht="12.75" x14ac:dyDescent="0.2">
      <c r="C405" s="25"/>
      <c r="D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row>
    <row r="406" spans="3:83" ht="12.75" x14ac:dyDescent="0.2">
      <c r="C406" s="25"/>
      <c r="D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row>
    <row r="407" spans="3:83" ht="12.75" x14ac:dyDescent="0.2">
      <c r="C407" s="25"/>
      <c r="D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row>
    <row r="408" spans="3:83" ht="12.75" x14ac:dyDescent="0.2">
      <c r="C408" s="25"/>
      <c r="D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row>
    <row r="409" spans="3:83" ht="12.75" x14ac:dyDescent="0.2">
      <c r="C409" s="25"/>
      <c r="D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row>
    <row r="410" spans="3:83" ht="12.75" x14ac:dyDescent="0.2">
      <c r="C410" s="25"/>
      <c r="D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row>
    <row r="411" spans="3:83" ht="12.75" x14ac:dyDescent="0.2">
      <c r="C411" s="25"/>
      <c r="D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row>
    <row r="412" spans="3:83" ht="12.75" x14ac:dyDescent="0.2">
      <c r="C412" s="25"/>
      <c r="D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row>
    <row r="413" spans="3:83" ht="12.75" x14ac:dyDescent="0.2">
      <c r="C413" s="25"/>
      <c r="D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row>
    <row r="414" spans="3:83" ht="12.75" x14ac:dyDescent="0.2">
      <c r="C414" s="25"/>
      <c r="D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row>
    <row r="415" spans="3:83" ht="12.75" x14ac:dyDescent="0.2">
      <c r="C415" s="25"/>
      <c r="D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row>
    <row r="416" spans="3:83" ht="12.75" x14ac:dyDescent="0.2">
      <c r="C416" s="25"/>
      <c r="D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row>
    <row r="417" spans="3:83" ht="12.75" x14ac:dyDescent="0.2">
      <c r="C417" s="25"/>
      <c r="D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row>
    <row r="418" spans="3:83" ht="12.75" x14ac:dyDescent="0.2">
      <c r="C418" s="25"/>
      <c r="D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row>
    <row r="419" spans="3:83" ht="12.75" x14ac:dyDescent="0.2">
      <c r="C419" s="25"/>
      <c r="D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row>
    <row r="420" spans="3:83" ht="12.75" x14ac:dyDescent="0.2">
      <c r="C420" s="25"/>
      <c r="D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row>
    <row r="421" spans="3:83" ht="12.75" x14ac:dyDescent="0.2">
      <c r="C421" s="25"/>
      <c r="D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row>
    <row r="422" spans="3:83" ht="12.75" x14ac:dyDescent="0.2">
      <c r="C422" s="25"/>
      <c r="D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row>
    <row r="423" spans="3:83" ht="12.75" x14ac:dyDescent="0.2">
      <c r="C423" s="25"/>
      <c r="D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row>
    <row r="424" spans="3:83" ht="12.75" x14ac:dyDescent="0.2">
      <c r="C424" s="25"/>
      <c r="D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row>
    <row r="425" spans="3:83" ht="12.75" x14ac:dyDescent="0.2">
      <c r="C425" s="25"/>
      <c r="D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row>
    <row r="426" spans="3:83" ht="12.75" x14ac:dyDescent="0.2">
      <c r="C426" s="25"/>
      <c r="D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row>
    <row r="427" spans="3:83" ht="12.75" x14ac:dyDescent="0.2">
      <c r="C427" s="25"/>
      <c r="D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row>
    <row r="428" spans="3:83" ht="12.75" x14ac:dyDescent="0.2">
      <c r="C428" s="25"/>
      <c r="D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row>
    <row r="429" spans="3:83" ht="12.75" x14ac:dyDescent="0.2">
      <c r="C429" s="25"/>
      <c r="D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row>
    <row r="430" spans="3:83" ht="12.75" x14ac:dyDescent="0.2">
      <c r="C430" s="25"/>
      <c r="D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row>
    <row r="431" spans="3:83" ht="12.75" x14ac:dyDescent="0.2">
      <c r="C431" s="25"/>
      <c r="D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row>
    <row r="432" spans="3:83" ht="12.75" x14ac:dyDescent="0.2">
      <c r="C432" s="25"/>
      <c r="D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row>
    <row r="433" spans="3:83" ht="12.75" x14ac:dyDescent="0.2">
      <c r="C433" s="25"/>
      <c r="D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row>
    <row r="434" spans="3:83" ht="12.75" x14ac:dyDescent="0.2">
      <c r="C434" s="25"/>
      <c r="D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row>
    <row r="435" spans="3:83" ht="12.75" x14ac:dyDescent="0.2">
      <c r="C435" s="25"/>
      <c r="D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row>
    <row r="436" spans="3:83" ht="12.75" x14ac:dyDescent="0.2">
      <c r="C436" s="25"/>
      <c r="D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row>
    <row r="437" spans="3:83" ht="12.75" x14ac:dyDescent="0.2">
      <c r="C437" s="25"/>
      <c r="D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row>
    <row r="438" spans="3:83" ht="12.75" x14ac:dyDescent="0.2">
      <c r="C438" s="25"/>
      <c r="D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row>
    <row r="439" spans="3:83" ht="12.75" x14ac:dyDescent="0.2">
      <c r="C439" s="25"/>
      <c r="D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row>
    <row r="440" spans="3:83" ht="12.75" x14ac:dyDescent="0.2">
      <c r="C440" s="25"/>
      <c r="D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row>
    <row r="441" spans="3:83" ht="12.75" x14ac:dyDescent="0.2">
      <c r="C441" s="25"/>
      <c r="D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row>
    <row r="442" spans="3:83" ht="12.75" x14ac:dyDescent="0.2">
      <c r="C442" s="25"/>
      <c r="D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row>
    <row r="443" spans="3:83" ht="12.75" x14ac:dyDescent="0.2">
      <c r="C443" s="25"/>
      <c r="D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row>
    <row r="444" spans="3:83" ht="12.75" x14ac:dyDescent="0.2">
      <c r="C444" s="25"/>
      <c r="D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row>
    <row r="445" spans="3:83" ht="12.75" x14ac:dyDescent="0.2">
      <c r="C445" s="25"/>
      <c r="D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row>
    <row r="446" spans="3:83" ht="12.75" x14ac:dyDescent="0.2">
      <c r="C446" s="25"/>
      <c r="D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row>
    <row r="447" spans="3:83" ht="12.75" x14ac:dyDescent="0.2">
      <c r="C447" s="25"/>
      <c r="D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row>
    <row r="448" spans="3:83" ht="12.75" x14ac:dyDescent="0.2">
      <c r="C448" s="25"/>
      <c r="D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row>
    <row r="449" spans="3:83" ht="12.75" x14ac:dyDescent="0.2">
      <c r="C449" s="25"/>
      <c r="D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row>
    <row r="450" spans="3:83" ht="12.75" x14ac:dyDescent="0.2">
      <c r="C450" s="25"/>
      <c r="D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row>
    <row r="451" spans="3:83" ht="12.75" x14ac:dyDescent="0.2">
      <c r="C451" s="25"/>
      <c r="D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row>
    <row r="452" spans="3:83" ht="12.75" x14ac:dyDescent="0.2">
      <c r="C452" s="25"/>
      <c r="D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row>
    <row r="453" spans="3:83" ht="12.75" x14ac:dyDescent="0.2">
      <c r="C453" s="25"/>
      <c r="D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row>
    <row r="454" spans="3:83" ht="12.75" x14ac:dyDescent="0.2">
      <c r="C454" s="25"/>
      <c r="D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row>
    <row r="455" spans="3:83" ht="12.75" x14ac:dyDescent="0.2">
      <c r="C455" s="25"/>
      <c r="D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row>
    <row r="456" spans="3:83" ht="12.75" x14ac:dyDescent="0.2">
      <c r="C456" s="25"/>
      <c r="D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row>
    <row r="457" spans="3:83" ht="12.75" x14ac:dyDescent="0.2">
      <c r="C457" s="25"/>
      <c r="D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row>
    <row r="458" spans="3:83" ht="12.75" x14ac:dyDescent="0.2">
      <c r="C458" s="25"/>
      <c r="D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row>
    <row r="459" spans="3:83" ht="12.75" x14ac:dyDescent="0.2">
      <c r="C459" s="25"/>
      <c r="D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row>
    <row r="460" spans="3:83" ht="12.75" x14ac:dyDescent="0.2">
      <c r="C460" s="25"/>
      <c r="D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row>
    <row r="461" spans="3:83" ht="12.75" x14ac:dyDescent="0.2">
      <c r="C461" s="25"/>
      <c r="D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row>
    <row r="462" spans="3:83" ht="12.75" x14ac:dyDescent="0.2">
      <c r="C462" s="25"/>
      <c r="D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row>
    <row r="463" spans="3:83" ht="12.75" x14ac:dyDescent="0.2">
      <c r="C463" s="25"/>
      <c r="D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row>
    <row r="464" spans="3:83" ht="12.75" x14ac:dyDescent="0.2">
      <c r="C464" s="25"/>
      <c r="D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row>
    <row r="465" spans="3:83" ht="12.75" x14ac:dyDescent="0.2">
      <c r="C465" s="25"/>
      <c r="D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row>
    <row r="466" spans="3:83" ht="12.75" x14ac:dyDescent="0.2">
      <c r="C466" s="25"/>
      <c r="D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row>
    <row r="467" spans="3:83" ht="12.75" x14ac:dyDescent="0.2">
      <c r="C467" s="25"/>
      <c r="D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row>
    <row r="468" spans="3:83" ht="12.75" x14ac:dyDescent="0.2">
      <c r="C468" s="25"/>
      <c r="D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row>
    <row r="469" spans="3:83" ht="12.75" x14ac:dyDescent="0.2">
      <c r="C469" s="25"/>
      <c r="D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row>
    <row r="470" spans="3:83" ht="12.75" x14ac:dyDescent="0.2">
      <c r="C470" s="25"/>
      <c r="D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row>
    <row r="471" spans="3:83" ht="12.75" x14ac:dyDescent="0.2">
      <c r="C471" s="25"/>
      <c r="D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row>
    <row r="472" spans="3:83" ht="12.75" x14ac:dyDescent="0.2">
      <c r="C472" s="25"/>
      <c r="D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row>
    <row r="473" spans="3:83" ht="12.75" x14ac:dyDescent="0.2">
      <c r="C473" s="25"/>
      <c r="D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row>
    <row r="474" spans="3:83" ht="12.75" x14ac:dyDescent="0.2">
      <c r="C474" s="25"/>
      <c r="D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row>
    <row r="475" spans="3:83" ht="12.75" x14ac:dyDescent="0.2">
      <c r="C475" s="25"/>
      <c r="D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row>
    <row r="476" spans="3:83" ht="12.75" x14ac:dyDescent="0.2">
      <c r="C476" s="25"/>
      <c r="D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row>
    <row r="477" spans="3:83" ht="12.75" x14ac:dyDescent="0.2">
      <c r="C477" s="25"/>
      <c r="D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row>
    <row r="478" spans="3:83" ht="12.75" x14ac:dyDescent="0.2">
      <c r="C478" s="25"/>
      <c r="D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row>
    <row r="479" spans="3:83" ht="12.75" x14ac:dyDescent="0.2">
      <c r="C479" s="25"/>
      <c r="D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row>
    <row r="480" spans="3:83" ht="12.75" x14ac:dyDescent="0.2">
      <c r="C480" s="25"/>
      <c r="D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row>
    <row r="481" spans="3:83" ht="12.75" x14ac:dyDescent="0.2">
      <c r="C481" s="25"/>
      <c r="D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row>
    <row r="482" spans="3:83" ht="12.75" x14ac:dyDescent="0.2">
      <c r="C482" s="25"/>
      <c r="D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row>
    <row r="483" spans="3:83" ht="12.75" x14ac:dyDescent="0.2">
      <c r="C483" s="25"/>
      <c r="D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row>
    <row r="484" spans="3:83" ht="12.75" x14ac:dyDescent="0.2">
      <c r="C484" s="25"/>
      <c r="D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row>
    <row r="485" spans="3:83" ht="12.75" x14ac:dyDescent="0.2">
      <c r="C485" s="25"/>
      <c r="D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row>
    <row r="486" spans="3:83" ht="12.75" x14ac:dyDescent="0.2">
      <c r="C486" s="25"/>
      <c r="D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row>
    <row r="487" spans="3:83" ht="12.75" x14ac:dyDescent="0.2">
      <c r="C487" s="25"/>
      <c r="D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row>
    <row r="488" spans="3:83" ht="12.75" x14ac:dyDescent="0.2">
      <c r="C488" s="25"/>
      <c r="D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row>
    <row r="489" spans="3:83" ht="12.75" x14ac:dyDescent="0.2">
      <c r="C489" s="25"/>
      <c r="D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row>
    <row r="490" spans="3:83" ht="12.75" x14ac:dyDescent="0.2">
      <c r="C490" s="25"/>
      <c r="D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row>
    <row r="491" spans="3:83" ht="12.75" x14ac:dyDescent="0.2">
      <c r="C491" s="25"/>
      <c r="D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row>
    <row r="492" spans="3:83" ht="12.75" x14ac:dyDescent="0.2">
      <c r="C492" s="25"/>
      <c r="D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row>
    <row r="493" spans="3:83" ht="12.75" x14ac:dyDescent="0.2">
      <c r="C493" s="25"/>
      <c r="D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row>
    <row r="494" spans="3:83" ht="12.75" x14ac:dyDescent="0.2">
      <c r="C494" s="25"/>
      <c r="D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row>
    <row r="495" spans="3:83" ht="12.75" x14ac:dyDescent="0.2">
      <c r="C495" s="25"/>
      <c r="D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row>
    <row r="496" spans="3:83" ht="12.75" x14ac:dyDescent="0.2">
      <c r="C496" s="25"/>
      <c r="D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row>
    <row r="497" spans="3:83" ht="12.75" x14ac:dyDescent="0.2">
      <c r="C497" s="25"/>
      <c r="D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row>
    <row r="498" spans="3:83" ht="12.75" x14ac:dyDescent="0.2">
      <c r="C498" s="25"/>
      <c r="D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row>
    <row r="499" spans="3:83" ht="12.75" x14ac:dyDescent="0.2">
      <c r="C499" s="25"/>
      <c r="D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row>
    <row r="500" spans="3:83" ht="12.75" x14ac:dyDescent="0.2">
      <c r="C500" s="25"/>
      <c r="D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row>
    <row r="501" spans="3:83" ht="12.75" x14ac:dyDescent="0.2">
      <c r="C501" s="25"/>
      <c r="D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row>
    <row r="502" spans="3:83" ht="12.75" x14ac:dyDescent="0.2">
      <c r="C502" s="25"/>
      <c r="D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row>
    <row r="503" spans="3:83" ht="12.75" x14ac:dyDescent="0.2">
      <c r="C503" s="25"/>
      <c r="D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row>
    <row r="504" spans="3:83" ht="12.75" x14ac:dyDescent="0.2">
      <c r="C504" s="25"/>
      <c r="D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row>
    <row r="505" spans="3:83" ht="12.75" x14ac:dyDescent="0.2">
      <c r="C505" s="25"/>
      <c r="D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row>
    <row r="506" spans="3:83" ht="12.75" x14ac:dyDescent="0.2">
      <c r="C506" s="25"/>
      <c r="D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row>
    <row r="507" spans="3:83" ht="12.75" x14ac:dyDescent="0.2">
      <c r="C507" s="25"/>
      <c r="D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row>
    <row r="508" spans="3:83" ht="12.75" x14ac:dyDescent="0.2">
      <c r="C508" s="25"/>
      <c r="D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row>
    <row r="509" spans="3:83" ht="12.75" x14ac:dyDescent="0.2">
      <c r="C509" s="25"/>
      <c r="D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row>
    <row r="510" spans="3:83" ht="12.75" x14ac:dyDescent="0.2">
      <c r="C510" s="25"/>
      <c r="D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row>
    <row r="511" spans="3:83" ht="12.75" x14ac:dyDescent="0.2">
      <c r="C511" s="25"/>
      <c r="D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row>
    <row r="512" spans="3:83" ht="12.75" x14ac:dyDescent="0.2">
      <c r="C512" s="25"/>
      <c r="D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row>
    <row r="513" spans="3:83" ht="12.75" x14ac:dyDescent="0.2">
      <c r="C513" s="25"/>
      <c r="D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row>
    <row r="514" spans="3:83" ht="12.75" x14ac:dyDescent="0.2">
      <c r="C514" s="25"/>
      <c r="D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row>
    <row r="515" spans="3:83" ht="12.75" x14ac:dyDescent="0.2">
      <c r="C515" s="25"/>
      <c r="D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row>
    <row r="516" spans="3:83" ht="12.75" x14ac:dyDescent="0.2">
      <c r="C516" s="25"/>
      <c r="D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row>
    <row r="517" spans="3:83" ht="12.75" x14ac:dyDescent="0.2">
      <c r="C517" s="25"/>
      <c r="D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row>
    <row r="518" spans="3:83" ht="12.75" x14ac:dyDescent="0.2">
      <c r="C518" s="25"/>
      <c r="D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row>
    <row r="519" spans="3:83" ht="12.75" x14ac:dyDescent="0.2">
      <c r="C519" s="25"/>
      <c r="D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row>
    <row r="520" spans="3:83" ht="12.75" x14ac:dyDescent="0.2">
      <c r="C520" s="25"/>
      <c r="D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row>
    <row r="521" spans="3:83" ht="12.75" x14ac:dyDescent="0.2">
      <c r="C521" s="25"/>
      <c r="D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row>
    <row r="522" spans="3:83" ht="12.75" x14ac:dyDescent="0.2">
      <c r="C522" s="25"/>
      <c r="D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row>
    <row r="523" spans="3:83" ht="12.75" x14ac:dyDescent="0.2">
      <c r="C523" s="25"/>
      <c r="D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row>
    <row r="524" spans="3:83" ht="12.75" x14ac:dyDescent="0.2">
      <c r="C524" s="25"/>
      <c r="D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row>
    <row r="525" spans="3:83" ht="12.75" x14ac:dyDescent="0.2">
      <c r="C525" s="25"/>
      <c r="D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row>
    <row r="526" spans="3:83" ht="12.75" x14ac:dyDescent="0.2">
      <c r="C526" s="25"/>
      <c r="D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row>
    <row r="527" spans="3:83" ht="12.75" x14ac:dyDescent="0.2">
      <c r="C527" s="25"/>
      <c r="D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row>
    <row r="528" spans="3:83" ht="12.75" x14ac:dyDescent="0.2">
      <c r="C528" s="25"/>
      <c r="D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row>
    <row r="529" spans="3:83" ht="12.75" x14ac:dyDescent="0.2">
      <c r="C529" s="25"/>
      <c r="D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row>
    <row r="530" spans="3:83" ht="12.75" x14ac:dyDescent="0.2">
      <c r="C530" s="25"/>
      <c r="D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row>
    <row r="531" spans="3:83" ht="12.75" x14ac:dyDescent="0.2">
      <c r="C531" s="25"/>
      <c r="D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row>
    <row r="532" spans="3:83" ht="12.75" x14ac:dyDescent="0.2">
      <c r="C532" s="25"/>
      <c r="D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row>
    <row r="533" spans="3:83" ht="12.75" x14ac:dyDescent="0.2">
      <c r="C533" s="25"/>
      <c r="D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row>
    <row r="534" spans="3:83" ht="12.75" x14ac:dyDescent="0.2">
      <c r="C534" s="25"/>
      <c r="D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row>
    <row r="535" spans="3:83" ht="12.75" x14ac:dyDescent="0.2">
      <c r="C535" s="25"/>
      <c r="D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row>
    <row r="536" spans="3:83" ht="12.75" x14ac:dyDescent="0.2">
      <c r="C536" s="25"/>
      <c r="D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row>
    <row r="537" spans="3:83" ht="12.75" x14ac:dyDescent="0.2">
      <c r="C537" s="25"/>
      <c r="D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row>
    <row r="538" spans="3:83" ht="12.75" x14ac:dyDescent="0.2">
      <c r="C538" s="25"/>
      <c r="D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row>
    <row r="539" spans="3:83" ht="12.75" x14ac:dyDescent="0.2">
      <c r="C539" s="25"/>
      <c r="D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row>
    <row r="540" spans="3:83" ht="12.75" x14ac:dyDescent="0.2">
      <c r="C540" s="25"/>
      <c r="D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row>
    <row r="541" spans="3:83" ht="12.75" x14ac:dyDescent="0.2">
      <c r="C541" s="25"/>
      <c r="D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row>
    <row r="542" spans="3:83" ht="12.75" x14ac:dyDescent="0.2">
      <c r="C542" s="25"/>
      <c r="D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row>
    <row r="543" spans="3:83" ht="12.75" x14ac:dyDescent="0.2">
      <c r="C543" s="25"/>
      <c r="D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row>
    <row r="544" spans="3:83" ht="12.75" x14ac:dyDescent="0.2">
      <c r="C544" s="25"/>
      <c r="D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row>
    <row r="545" spans="3:83" ht="12.75" x14ac:dyDescent="0.2">
      <c r="C545" s="25"/>
      <c r="D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row>
    <row r="546" spans="3:83" ht="12.75" x14ac:dyDescent="0.2">
      <c r="C546" s="25"/>
      <c r="D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row>
    <row r="547" spans="3:83" ht="12.75" x14ac:dyDescent="0.2">
      <c r="C547" s="25"/>
      <c r="D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row>
    <row r="548" spans="3:83" ht="12.75" x14ac:dyDescent="0.2">
      <c r="C548" s="25"/>
      <c r="D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row>
    <row r="549" spans="3:83" ht="12.75" x14ac:dyDescent="0.2">
      <c r="C549" s="25"/>
      <c r="D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row>
    <row r="550" spans="3:83" ht="12.75" x14ac:dyDescent="0.2">
      <c r="C550" s="25"/>
      <c r="D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row>
    <row r="551" spans="3:83" ht="12.75" x14ac:dyDescent="0.2">
      <c r="C551" s="25"/>
      <c r="D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row>
    <row r="552" spans="3:83" ht="12.75" x14ac:dyDescent="0.2">
      <c r="C552" s="25"/>
      <c r="D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row>
    <row r="553" spans="3:83" ht="12.75" x14ac:dyDescent="0.2">
      <c r="C553" s="25"/>
      <c r="D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row>
    <row r="554" spans="3:83" ht="12.75" x14ac:dyDescent="0.2">
      <c r="C554" s="25"/>
      <c r="D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row>
    <row r="555" spans="3:83" ht="12.75" x14ac:dyDescent="0.2">
      <c r="C555" s="25"/>
      <c r="D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row>
    <row r="556" spans="3:83" ht="12.75" x14ac:dyDescent="0.2">
      <c r="C556" s="25"/>
      <c r="D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row>
    <row r="557" spans="3:83" ht="12.75" x14ac:dyDescent="0.2">
      <c r="C557" s="25"/>
      <c r="D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row>
    <row r="558" spans="3:83" ht="12.75" x14ac:dyDescent="0.2">
      <c r="C558" s="25"/>
      <c r="D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row>
    <row r="559" spans="3:83" ht="12.75" x14ac:dyDescent="0.2">
      <c r="C559" s="25"/>
      <c r="D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row>
    <row r="560" spans="3:83" ht="12.75" x14ac:dyDescent="0.2">
      <c r="C560" s="25"/>
      <c r="D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row>
    <row r="561" spans="3:83" ht="12.75" x14ac:dyDescent="0.2">
      <c r="C561" s="25"/>
      <c r="D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row>
    <row r="562" spans="3:83" ht="12.75" x14ac:dyDescent="0.2">
      <c r="C562" s="25"/>
      <c r="D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row>
    <row r="563" spans="3:83" ht="12.75" x14ac:dyDescent="0.2">
      <c r="C563" s="25"/>
      <c r="D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row>
    <row r="564" spans="3:83" ht="12.75" x14ac:dyDescent="0.2">
      <c r="C564" s="25"/>
      <c r="D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row>
    <row r="565" spans="3:83" ht="12.75" x14ac:dyDescent="0.2">
      <c r="C565" s="25"/>
      <c r="D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row>
    <row r="566" spans="3:83" ht="12.75" x14ac:dyDescent="0.2">
      <c r="C566" s="25"/>
      <c r="D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row>
    <row r="567" spans="3:83" ht="12.75" x14ac:dyDescent="0.2">
      <c r="C567" s="25"/>
      <c r="D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row>
    <row r="568" spans="3:83" ht="12.75" x14ac:dyDescent="0.2">
      <c r="C568" s="25"/>
      <c r="D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row>
    <row r="569" spans="3:83" ht="12.75" x14ac:dyDescent="0.2">
      <c r="C569" s="25"/>
      <c r="D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row>
    <row r="570" spans="3:83" ht="12.75" x14ac:dyDescent="0.2">
      <c r="C570" s="25"/>
      <c r="D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row>
    <row r="571" spans="3:83" ht="12.75" x14ac:dyDescent="0.2">
      <c r="C571" s="25"/>
      <c r="D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row>
    <row r="572" spans="3:83" ht="12.75" x14ac:dyDescent="0.2">
      <c r="C572" s="25"/>
      <c r="D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row>
    <row r="573" spans="3:83" ht="12.75" x14ac:dyDescent="0.2">
      <c r="C573" s="25"/>
      <c r="D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row>
    <row r="574" spans="3:83" ht="12.75" x14ac:dyDescent="0.2">
      <c r="C574" s="25"/>
      <c r="D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row>
    <row r="575" spans="3:83" ht="12.75" x14ac:dyDescent="0.2">
      <c r="C575" s="25"/>
      <c r="D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row>
    <row r="576" spans="3:83" ht="12.75" x14ac:dyDescent="0.2">
      <c r="C576" s="25"/>
      <c r="D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row>
    <row r="577" spans="3:83" ht="12.75" x14ac:dyDescent="0.2">
      <c r="C577" s="25"/>
      <c r="D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row>
    <row r="578" spans="3:83" ht="12.75" x14ac:dyDescent="0.2">
      <c r="C578" s="25"/>
      <c r="D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row>
    <row r="579" spans="3:83" ht="12.75" x14ac:dyDescent="0.2">
      <c r="C579" s="25"/>
      <c r="D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row>
    <row r="580" spans="3:83" ht="12.75" x14ac:dyDescent="0.2">
      <c r="C580" s="25"/>
      <c r="D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row>
    <row r="581" spans="3:83" ht="12.75" x14ac:dyDescent="0.2">
      <c r="C581" s="25"/>
      <c r="D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row>
    <row r="582" spans="3:83" ht="12.75" x14ac:dyDescent="0.2">
      <c r="C582" s="25"/>
      <c r="D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row>
    <row r="583" spans="3:83" ht="12.75" x14ac:dyDescent="0.2">
      <c r="C583" s="25"/>
      <c r="D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row>
    <row r="584" spans="3:83" ht="12.75" x14ac:dyDescent="0.2">
      <c r="C584" s="25"/>
      <c r="D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row>
    <row r="585" spans="3:83" ht="12.75" x14ac:dyDescent="0.2">
      <c r="C585" s="25"/>
      <c r="D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row>
    <row r="586" spans="3:83" ht="12.75" x14ac:dyDescent="0.2">
      <c r="C586" s="25"/>
      <c r="D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row>
    <row r="587" spans="3:83" ht="12.75" x14ac:dyDescent="0.2">
      <c r="C587" s="25"/>
      <c r="D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row>
    <row r="588" spans="3:83" ht="12.75" x14ac:dyDescent="0.2">
      <c r="C588" s="25"/>
      <c r="D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row>
    <row r="589" spans="3:83" ht="12.75" x14ac:dyDescent="0.2">
      <c r="C589" s="25"/>
      <c r="D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row>
    <row r="590" spans="3:83" ht="12.75" x14ac:dyDescent="0.2">
      <c r="C590" s="25"/>
      <c r="D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row>
    <row r="591" spans="3:83" ht="12.75" x14ac:dyDescent="0.2">
      <c r="C591" s="25"/>
      <c r="D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row>
    <row r="592" spans="3:83" ht="12.75" x14ac:dyDescent="0.2">
      <c r="C592" s="25"/>
      <c r="D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row>
    <row r="593" spans="3:83" ht="12.75" x14ac:dyDescent="0.2">
      <c r="C593" s="25"/>
      <c r="D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row>
    <row r="594" spans="3:83" ht="12.75" x14ac:dyDescent="0.2">
      <c r="C594" s="25"/>
      <c r="D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row>
    <row r="595" spans="3:83" ht="12.75" x14ac:dyDescent="0.2">
      <c r="C595" s="25"/>
      <c r="D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row>
    <row r="596" spans="3:83" ht="12.75" x14ac:dyDescent="0.2">
      <c r="C596" s="25"/>
      <c r="D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row>
    <row r="597" spans="3:83" ht="12.75" x14ac:dyDescent="0.2">
      <c r="C597" s="25"/>
      <c r="D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row>
    <row r="598" spans="3:83" ht="12.75" x14ac:dyDescent="0.2">
      <c r="C598" s="25"/>
      <c r="D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row>
    <row r="599" spans="3:83" ht="12.75" x14ac:dyDescent="0.2">
      <c r="C599" s="25"/>
      <c r="D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row>
    <row r="600" spans="3:83" ht="12.75" x14ac:dyDescent="0.2">
      <c r="C600" s="25"/>
      <c r="D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row>
    <row r="601" spans="3:83" ht="12.75" x14ac:dyDescent="0.2">
      <c r="C601" s="25"/>
      <c r="D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row>
    <row r="602" spans="3:83" ht="12.75" x14ac:dyDescent="0.2">
      <c r="C602" s="25"/>
      <c r="D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row>
    <row r="603" spans="3:83" ht="12.75" x14ac:dyDescent="0.2">
      <c r="C603" s="25"/>
      <c r="D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row>
    <row r="604" spans="3:83" ht="12.75" x14ac:dyDescent="0.2">
      <c r="C604" s="25"/>
      <c r="D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row>
    <row r="605" spans="3:83" ht="12.75" x14ac:dyDescent="0.2">
      <c r="C605" s="25"/>
      <c r="D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row>
    <row r="606" spans="3:83" ht="12.75" x14ac:dyDescent="0.2">
      <c r="C606" s="25"/>
      <c r="D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row>
    <row r="607" spans="3:83" ht="12.75" x14ac:dyDescent="0.2">
      <c r="C607" s="25"/>
      <c r="D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row>
    <row r="608" spans="3:83" ht="12.75" x14ac:dyDescent="0.2">
      <c r="C608" s="25"/>
      <c r="D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row>
    <row r="609" spans="3:83" ht="12.75" x14ac:dyDescent="0.2">
      <c r="C609" s="25"/>
      <c r="D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row>
    <row r="610" spans="3:83" ht="12.75" x14ac:dyDescent="0.2">
      <c r="C610" s="25"/>
      <c r="D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row>
    <row r="611" spans="3:83" ht="12.75" x14ac:dyDescent="0.2">
      <c r="C611" s="25"/>
      <c r="D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row>
    <row r="612" spans="3:83" ht="12.75" x14ac:dyDescent="0.2">
      <c r="C612" s="25"/>
      <c r="D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row>
    <row r="613" spans="3:83" ht="12.75" x14ac:dyDescent="0.2">
      <c r="C613" s="25"/>
      <c r="D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row>
    <row r="614" spans="3:83" ht="12.75" x14ac:dyDescent="0.2">
      <c r="C614" s="25"/>
      <c r="D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row>
    <row r="615" spans="3:83" ht="12.75" x14ac:dyDescent="0.2">
      <c r="C615" s="25"/>
      <c r="D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row>
    <row r="616" spans="3:83" ht="12.75" x14ac:dyDescent="0.2">
      <c r="C616" s="25"/>
      <c r="D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row>
    <row r="617" spans="3:83" ht="12.75" x14ac:dyDescent="0.2">
      <c r="C617" s="25"/>
      <c r="D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row>
    <row r="618" spans="3:83" ht="12.75" x14ac:dyDescent="0.2">
      <c r="C618" s="25"/>
      <c r="D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row>
    <row r="619" spans="3:83" ht="12.75" x14ac:dyDescent="0.2">
      <c r="C619" s="25"/>
      <c r="D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row>
    <row r="620" spans="3:83" ht="12.75" x14ac:dyDescent="0.2">
      <c r="C620" s="25"/>
      <c r="D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row>
    <row r="621" spans="3:83" ht="12.75" x14ac:dyDescent="0.2">
      <c r="C621" s="25"/>
      <c r="D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row>
    <row r="622" spans="3:83" ht="12.75" x14ac:dyDescent="0.2">
      <c r="C622" s="25"/>
      <c r="D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row>
    <row r="623" spans="3:83" ht="12.75" x14ac:dyDescent="0.2">
      <c r="C623" s="25"/>
      <c r="D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row>
    <row r="624" spans="3:83" ht="12.75" x14ac:dyDescent="0.2">
      <c r="C624" s="25"/>
      <c r="D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row>
    <row r="625" spans="3:83" ht="12.75" x14ac:dyDescent="0.2">
      <c r="C625" s="25"/>
      <c r="D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row>
    <row r="626" spans="3:83" ht="12.75" x14ac:dyDescent="0.2">
      <c r="C626" s="25"/>
      <c r="D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row>
    <row r="627" spans="3:83" ht="12.75" x14ac:dyDescent="0.2">
      <c r="C627" s="25"/>
      <c r="D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row>
    <row r="628" spans="3:83" ht="12.75" x14ac:dyDescent="0.2">
      <c r="C628" s="25"/>
      <c r="D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row>
    <row r="629" spans="3:83" ht="12.75" x14ac:dyDescent="0.2">
      <c r="C629" s="25"/>
      <c r="D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row>
    <row r="630" spans="3:83" ht="12.75" x14ac:dyDescent="0.2">
      <c r="C630" s="25"/>
      <c r="D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row>
    <row r="631" spans="3:83" ht="12.75" x14ac:dyDescent="0.2">
      <c r="C631" s="25"/>
      <c r="D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row>
    <row r="632" spans="3:83" ht="12.75" x14ac:dyDescent="0.2">
      <c r="C632" s="25"/>
      <c r="D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row>
    <row r="633" spans="3:83" ht="12.75" x14ac:dyDescent="0.2">
      <c r="C633" s="25"/>
      <c r="D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row>
    <row r="634" spans="3:83" ht="12.75" x14ac:dyDescent="0.2">
      <c r="C634" s="25"/>
      <c r="D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row>
    <row r="635" spans="3:83" ht="12.75" x14ac:dyDescent="0.2">
      <c r="C635" s="25"/>
      <c r="D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row>
    <row r="636" spans="3:83" ht="12.75" x14ac:dyDescent="0.2">
      <c r="C636" s="25"/>
      <c r="D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row>
    <row r="637" spans="3:83" ht="12.75" x14ac:dyDescent="0.2">
      <c r="C637" s="25"/>
      <c r="D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row>
    <row r="638" spans="3:83" ht="12.75" x14ac:dyDescent="0.2">
      <c r="C638" s="25"/>
      <c r="D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row>
    <row r="639" spans="3:83" ht="12.75" x14ac:dyDescent="0.2">
      <c r="C639" s="25"/>
      <c r="D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row>
    <row r="640" spans="3:83" ht="12.75" x14ac:dyDescent="0.2">
      <c r="C640" s="25"/>
      <c r="D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row>
    <row r="641" spans="3:83" ht="12.75" x14ac:dyDescent="0.2">
      <c r="C641" s="25"/>
      <c r="D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row>
    <row r="642" spans="3:83" ht="12.75" x14ac:dyDescent="0.2">
      <c r="C642" s="25"/>
      <c r="D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row>
    <row r="643" spans="3:83" ht="12.75" x14ac:dyDescent="0.2">
      <c r="C643" s="25"/>
      <c r="D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row>
    <row r="644" spans="3:83" ht="12.75" x14ac:dyDescent="0.2">
      <c r="C644" s="25"/>
      <c r="D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row>
    <row r="645" spans="3:83" ht="12.75" x14ac:dyDescent="0.2">
      <c r="C645" s="25"/>
      <c r="D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row>
    <row r="646" spans="3:83" ht="12.75" x14ac:dyDescent="0.2">
      <c r="C646" s="25"/>
      <c r="D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row>
    <row r="647" spans="3:83" ht="12.75" x14ac:dyDescent="0.2">
      <c r="C647" s="25"/>
      <c r="D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row>
    <row r="648" spans="3:83" ht="12.75" x14ac:dyDescent="0.2">
      <c r="C648" s="25"/>
      <c r="D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row>
    <row r="649" spans="3:83" ht="12.75" x14ac:dyDescent="0.2">
      <c r="C649" s="25"/>
      <c r="D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row>
    <row r="650" spans="3:83" ht="12.75" x14ac:dyDescent="0.2">
      <c r="C650" s="25"/>
      <c r="D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row>
    <row r="651" spans="3:83" ht="12.75" x14ac:dyDescent="0.2">
      <c r="C651" s="25"/>
      <c r="D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row>
    <row r="652" spans="3:83" ht="12.75" x14ac:dyDescent="0.2">
      <c r="C652" s="25"/>
      <c r="D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row>
    <row r="653" spans="3:83" ht="12.75" x14ac:dyDescent="0.2">
      <c r="C653" s="25"/>
      <c r="D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row>
    <row r="654" spans="3:83" ht="12.75" x14ac:dyDescent="0.2">
      <c r="C654" s="25"/>
      <c r="D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row>
    <row r="655" spans="3:83" ht="12.75" x14ac:dyDescent="0.2">
      <c r="C655" s="25"/>
      <c r="D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row>
    <row r="656" spans="3:83" ht="12.75" x14ac:dyDescent="0.2">
      <c r="C656" s="25"/>
      <c r="D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row>
    <row r="657" spans="3:83" ht="12.75" x14ac:dyDescent="0.2">
      <c r="C657" s="25"/>
      <c r="D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row>
    <row r="658" spans="3:83" ht="12.75" x14ac:dyDescent="0.2">
      <c r="C658" s="25"/>
      <c r="D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row>
    <row r="659" spans="3:83" ht="12.75" x14ac:dyDescent="0.2">
      <c r="C659" s="25"/>
      <c r="D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row>
    <row r="660" spans="3:83" ht="12.75" x14ac:dyDescent="0.2">
      <c r="C660" s="25"/>
      <c r="D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row>
    <row r="661" spans="3:83" ht="12.75" x14ac:dyDescent="0.2">
      <c r="C661" s="25"/>
      <c r="D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row>
    <row r="662" spans="3:83" ht="12.75" x14ac:dyDescent="0.2">
      <c r="C662" s="25"/>
      <c r="D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row>
    <row r="663" spans="3:83" ht="12.75" x14ac:dyDescent="0.2">
      <c r="C663" s="25"/>
      <c r="D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row>
    <row r="664" spans="3:83" ht="12.75" x14ac:dyDescent="0.2">
      <c r="C664" s="25"/>
      <c r="D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row>
    <row r="665" spans="3:83" ht="12.75" x14ac:dyDescent="0.2">
      <c r="C665" s="25"/>
      <c r="D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row>
    <row r="666" spans="3:83" ht="12.75" x14ac:dyDescent="0.2">
      <c r="C666" s="25"/>
      <c r="D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row>
    <row r="667" spans="3:83" ht="12.75" x14ac:dyDescent="0.2">
      <c r="C667" s="25"/>
      <c r="D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row>
    <row r="668" spans="3:83" ht="12.75" x14ac:dyDescent="0.2">
      <c r="C668" s="25"/>
      <c r="D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row>
    <row r="669" spans="3:83" ht="12.75" x14ac:dyDescent="0.2">
      <c r="C669" s="25"/>
      <c r="D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row>
    <row r="670" spans="3:83" ht="12.75" x14ac:dyDescent="0.2">
      <c r="C670" s="25"/>
      <c r="D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row>
    <row r="671" spans="3:83" ht="12.75" x14ac:dyDescent="0.2">
      <c r="C671" s="25"/>
      <c r="D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row>
    <row r="672" spans="3:83" ht="12.75" x14ac:dyDescent="0.2">
      <c r="C672" s="25"/>
      <c r="D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row>
    <row r="673" spans="3:83" ht="12.75" x14ac:dyDescent="0.2">
      <c r="C673" s="25"/>
      <c r="D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row>
    <row r="674" spans="3:83" ht="12.75" x14ac:dyDescent="0.2">
      <c r="C674" s="25"/>
      <c r="D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row>
    <row r="675" spans="3:83" ht="12.75" x14ac:dyDescent="0.2">
      <c r="C675" s="25"/>
      <c r="D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row>
    <row r="676" spans="3:83" ht="12.75" x14ac:dyDescent="0.2">
      <c r="C676" s="25"/>
      <c r="D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row>
    <row r="677" spans="3:83" ht="12.75" x14ac:dyDescent="0.2">
      <c r="C677" s="25"/>
      <c r="D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row>
    <row r="678" spans="3:83" ht="12.75" x14ac:dyDescent="0.2">
      <c r="C678" s="25"/>
      <c r="D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row>
    <row r="679" spans="3:83" ht="12.75" x14ac:dyDescent="0.2">
      <c r="C679" s="25"/>
      <c r="D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row>
    <row r="680" spans="3:83" ht="12.75" x14ac:dyDescent="0.2">
      <c r="C680" s="25"/>
      <c r="D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row>
    <row r="681" spans="3:83" ht="12.75" x14ac:dyDescent="0.2">
      <c r="C681" s="25"/>
      <c r="D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row>
    <row r="682" spans="3:83" ht="12.75" x14ac:dyDescent="0.2">
      <c r="C682" s="25"/>
      <c r="D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row>
    <row r="683" spans="3:83" ht="12.75" x14ac:dyDescent="0.2">
      <c r="C683" s="25"/>
      <c r="D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row>
    <row r="684" spans="3:83" ht="12.75" x14ac:dyDescent="0.2">
      <c r="C684" s="25"/>
      <c r="D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row>
    <row r="685" spans="3:83" ht="12.75" x14ac:dyDescent="0.2">
      <c r="C685" s="25"/>
      <c r="D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row>
    <row r="686" spans="3:83" ht="12.75" x14ac:dyDescent="0.2">
      <c r="C686" s="25"/>
      <c r="D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row>
    <row r="687" spans="3:83" ht="12.75" x14ac:dyDescent="0.2">
      <c r="C687" s="25"/>
      <c r="D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row>
    <row r="688" spans="3:83" ht="12.75" x14ac:dyDescent="0.2">
      <c r="C688" s="25"/>
      <c r="D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row>
    <row r="689" spans="3:83" ht="12.75" x14ac:dyDescent="0.2">
      <c r="C689" s="25"/>
      <c r="D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row>
    <row r="690" spans="3:83" ht="12.75" x14ac:dyDescent="0.2">
      <c r="C690" s="25"/>
      <c r="D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row>
    <row r="691" spans="3:83" ht="12.75" x14ac:dyDescent="0.2">
      <c r="C691" s="25"/>
      <c r="D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row>
    <row r="692" spans="3:83" ht="12.75" x14ac:dyDescent="0.2">
      <c r="C692" s="25"/>
      <c r="D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row>
    <row r="693" spans="3:83" ht="12.75" x14ac:dyDescent="0.2">
      <c r="C693" s="25"/>
      <c r="D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row>
    <row r="694" spans="3:83" ht="12.75" x14ac:dyDescent="0.2">
      <c r="C694" s="25"/>
      <c r="D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row>
    <row r="695" spans="3:83" ht="12.75" x14ac:dyDescent="0.2">
      <c r="C695" s="25"/>
      <c r="D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row>
    <row r="696" spans="3:83" ht="12.75" x14ac:dyDescent="0.2">
      <c r="C696" s="25"/>
      <c r="D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row>
    <row r="697" spans="3:83" ht="12.75" x14ac:dyDescent="0.2">
      <c r="C697" s="25"/>
      <c r="D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row>
    <row r="698" spans="3:83" ht="12.75" x14ac:dyDescent="0.2">
      <c r="C698" s="25"/>
      <c r="D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row>
    <row r="699" spans="3:83" ht="12.75" x14ac:dyDescent="0.2">
      <c r="C699" s="25"/>
      <c r="D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row>
    <row r="700" spans="3:83" ht="12.75" x14ac:dyDescent="0.2">
      <c r="C700" s="25"/>
      <c r="D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row>
    <row r="701" spans="3:83" ht="12.75" x14ac:dyDescent="0.2">
      <c r="C701" s="25"/>
      <c r="D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row>
    <row r="702" spans="3:83" ht="12.75" x14ac:dyDescent="0.2">
      <c r="C702" s="25"/>
      <c r="D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row>
    <row r="703" spans="3:83" ht="12.75" x14ac:dyDescent="0.2">
      <c r="C703" s="25"/>
      <c r="D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row>
    <row r="704" spans="3:83" ht="12.75" x14ac:dyDescent="0.2">
      <c r="C704" s="25"/>
      <c r="D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row>
    <row r="705" spans="3:83" ht="12.75" x14ac:dyDescent="0.2">
      <c r="C705" s="25"/>
      <c r="D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row>
    <row r="706" spans="3:83" ht="12.75" x14ac:dyDescent="0.2">
      <c r="C706" s="25"/>
      <c r="D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row>
    <row r="707" spans="3:83" ht="12.75" x14ac:dyDescent="0.2">
      <c r="C707" s="25"/>
      <c r="D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row>
    <row r="708" spans="3:83" ht="12.75" x14ac:dyDescent="0.2">
      <c r="C708" s="25"/>
      <c r="D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row>
    <row r="709" spans="3:83" ht="12.75" x14ac:dyDescent="0.2">
      <c r="C709" s="25"/>
      <c r="D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row>
    <row r="710" spans="3:83" ht="12.75" x14ac:dyDescent="0.2">
      <c r="C710" s="25"/>
      <c r="D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row>
    <row r="711" spans="3:83" ht="12.75" x14ac:dyDescent="0.2">
      <c r="C711" s="25"/>
      <c r="D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row>
    <row r="712" spans="3:83" ht="12.75" x14ac:dyDescent="0.2">
      <c r="C712" s="25"/>
      <c r="D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row>
    <row r="713" spans="3:83" ht="12.75" x14ac:dyDescent="0.2">
      <c r="C713" s="25"/>
      <c r="D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row>
    <row r="714" spans="3:83" ht="12.75" x14ac:dyDescent="0.2">
      <c r="C714" s="25"/>
      <c r="D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row>
    <row r="715" spans="3:83" ht="12.75" x14ac:dyDescent="0.2">
      <c r="C715" s="25"/>
      <c r="D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row>
    <row r="716" spans="3:83" ht="12.75" x14ac:dyDescent="0.2">
      <c r="C716" s="25"/>
      <c r="D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row>
    <row r="717" spans="3:83" ht="12.75" x14ac:dyDescent="0.2">
      <c r="C717" s="25"/>
      <c r="D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row>
    <row r="718" spans="3:83" ht="12.75" x14ac:dyDescent="0.2">
      <c r="C718" s="25"/>
      <c r="D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row>
    <row r="719" spans="3:83" ht="12.75" x14ac:dyDescent="0.2">
      <c r="C719" s="25"/>
      <c r="D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row>
    <row r="720" spans="3:83" ht="12.75" x14ac:dyDescent="0.2">
      <c r="C720" s="25"/>
      <c r="D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row>
    <row r="721" spans="3:83" ht="12.75" x14ac:dyDescent="0.2">
      <c r="C721" s="25"/>
      <c r="D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row>
    <row r="722" spans="3:83" ht="12.75" x14ac:dyDescent="0.2">
      <c r="C722" s="25"/>
      <c r="D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row>
    <row r="723" spans="3:83" ht="12.75" x14ac:dyDescent="0.2">
      <c r="C723" s="25"/>
      <c r="D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row>
    <row r="724" spans="3:83" ht="12.75" x14ac:dyDescent="0.2">
      <c r="C724" s="25"/>
      <c r="D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row>
    <row r="725" spans="3:83" ht="12.75" x14ac:dyDescent="0.2">
      <c r="C725" s="25"/>
      <c r="D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row>
    <row r="726" spans="3:83" ht="12.75" x14ac:dyDescent="0.2">
      <c r="C726" s="25"/>
      <c r="D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row>
    <row r="727" spans="3:83" ht="12.75" x14ac:dyDescent="0.2">
      <c r="C727" s="25"/>
      <c r="D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row>
    <row r="728" spans="3:83" ht="12.75" x14ac:dyDescent="0.2">
      <c r="C728" s="25"/>
      <c r="D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row>
    <row r="729" spans="3:83" ht="12.75" x14ac:dyDescent="0.2">
      <c r="C729" s="25"/>
      <c r="D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row>
    <row r="730" spans="3:83" ht="12.75" x14ac:dyDescent="0.2">
      <c r="C730" s="25"/>
      <c r="D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row>
    <row r="731" spans="3:83" ht="12.75" x14ac:dyDescent="0.2">
      <c r="C731" s="25"/>
      <c r="D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row>
    <row r="732" spans="3:83" ht="12.75" x14ac:dyDescent="0.2">
      <c r="C732" s="25"/>
      <c r="D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row>
    <row r="733" spans="3:83" ht="12.75" x14ac:dyDescent="0.2">
      <c r="C733" s="25"/>
      <c r="D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row>
    <row r="734" spans="3:83" ht="12.75" x14ac:dyDescent="0.2">
      <c r="C734" s="25"/>
      <c r="D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row>
    <row r="735" spans="3:83" ht="12.75" x14ac:dyDescent="0.2">
      <c r="C735" s="25"/>
      <c r="D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row>
    <row r="736" spans="3:83" ht="12.75" x14ac:dyDescent="0.2">
      <c r="C736" s="25"/>
      <c r="D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row>
    <row r="737" spans="3:83" ht="12.75" x14ac:dyDescent="0.2">
      <c r="C737" s="25"/>
      <c r="D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row>
    <row r="738" spans="3:83" ht="12.75" x14ac:dyDescent="0.2">
      <c r="C738" s="25"/>
      <c r="D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row>
    <row r="739" spans="3:83" ht="12.75" x14ac:dyDescent="0.2">
      <c r="C739" s="25"/>
      <c r="D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row>
    <row r="740" spans="3:83" ht="12.75" x14ac:dyDescent="0.2">
      <c r="C740" s="25"/>
      <c r="D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row>
    <row r="741" spans="3:83" ht="12.75" x14ac:dyDescent="0.2">
      <c r="C741" s="25"/>
      <c r="D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row>
    <row r="742" spans="3:83" ht="12.75" x14ac:dyDescent="0.2">
      <c r="C742" s="25"/>
      <c r="D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row>
    <row r="743" spans="3:83" ht="12.75" x14ac:dyDescent="0.2">
      <c r="C743" s="25"/>
      <c r="D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row>
    <row r="744" spans="3:83" ht="12.75" x14ac:dyDescent="0.2">
      <c r="C744" s="25"/>
      <c r="D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row>
    <row r="745" spans="3:83" ht="12.75" x14ac:dyDescent="0.2">
      <c r="C745" s="25"/>
      <c r="D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row>
    <row r="746" spans="3:83" ht="12.75" x14ac:dyDescent="0.2">
      <c r="C746" s="25"/>
      <c r="D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row>
    <row r="747" spans="3:83" ht="12.75" x14ac:dyDescent="0.2">
      <c r="C747" s="25"/>
      <c r="D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row>
    <row r="748" spans="3:83" ht="12.75" x14ac:dyDescent="0.2">
      <c r="C748" s="25"/>
      <c r="D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row>
    <row r="749" spans="3:83" ht="12.75" x14ac:dyDescent="0.2">
      <c r="C749" s="25"/>
      <c r="D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row>
    <row r="750" spans="3:83" ht="12.75" x14ac:dyDescent="0.2">
      <c r="C750" s="25"/>
      <c r="D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row>
    <row r="751" spans="3:83" ht="12.75" x14ac:dyDescent="0.2">
      <c r="C751" s="25"/>
      <c r="D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row>
    <row r="752" spans="3:83" ht="12.75" x14ac:dyDescent="0.2">
      <c r="C752" s="25"/>
      <c r="D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row>
    <row r="753" spans="3:83" ht="12.75" x14ac:dyDescent="0.2">
      <c r="C753" s="25"/>
      <c r="D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row>
    <row r="754" spans="3:83" ht="12.75" x14ac:dyDescent="0.2">
      <c r="C754" s="25"/>
      <c r="D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row>
    <row r="755" spans="3:83" ht="12.75" x14ac:dyDescent="0.2">
      <c r="C755" s="25"/>
      <c r="D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row>
    <row r="756" spans="3:83" ht="12.75" x14ac:dyDescent="0.2">
      <c r="C756" s="25"/>
      <c r="D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row>
    <row r="757" spans="3:83" ht="12.75" x14ac:dyDescent="0.2">
      <c r="C757" s="25"/>
      <c r="D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row>
    <row r="758" spans="3:83" ht="12.75" x14ac:dyDescent="0.2">
      <c r="C758" s="25"/>
      <c r="D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row>
    <row r="759" spans="3:83" ht="12.75" x14ac:dyDescent="0.2">
      <c r="C759" s="25"/>
      <c r="D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row>
    <row r="760" spans="3:83" ht="12.75" x14ac:dyDescent="0.2">
      <c r="C760" s="25"/>
      <c r="D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row>
    <row r="761" spans="3:83" ht="12.75" x14ac:dyDescent="0.2">
      <c r="C761" s="25"/>
      <c r="D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row>
    <row r="762" spans="3:83" ht="12.75" x14ac:dyDescent="0.2">
      <c r="C762" s="25"/>
      <c r="D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row>
    <row r="763" spans="3:83" ht="12.75" x14ac:dyDescent="0.2">
      <c r="C763" s="25"/>
      <c r="D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row>
    <row r="764" spans="3:83" ht="12.75" x14ac:dyDescent="0.2">
      <c r="C764" s="25"/>
      <c r="D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row>
    <row r="765" spans="3:83" ht="12.75" x14ac:dyDescent="0.2">
      <c r="C765" s="25"/>
      <c r="D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row>
    <row r="766" spans="3:83" ht="12.75" x14ac:dyDescent="0.2">
      <c r="C766" s="25"/>
      <c r="D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row>
    <row r="767" spans="3:83" ht="12.75" x14ac:dyDescent="0.2">
      <c r="C767" s="25"/>
      <c r="D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row>
    <row r="768" spans="3:83" ht="12.75" x14ac:dyDescent="0.2">
      <c r="C768" s="25"/>
      <c r="D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row>
    <row r="769" spans="3:83" ht="12.75" x14ac:dyDescent="0.2">
      <c r="C769" s="25"/>
      <c r="D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row>
    <row r="770" spans="3:83" ht="12.75" x14ac:dyDescent="0.2">
      <c r="C770" s="25"/>
      <c r="D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row>
    <row r="771" spans="3:83" ht="12.75" x14ac:dyDescent="0.2">
      <c r="C771" s="25"/>
      <c r="D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row>
    <row r="772" spans="3:83" ht="12.75" x14ac:dyDescent="0.2">
      <c r="C772" s="25"/>
      <c r="D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row>
    <row r="773" spans="3:83" ht="12.75" x14ac:dyDescent="0.2">
      <c r="C773" s="25"/>
      <c r="D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row>
    <row r="774" spans="3:83" ht="12.75" x14ac:dyDescent="0.2">
      <c r="C774" s="25"/>
      <c r="D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row>
    <row r="775" spans="3:83" ht="12.75" x14ac:dyDescent="0.2">
      <c r="C775" s="25"/>
      <c r="D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row>
    <row r="776" spans="3:83" ht="12.75" x14ac:dyDescent="0.2">
      <c r="C776" s="25"/>
      <c r="D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row>
    <row r="777" spans="3:83" ht="12.75" x14ac:dyDescent="0.2">
      <c r="C777" s="25"/>
      <c r="D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row>
    <row r="778" spans="3:83" ht="12.75" x14ac:dyDescent="0.2">
      <c r="C778" s="25"/>
      <c r="D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row>
    <row r="779" spans="3:83" ht="12.75" x14ac:dyDescent="0.2">
      <c r="C779" s="25"/>
      <c r="D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row>
    <row r="780" spans="3:83" ht="12.75" x14ac:dyDescent="0.2">
      <c r="C780" s="25"/>
      <c r="D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row>
    <row r="781" spans="3:83" ht="12.75" x14ac:dyDescent="0.2">
      <c r="C781" s="25"/>
      <c r="D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row>
    <row r="782" spans="3:83" ht="12.75" x14ac:dyDescent="0.2">
      <c r="C782" s="25"/>
      <c r="D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row>
    <row r="783" spans="3:83" ht="12.75" x14ac:dyDescent="0.2">
      <c r="C783" s="25"/>
      <c r="D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row>
    <row r="784" spans="3:83" ht="12.75" x14ac:dyDescent="0.2">
      <c r="C784" s="25"/>
      <c r="D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row>
    <row r="785" spans="3:83" ht="12.75" x14ac:dyDescent="0.2">
      <c r="C785" s="25"/>
      <c r="D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row>
    <row r="786" spans="3:83" ht="12.75" x14ac:dyDescent="0.2">
      <c r="C786" s="25"/>
      <c r="D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row>
    <row r="787" spans="3:83" ht="12.75" x14ac:dyDescent="0.2">
      <c r="C787" s="25"/>
      <c r="D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row>
    <row r="788" spans="3:83" ht="12.75" x14ac:dyDescent="0.2">
      <c r="C788" s="25"/>
      <c r="D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row>
    <row r="789" spans="3:83" ht="12.75" x14ac:dyDescent="0.2">
      <c r="C789" s="25"/>
      <c r="D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row>
    <row r="790" spans="3:83" ht="12.75" x14ac:dyDescent="0.2">
      <c r="C790" s="25"/>
      <c r="D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row>
    <row r="791" spans="3:83" ht="12.75" x14ac:dyDescent="0.2">
      <c r="C791" s="25"/>
      <c r="D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row>
    <row r="792" spans="3:83" ht="12.75" x14ac:dyDescent="0.2">
      <c r="C792" s="25"/>
      <c r="D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row>
    <row r="793" spans="3:83" ht="12.75" x14ac:dyDescent="0.2">
      <c r="C793" s="25"/>
      <c r="D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row>
    <row r="794" spans="3:83" ht="12.75" x14ac:dyDescent="0.2">
      <c r="C794" s="25"/>
      <c r="D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row>
    <row r="795" spans="3:83" ht="12.75" x14ac:dyDescent="0.2">
      <c r="C795" s="25"/>
      <c r="D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row>
    <row r="796" spans="3:83" ht="12.75" x14ac:dyDescent="0.2">
      <c r="C796" s="25"/>
      <c r="D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row>
    <row r="797" spans="3:83" ht="12.75" x14ac:dyDescent="0.2">
      <c r="C797" s="25"/>
      <c r="D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row>
    <row r="798" spans="3:83" ht="12.75" x14ac:dyDescent="0.2">
      <c r="C798" s="25"/>
      <c r="D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row>
    <row r="799" spans="3:83" ht="12.75" x14ac:dyDescent="0.2">
      <c r="C799" s="25"/>
      <c r="D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row>
    <row r="800" spans="3:83" ht="12.75" x14ac:dyDescent="0.2">
      <c r="C800" s="25"/>
      <c r="D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row>
    <row r="801" spans="3:83" ht="12.75" x14ac:dyDescent="0.2">
      <c r="C801" s="25"/>
      <c r="D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row>
    <row r="802" spans="3:83" ht="12.75" x14ac:dyDescent="0.2">
      <c r="C802" s="25"/>
      <c r="D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row>
    <row r="803" spans="3:83" ht="12.75" x14ac:dyDescent="0.2">
      <c r="C803" s="25"/>
      <c r="D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row>
    <row r="804" spans="3:83" ht="12.75" x14ac:dyDescent="0.2">
      <c r="C804" s="25"/>
      <c r="D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row>
    <row r="805" spans="3:83" ht="12.75" x14ac:dyDescent="0.2">
      <c r="C805" s="25"/>
      <c r="D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row>
    <row r="806" spans="3:83" ht="12.75" x14ac:dyDescent="0.2">
      <c r="C806" s="25"/>
      <c r="D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row>
    <row r="807" spans="3:83" ht="12.75" x14ac:dyDescent="0.2">
      <c r="C807" s="25"/>
      <c r="D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row>
    <row r="808" spans="3:83" ht="12.75" x14ac:dyDescent="0.2">
      <c r="C808" s="25"/>
      <c r="D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row>
    <row r="809" spans="3:83" ht="12.75" x14ac:dyDescent="0.2">
      <c r="C809" s="25"/>
      <c r="D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row>
    <row r="810" spans="3:83" ht="12.75" x14ac:dyDescent="0.2">
      <c r="C810" s="25"/>
      <c r="D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row>
    <row r="811" spans="3:83" ht="12.75" x14ac:dyDescent="0.2">
      <c r="C811" s="25"/>
      <c r="D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row>
    <row r="812" spans="3:83" ht="12.75" x14ac:dyDescent="0.2">
      <c r="C812" s="25"/>
      <c r="D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row>
    <row r="813" spans="3:83" ht="12.75" x14ac:dyDescent="0.2">
      <c r="C813" s="25"/>
      <c r="D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row>
    <row r="814" spans="3:83" ht="12.75" x14ac:dyDescent="0.2">
      <c r="C814" s="25"/>
      <c r="D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row>
    <row r="815" spans="3:83" ht="12.75" x14ac:dyDescent="0.2">
      <c r="C815" s="25"/>
      <c r="D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row>
    <row r="816" spans="3:83" ht="12.75" x14ac:dyDescent="0.2">
      <c r="C816" s="25"/>
      <c r="D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row>
    <row r="817" spans="3:83" ht="12.75" x14ac:dyDescent="0.2">
      <c r="C817" s="25"/>
      <c r="D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row>
    <row r="818" spans="3:83" ht="12.75" x14ac:dyDescent="0.2">
      <c r="C818" s="25"/>
      <c r="D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row>
    <row r="819" spans="3:83" ht="12.75" x14ac:dyDescent="0.2">
      <c r="C819" s="25"/>
      <c r="D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row>
    <row r="820" spans="3:83" ht="12.75" x14ac:dyDescent="0.2">
      <c r="C820" s="25"/>
      <c r="D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row>
    <row r="821" spans="3:83" ht="12.75" x14ac:dyDescent="0.2">
      <c r="C821" s="25"/>
      <c r="D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row>
    <row r="822" spans="3:83" ht="12.75" x14ac:dyDescent="0.2">
      <c r="C822" s="25"/>
      <c r="D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row>
    <row r="823" spans="3:83" ht="12.75" x14ac:dyDescent="0.2">
      <c r="C823" s="25"/>
      <c r="D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row>
    <row r="824" spans="3:83" ht="12.75" x14ac:dyDescent="0.2">
      <c r="C824" s="25"/>
      <c r="D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row>
    <row r="825" spans="3:83" ht="12.75" x14ac:dyDescent="0.2">
      <c r="C825" s="25"/>
      <c r="D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row>
    <row r="826" spans="3:83" ht="12.75" x14ac:dyDescent="0.2">
      <c r="C826" s="25"/>
      <c r="D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row>
    <row r="827" spans="3:83" ht="12.75" x14ac:dyDescent="0.2">
      <c r="C827" s="25"/>
      <c r="D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row>
    <row r="828" spans="3:83" ht="12.75" x14ac:dyDescent="0.2">
      <c r="C828" s="25"/>
      <c r="D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row>
    <row r="829" spans="3:83" ht="12.75" x14ac:dyDescent="0.2">
      <c r="C829" s="25"/>
      <c r="D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row>
    <row r="830" spans="3:83" ht="12.75" x14ac:dyDescent="0.2">
      <c r="C830" s="25"/>
      <c r="D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row>
    <row r="831" spans="3:83" ht="12.75" x14ac:dyDescent="0.2">
      <c r="C831" s="25"/>
      <c r="D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row>
    <row r="832" spans="3:83" ht="12.75" x14ac:dyDescent="0.2">
      <c r="C832" s="25"/>
      <c r="D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row>
    <row r="833" spans="3:83" ht="12.75" x14ac:dyDescent="0.2">
      <c r="C833" s="25"/>
      <c r="D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row>
    <row r="834" spans="3:83" ht="12.75" x14ac:dyDescent="0.2">
      <c r="C834" s="25"/>
      <c r="D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row>
    <row r="835" spans="3:83" ht="12.75" x14ac:dyDescent="0.2">
      <c r="C835" s="25"/>
      <c r="D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row>
    <row r="836" spans="3:83" ht="12.75" x14ac:dyDescent="0.2">
      <c r="C836" s="25"/>
      <c r="D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row>
    <row r="837" spans="3:83" ht="12.75" x14ac:dyDescent="0.2">
      <c r="C837" s="25"/>
      <c r="D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row>
    <row r="838" spans="3:83" ht="12.75" x14ac:dyDescent="0.2">
      <c r="C838" s="25"/>
      <c r="D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row>
    <row r="839" spans="3:83" ht="12.75" x14ac:dyDescent="0.2">
      <c r="C839" s="25"/>
      <c r="D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row>
    <row r="840" spans="3:83" ht="12.75" x14ac:dyDescent="0.2">
      <c r="C840" s="25"/>
      <c r="D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row>
    <row r="841" spans="3:83" ht="12.75" x14ac:dyDescent="0.2">
      <c r="C841" s="25"/>
      <c r="D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row>
    <row r="842" spans="3:83" ht="12.75" x14ac:dyDescent="0.2">
      <c r="C842" s="25"/>
      <c r="D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row>
    <row r="843" spans="3:83" ht="12.75" x14ac:dyDescent="0.2">
      <c r="C843" s="25"/>
      <c r="D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row>
    <row r="844" spans="3:83" ht="12.75" x14ac:dyDescent="0.2">
      <c r="C844" s="25"/>
      <c r="D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row>
    <row r="845" spans="3:83" ht="12.75" x14ac:dyDescent="0.2">
      <c r="C845" s="25"/>
      <c r="D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row>
    <row r="846" spans="3:83" ht="12.75" x14ac:dyDescent="0.2">
      <c r="C846" s="25"/>
      <c r="D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row>
    <row r="847" spans="3:83" ht="12.75" x14ac:dyDescent="0.2">
      <c r="C847" s="25"/>
      <c r="D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row>
    <row r="848" spans="3:83" ht="12.75" x14ac:dyDescent="0.2">
      <c r="C848" s="25"/>
      <c r="D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row>
    <row r="849" spans="3:83" ht="12.75" x14ac:dyDescent="0.2">
      <c r="C849" s="25"/>
      <c r="D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row>
    <row r="850" spans="3:83" ht="12.75" x14ac:dyDescent="0.2">
      <c r="C850" s="25"/>
      <c r="D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row>
    <row r="851" spans="3:83" ht="12.75" x14ac:dyDescent="0.2">
      <c r="C851" s="25"/>
      <c r="D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row>
    <row r="852" spans="3:83" ht="12.75" x14ac:dyDescent="0.2">
      <c r="C852" s="25"/>
      <c r="D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row>
    <row r="853" spans="3:83" ht="12.75" x14ac:dyDescent="0.2">
      <c r="C853" s="25"/>
      <c r="D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row>
    <row r="854" spans="3:83" ht="12.75" x14ac:dyDescent="0.2">
      <c r="C854" s="25"/>
      <c r="D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row>
    <row r="855" spans="3:83" ht="12.75" x14ac:dyDescent="0.2">
      <c r="C855" s="25"/>
      <c r="D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row>
    <row r="856" spans="3:83" ht="12.75" x14ac:dyDescent="0.2">
      <c r="C856" s="25"/>
      <c r="D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row>
    <row r="857" spans="3:83" ht="12.75" x14ac:dyDescent="0.2">
      <c r="C857" s="25"/>
      <c r="D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row>
    <row r="858" spans="3:83" ht="12.75" x14ac:dyDescent="0.2">
      <c r="C858" s="25"/>
      <c r="D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row>
    <row r="859" spans="3:83" ht="12.75" x14ac:dyDescent="0.2">
      <c r="C859" s="25"/>
      <c r="D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row>
    <row r="860" spans="3:83" ht="12.75" x14ac:dyDescent="0.2">
      <c r="C860" s="25"/>
      <c r="D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row>
    <row r="861" spans="3:83" ht="12.75" x14ac:dyDescent="0.2">
      <c r="C861" s="25"/>
      <c r="D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row>
    <row r="862" spans="3:83" ht="12.75" x14ac:dyDescent="0.2">
      <c r="C862" s="25"/>
      <c r="D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row>
    <row r="863" spans="3:83" ht="12.75" x14ac:dyDescent="0.2">
      <c r="C863" s="25"/>
      <c r="D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row>
    <row r="864" spans="3:83" ht="12.75" x14ac:dyDescent="0.2">
      <c r="C864" s="25"/>
      <c r="D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row>
    <row r="865" spans="3:83" ht="12.75" x14ac:dyDescent="0.2">
      <c r="C865" s="25"/>
      <c r="D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row>
    <row r="866" spans="3:83" ht="12.75" x14ac:dyDescent="0.2">
      <c r="C866" s="25"/>
      <c r="D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row>
    <row r="867" spans="3:83" ht="12.75" x14ac:dyDescent="0.2">
      <c r="C867" s="25"/>
      <c r="D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row>
    <row r="868" spans="3:83" ht="12.75" x14ac:dyDescent="0.2">
      <c r="C868" s="25"/>
      <c r="D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row>
    <row r="869" spans="3:83" ht="12.75" x14ac:dyDescent="0.2">
      <c r="C869" s="25"/>
      <c r="D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row>
    <row r="870" spans="3:83" ht="12.75" x14ac:dyDescent="0.2">
      <c r="C870" s="25"/>
      <c r="D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row>
    <row r="871" spans="3:83" ht="12.75" x14ac:dyDescent="0.2">
      <c r="C871" s="25"/>
      <c r="D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row>
    <row r="872" spans="3:83" ht="12.75" x14ac:dyDescent="0.2">
      <c r="C872" s="25"/>
      <c r="D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row>
    <row r="873" spans="3:83" ht="12.75" x14ac:dyDescent="0.2">
      <c r="C873" s="25"/>
      <c r="D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row>
    <row r="874" spans="3:83" ht="12.75" x14ac:dyDescent="0.2">
      <c r="C874" s="25"/>
      <c r="D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row>
    <row r="875" spans="3:83" ht="12.75" x14ac:dyDescent="0.2">
      <c r="C875" s="25"/>
      <c r="D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row>
    <row r="876" spans="3:83" ht="12.75" x14ac:dyDescent="0.2">
      <c r="C876" s="25"/>
      <c r="D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row>
    <row r="877" spans="3:83" ht="12.75" x14ac:dyDescent="0.2">
      <c r="C877" s="25"/>
      <c r="D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row>
    <row r="878" spans="3:83" ht="12.75" x14ac:dyDescent="0.2">
      <c r="C878" s="25"/>
      <c r="D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row>
    <row r="879" spans="3:83" ht="12.75" x14ac:dyDescent="0.2">
      <c r="C879" s="25"/>
      <c r="D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row>
    <row r="880" spans="3:83" ht="12.75" x14ac:dyDescent="0.2">
      <c r="C880" s="25"/>
      <c r="D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row>
    <row r="881" spans="3:83" ht="12.75" x14ac:dyDescent="0.2">
      <c r="C881" s="25"/>
      <c r="D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row>
    <row r="882" spans="3:83" ht="12.75" x14ac:dyDescent="0.2">
      <c r="C882" s="25"/>
      <c r="D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row>
    <row r="883" spans="3:83" ht="12.75" x14ac:dyDescent="0.2">
      <c r="C883" s="25"/>
      <c r="D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row>
    <row r="884" spans="3:83" ht="12.75" x14ac:dyDescent="0.2">
      <c r="C884" s="25"/>
      <c r="D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row>
    <row r="885" spans="3:83" ht="12.75" x14ac:dyDescent="0.2">
      <c r="C885" s="25"/>
      <c r="D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row>
    <row r="886" spans="3:83" ht="12.75" x14ac:dyDescent="0.2">
      <c r="C886" s="25"/>
      <c r="D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row>
    <row r="887" spans="3:83" ht="12.75" x14ac:dyDescent="0.2">
      <c r="C887" s="25"/>
      <c r="D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row>
    <row r="888" spans="3:83" ht="12.75" x14ac:dyDescent="0.2">
      <c r="C888" s="25"/>
      <c r="D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row>
    <row r="889" spans="3:83" ht="12.75" x14ac:dyDescent="0.2">
      <c r="C889" s="25"/>
      <c r="D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row>
    <row r="890" spans="3:83" ht="12.75" x14ac:dyDescent="0.2">
      <c r="C890" s="25"/>
      <c r="D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row>
    <row r="891" spans="3:83" ht="12.75" x14ac:dyDescent="0.2">
      <c r="C891" s="25"/>
      <c r="D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row>
    <row r="892" spans="3:83" ht="12.75" x14ac:dyDescent="0.2">
      <c r="C892" s="25"/>
      <c r="D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row>
    <row r="893" spans="3:83" ht="12.75" x14ac:dyDescent="0.2">
      <c r="C893" s="25"/>
      <c r="D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row>
    <row r="894" spans="3:83" ht="12.75" x14ac:dyDescent="0.2">
      <c r="C894" s="25"/>
      <c r="D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row>
    <row r="895" spans="3:83" ht="12.75" x14ac:dyDescent="0.2">
      <c r="C895" s="25"/>
      <c r="D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row>
    <row r="896" spans="3:83" ht="12.75" x14ac:dyDescent="0.2">
      <c r="C896" s="25"/>
      <c r="D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row>
    <row r="897" spans="3:83" ht="12.75" x14ac:dyDescent="0.2">
      <c r="C897" s="25"/>
      <c r="D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row>
    <row r="898" spans="3:83" ht="12.75" x14ac:dyDescent="0.2">
      <c r="C898" s="25"/>
      <c r="D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row>
    <row r="899" spans="3:83" ht="12.75" x14ac:dyDescent="0.2">
      <c r="C899" s="25"/>
      <c r="D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row>
    <row r="900" spans="3:83" ht="12.75" x14ac:dyDescent="0.2">
      <c r="C900" s="25"/>
      <c r="D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row>
    <row r="901" spans="3:83" ht="12.75" x14ac:dyDescent="0.2">
      <c r="C901" s="25"/>
      <c r="D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row>
    <row r="902" spans="3:83" ht="12.75" x14ac:dyDescent="0.2">
      <c r="C902" s="25"/>
      <c r="D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row>
    <row r="903" spans="3:83" ht="12.75" x14ac:dyDescent="0.2">
      <c r="C903" s="25"/>
      <c r="D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row>
    <row r="904" spans="3:83" ht="12.75" x14ac:dyDescent="0.2">
      <c r="C904" s="25"/>
      <c r="D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row>
    <row r="905" spans="3:83" ht="12.75" x14ac:dyDescent="0.2">
      <c r="C905" s="25"/>
      <c r="D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row>
    <row r="906" spans="3:83" ht="12.75" x14ac:dyDescent="0.2">
      <c r="C906" s="25"/>
      <c r="D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row>
    <row r="907" spans="3:83" ht="12.75" x14ac:dyDescent="0.2">
      <c r="C907" s="25"/>
      <c r="D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row>
    <row r="908" spans="3:83" ht="12.75" x14ac:dyDescent="0.2">
      <c r="C908" s="25"/>
      <c r="D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row>
    <row r="909" spans="3:83" ht="12.75" x14ac:dyDescent="0.2">
      <c r="C909" s="25"/>
      <c r="D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row>
    <row r="910" spans="3:83" ht="12.75" x14ac:dyDescent="0.2">
      <c r="C910" s="25"/>
      <c r="D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row>
    <row r="911" spans="3:83" ht="12.75" x14ac:dyDescent="0.2">
      <c r="C911" s="25"/>
      <c r="D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row>
    <row r="912" spans="3:83" ht="12.75" x14ac:dyDescent="0.2">
      <c r="C912" s="25"/>
      <c r="D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row>
    <row r="913" spans="3:83" ht="12.75" x14ac:dyDescent="0.2">
      <c r="C913" s="25"/>
      <c r="D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row>
    <row r="914" spans="3:83" ht="12.75" x14ac:dyDescent="0.2">
      <c r="C914" s="25"/>
      <c r="D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row>
    <row r="915" spans="3:83" ht="12.75" x14ac:dyDescent="0.2">
      <c r="C915" s="25"/>
      <c r="D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row>
    <row r="916" spans="3:83" ht="12.75" x14ac:dyDescent="0.2">
      <c r="C916" s="25"/>
      <c r="D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row>
    <row r="917" spans="3:83" ht="12.75" x14ac:dyDescent="0.2">
      <c r="C917" s="25"/>
      <c r="D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row>
    <row r="918" spans="3:83" ht="12.75" x14ac:dyDescent="0.2">
      <c r="C918" s="25"/>
      <c r="D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row>
    <row r="919" spans="3:83" ht="12.75" x14ac:dyDescent="0.2">
      <c r="C919" s="25"/>
      <c r="D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row>
    <row r="920" spans="3:83" ht="12.75" x14ac:dyDescent="0.2">
      <c r="C920" s="25"/>
      <c r="D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row>
    <row r="921" spans="3:83" ht="12.75" x14ac:dyDescent="0.2">
      <c r="C921" s="25"/>
      <c r="D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row>
    <row r="922" spans="3:83" ht="12.75" x14ac:dyDescent="0.2">
      <c r="C922" s="25"/>
      <c r="D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row>
    <row r="923" spans="3:83" ht="12.75" x14ac:dyDescent="0.2">
      <c r="C923" s="25"/>
      <c r="D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row>
    <row r="924" spans="3:83" ht="12.75" x14ac:dyDescent="0.2">
      <c r="C924" s="25"/>
      <c r="D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row>
    <row r="925" spans="3:83" ht="12.75" x14ac:dyDescent="0.2">
      <c r="C925" s="25"/>
      <c r="D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row>
    <row r="926" spans="3:83" ht="12.75" x14ac:dyDescent="0.2">
      <c r="C926" s="25"/>
      <c r="D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row>
    <row r="927" spans="3:83" ht="12.75" x14ac:dyDescent="0.2">
      <c r="C927" s="25"/>
      <c r="D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row>
    <row r="928" spans="3:83" ht="12.75" x14ac:dyDescent="0.2">
      <c r="C928" s="25"/>
      <c r="D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row>
    <row r="929" spans="3:83" ht="12.75" x14ac:dyDescent="0.2">
      <c r="C929" s="25"/>
      <c r="D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row>
    <row r="930" spans="3:83" ht="12.75" x14ac:dyDescent="0.2">
      <c r="C930" s="25"/>
      <c r="D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row>
    <row r="931" spans="3:83" ht="12.75" x14ac:dyDescent="0.2">
      <c r="C931" s="25"/>
      <c r="D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row>
    <row r="932" spans="3:83" ht="12.75" x14ac:dyDescent="0.2">
      <c r="C932" s="25"/>
      <c r="D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row>
    <row r="933" spans="3:83" ht="12.75" x14ac:dyDescent="0.2">
      <c r="C933" s="25"/>
      <c r="D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row>
    <row r="934" spans="3:83" ht="12.75" x14ac:dyDescent="0.2">
      <c r="C934" s="25"/>
      <c r="D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row>
    <row r="935" spans="3:83" ht="12.75" x14ac:dyDescent="0.2">
      <c r="C935" s="25"/>
      <c r="D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row>
    <row r="936" spans="3:83" ht="12.75" x14ac:dyDescent="0.2">
      <c r="C936" s="25"/>
      <c r="D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row>
    <row r="937" spans="3:83" ht="12.75" x14ac:dyDescent="0.2">
      <c r="C937" s="25"/>
      <c r="D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row>
    <row r="938" spans="3:83" ht="12.75" x14ac:dyDescent="0.2">
      <c r="C938" s="25"/>
      <c r="D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row>
    <row r="939" spans="3:83" ht="12.75" x14ac:dyDescent="0.2">
      <c r="C939" s="25"/>
      <c r="D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row>
    <row r="940" spans="3:83" ht="12.75" x14ac:dyDescent="0.2">
      <c r="C940" s="25"/>
      <c r="D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row>
    <row r="941" spans="3:83" ht="12.75" x14ac:dyDescent="0.2">
      <c r="C941" s="25"/>
      <c r="D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row>
    <row r="942" spans="3:83" ht="12.75" x14ac:dyDescent="0.2">
      <c r="C942" s="25"/>
      <c r="D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row>
    <row r="943" spans="3:83" ht="12.75" x14ac:dyDescent="0.2">
      <c r="C943" s="25"/>
      <c r="D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row>
    <row r="944" spans="3:83" ht="12.75" x14ac:dyDescent="0.2">
      <c r="C944" s="25"/>
      <c r="D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row>
    <row r="945" spans="3:83" ht="12.75" x14ac:dyDescent="0.2">
      <c r="C945" s="25"/>
      <c r="D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row>
    <row r="946" spans="3:83" ht="12.75" x14ac:dyDescent="0.2">
      <c r="C946" s="25"/>
      <c r="D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row>
    <row r="947" spans="3:83" ht="12.75" x14ac:dyDescent="0.2">
      <c r="C947" s="25"/>
      <c r="D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row>
    <row r="948" spans="3:83" ht="12.75" x14ac:dyDescent="0.2">
      <c r="C948" s="25"/>
      <c r="D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row>
    <row r="949" spans="3:83" ht="12.75" x14ac:dyDescent="0.2">
      <c r="C949" s="25"/>
      <c r="D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row>
    <row r="950" spans="3:83" ht="12.75" x14ac:dyDescent="0.2">
      <c r="C950" s="25"/>
      <c r="D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row>
    <row r="951" spans="3:83" ht="12.75" x14ac:dyDescent="0.2">
      <c r="C951" s="25"/>
      <c r="D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row>
    <row r="952" spans="3:83" ht="12.75" x14ac:dyDescent="0.2">
      <c r="C952" s="25"/>
      <c r="D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row>
    <row r="953" spans="3:83" ht="12.75" x14ac:dyDescent="0.2">
      <c r="C953" s="25"/>
      <c r="D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row>
    <row r="954" spans="3:83" ht="12.75" x14ac:dyDescent="0.2">
      <c r="C954" s="25"/>
      <c r="D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row>
    <row r="955" spans="3:83" ht="12.75" x14ac:dyDescent="0.2">
      <c r="C955" s="25"/>
      <c r="D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row>
    <row r="956" spans="3:83" ht="12.75" x14ac:dyDescent="0.2">
      <c r="C956" s="25"/>
      <c r="D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row>
    <row r="957" spans="3:83" ht="12.75" x14ac:dyDescent="0.2">
      <c r="C957" s="25"/>
      <c r="D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row>
  </sheetData>
  <conditionalFormatting sqref="B1:B1048576">
    <cfRule type="cellIs" dxfId="7" priority="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A940"/>
  <sheetViews>
    <sheetView workbookViewId="0"/>
  </sheetViews>
  <sheetFormatPr defaultColWidth="14.42578125" defaultRowHeight="15.75" customHeight="1" x14ac:dyDescent="0.2"/>
  <cols>
    <col min="1" max="1" width="21.7109375" customWidth="1"/>
  </cols>
  <sheetData>
    <row r="1" spans="1:79" ht="15.75" customHeight="1" x14ac:dyDescent="0.2">
      <c r="A1" s="3"/>
      <c r="B1" s="15" t="s">
        <v>31</v>
      </c>
      <c r="C1" s="15" t="s">
        <v>192</v>
      </c>
      <c r="D1" s="15" t="s">
        <v>193</v>
      </c>
      <c r="E1" s="15" t="s">
        <v>196</v>
      </c>
      <c r="F1" s="15" t="s">
        <v>197</v>
      </c>
      <c r="G1" s="15" t="s">
        <v>198</v>
      </c>
      <c r="H1" s="15" t="s">
        <v>200</v>
      </c>
      <c r="I1" s="15" t="s">
        <v>202</v>
      </c>
      <c r="J1" s="15" t="s">
        <v>203</v>
      </c>
      <c r="K1" s="15" t="s">
        <v>206</v>
      </c>
      <c r="L1" s="15" t="s">
        <v>207</v>
      </c>
      <c r="M1" s="15" t="s">
        <v>208</v>
      </c>
      <c r="N1" s="15" t="s">
        <v>211</v>
      </c>
      <c r="O1" s="15" t="s">
        <v>212</v>
      </c>
      <c r="P1" s="15" t="s">
        <v>213</v>
      </c>
      <c r="Q1" s="15" t="s">
        <v>216</v>
      </c>
      <c r="R1" s="15" t="s">
        <v>217</v>
      </c>
      <c r="S1" s="15" t="s">
        <v>218</v>
      </c>
      <c r="T1" s="15" t="s">
        <v>221</v>
      </c>
      <c r="U1" s="15" t="s">
        <v>222</v>
      </c>
      <c r="V1" s="15" t="s">
        <v>223</v>
      </c>
      <c r="W1" s="15" t="s">
        <v>225</v>
      </c>
      <c r="X1" s="15" t="s">
        <v>227</v>
      </c>
      <c r="Y1" s="15" t="s">
        <v>228</v>
      </c>
      <c r="Z1" s="15" t="s">
        <v>230</v>
      </c>
      <c r="AA1" s="15" t="s">
        <v>232</v>
      </c>
      <c r="AB1" s="15" t="s">
        <v>233</v>
      </c>
      <c r="AC1" s="15" t="s">
        <v>234</v>
      </c>
      <c r="AD1" s="15" t="s">
        <v>237</v>
      </c>
      <c r="AE1" s="15" t="s">
        <v>238</v>
      </c>
      <c r="AF1" s="15" t="s">
        <v>239</v>
      </c>
      <c r="AG1" s="15" t="s">
        <v>242</v>
      </c>
      <c r="AH1" s="15" t="s">
        <v>243</v>
      </c>
      <c r="AI1" s="15" t="s">
        <v>244</v>
      </c>
      <c r="AJ1" s="15" t="s">
        <v>245</v>
      </c>
      <c r="AK1" s="15" t="s">
        <v>247</v>
      </c>
      <c r="AL1" s="15" t="s">
        <v>249</v>
      </c>
      <c r="AM1" s="15" t="s">
        <v>250</v>
      </c>
      <c r="AN1" s="15" t="s">
        <v>251</v>
      </c>
      <c r="AO1" s="15" t="s">
        <v>253</v>
      </c>
      <c r="AP1" s="15" t="s">
        <v>254</v>
      </c>
      <c r="AQ1" s="15" t="s">
        <v>256</v>
      </c>
      <c r="AR1" s="15" t="s">
        <v>257</v>
      </c>
      <c r="AS1" s="15" t="s">
        <v>258</v>
      </c>
      <c r="AT1" s="15" t="s">
        <v>259</v>
      </c>
      <c r="AU1" s="15" t="s">
        <v>260</v>
      </c>
      <c r="AV1" s="15" t="s">
        <v>261</v>
      </c>
      <c r="AW1" s="15" t="s">
        <v>262</v>
      </c>
      <c r="AX1" s="15" t="s">
        <v>263</v>
      </c>
      <c r="AY1" s="15" t="s">
        <v>264</v>
      </c>
      <c r="AZ1" s="15" t="s">
        <v>265</v>
      </c>
      <c r="BA1" s="15" t="s">
        <v>266</v>
      </c>
      <c r="BB1" s="15" t="s">
        <v>267</v>
      </c>
      <c r="BC1" s="15" t="s">
        <v>268</v>
      </c>
      <c r="BD1" s="15" t="s">
        <v>270</v>
      </c>
      <c r="BE1" s="15" t="s">
        <v>272</v>
      </c>
      <c r="BF1" s="15" t="s">
        <v>273</v>
      </c>
      <c r="BG1" s="15" t="s">
        <v>274</v>
      </c>
      <c r="BH1" s="15" t="s">
        <v>275</v>
      </c>
      <c r="BI1" s="15" t="s">
        <v>277</v>
      </c>
      <c r="BJ1" s="15" t="s">
        <v>279</v>
      </c>
      <c r="BK1" s="15" t="s">
        <v>280</v>
      </c>
      <c r="BL1" s="15" t="s">
        <v>281</v>
      </c>
      <c r="BM1" s="15" t="s">
        <v>283</v>
      </c>
      <c r="BN1" s="15" t="s">
        <v>285</v>
      </c>
      <c r="BO1" s="15" t="s">
        <v>286</v>
      </c>
      <c r="BP1" s="15" t="s">
        <v>287</v>
      </c>
      <c r="BQ1" s="15" t="s">
        <v>291</v>
      </c>
      <c r="BR1" s="15" t="s">
        <v>292</v>
      </c>
      <c r="BS1" s="15" t="s">
        <v>293</v>
      </c>
      <c r="BT1" s="15" t="s">
        <v>295</v>
      </c>
      <c r="BU1" s="15" t="s">
        <v>296</v>
      </c>
      <c r="BV1" s="15" t="s">
        <v>297</v>
      </c>
      <c r="BW1" s="15" t="s">
        <v>299</v>
      </c>
      <c r="BX1" s="15" t="s">
        <v>301</v>
      </c>
      <c r="BY1" s="15" t="s">
        <v>302</v>
      </c>
      <c r="BZ1" s="15" t="s">
        <v>303</v>
      </c>
      <c r="CA1" s="15" t="s">
        <v>304</v>
      </c>
    </row>
    <row r="2" spans="1:79" ht="15.75" customHeight="1" x14ac:dyDescent="0.2">
      <c r="A2" s="15" t="s">
        <v>306</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x14ac:dyDescent="0.2">
      <c r="A3" s="15" t="s">
        <v>376</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x14ac:dyDescent="0.2">
      <c r="A4" s="15" t="s">
        <v>380</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x14ac:dyDescent="0.2">
      <c r="A5" s="15" t="s">
        <v>405</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x14ac:dyDescent="0.2">
      <c r="A6" s="15" t="s">
        <v>441</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x14ac:dyDescent="0.2">
      <c r="A7" s="15" t="s">
        <v>457</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x14ac:dyDescent="0.2">
      <c r="A8" s="15" t="s">
        <v>489</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x14ac:dyDescent="0.2">
      <c r="A9" s="15" t="s">
        <v>514</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x14ac:dyDescent="0.2">
      <c r="A10" s="15" t="s">
        <v>547</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x14ac:dyDescent="0.2">
      <c r="A11" s="15" t="s">
        <v>563</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x14ac:dyDescent="0.2">
      <c r="A12" s="15" t="s">
        <v>582</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x14ac:dyDescent="0.2">
      <c r="A13" s="15" t="s">
        <v>603</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x14ac:dyDescent="0.2">
      <c r="A14" s="15" t="s">
        <v>639</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x14ac:dyDescent="0.2">
      <c r="A15" s="15" t="s">
        <v>666</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x14ac:dyDescent="0.2">
      <c r="A16" s="15" t="s">
        <v>694</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x14ac:dyDescent="0.2">
      <c r="A17" s="15" t="s">
        <v>735</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x14ac:dyDescent="0.2">
      <c r="A18" s="15" t="s">
        <v>769</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x14ac:dyDescent="0.2">
      <c r="A19" s="15" t="s">
        <v>783</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x14ac:dyDescent="0.2">
      <c r="A20" s="15" t="s">
        <v>814</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x14ac:dyDescent="0.2">
      <c r="A21" s="15" t="s">
        <v>828</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x14ac:dyDescent="0.2">
      <c r="A22" s="15" t="s">
        <v>830</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x14ac:dyDescent="0.2">
      <c r="A23" s="15" t="s">
        <v>833</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x14ac:dyDescent="0.2">
      <c r="A24" s="15" t="s">
        <v>837</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x14ac:dyDescent="0.2">
      <c r="A25" s="15" t="s">
        <v>839</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x14ac:dyDescent="0.2">
      <c r="A26" s="15" t="s">
        <v>844</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x14ac:dyDescent="0.2">
      <c r="A27" s="15" t="s">
        <v>845</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x14ac:dyDescent="0.2">
      <c r="A28" s="15" t="s">
        <v>848</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x14ac:dyDescent="0.2">
      <c r="A29" s="15" t="s">
        <v>849</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x14ac:dyDescent="0.2">
      <c r="A30" s="15" t="s">
        <v>853</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x14ac:dyDescent="0.2">
      <c r="A31" s="15" t="s">
        <v>855</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x14ac:dyDescent="0.2">
      <c r="A32" s="15" t="s">
        <v>858</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x14ac:dyDescent="0.2">
      <c r="A33" s="15" t="s">
        <v>860</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x14ac:dyDescent="0.2">
      <c r="A34" s="15" t="s">
        <v>864</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x14ac:dyDescent="0.2">
      <c r="A35" s="15" t="s">
        <v>867</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x14ac:dyDescent="0.2">
      <c r="A36" s="15" t="s">
        <v>868</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x14ac:dyDescent="0.2">
      <c r="A37" s="15" t="s">
        <v>871</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x14ac:dyDescent="0.2">
      <c r="A38" s="15" t="s">
        <v>873</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x14ac:dyDescent="0.2">
      <c r="A39" s="15" t="s">
        <v>877</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x14ac:dyDescent="0.2">
      <c r="A40" s="15" t="s">
        <v>879</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x14ac:dyDescent="0.2">
      <c r="A41" s="15" t="s">
        <v>880</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x14ac:dyDescent="0.2">
      <c r="A42" s="15" t="s">
        <v>883</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x14ac:dyDescent="0.2">
      <c r="A43" s="15" t="s">
        <v>884</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4.25" x14ac:dyDescent="0.2">
      <c r="A44" s="15" t="s">
        <v>887</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4.25" x14ac:dyDescent="0.2">
      <c r="A45" s="15" t="s">
        <v>891</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4.25" x14ac:dyDescent="0.2">
      <c r="A46" s="15" t="s">
        <v>894</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4.25" x14ac:dyDescent="0.2">
      <c r="A47" s="15" t="s">
        <v>897</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4.25" x14ac:dyDescent="0.2">
      <c r="A48" s="15" t="s">
        <v>901</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4.25" x14ac:dyDescent="0.2">
      <c r="A49" s="15" t="s">
        <v>905</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4.25" x14ac:dyDescent="0.2">
      <c r="A50" s="15" t="s">
        <v>908</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4.25" x14ac:dyDescent="0.2">
      <c r="A51" s="15" t="s">
        <v>910</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4.25" x14ac:dyDescent="0.2">
      <c r="A52" s="15" t="s">
        <v>913</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4.25" x14ac:dyDescent="0.2">
      <c r="A53" s="15" t="s">
        <v>916</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4.25" x14ac:dyDescent="0.2">
      <c r="A54" s="15" t="s">
        <v>919</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4.25" x14ac:dyDescent="0.2">
      <c r="A55" s="15" t="s">
        <v>923</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4.25" x14ac:dyDescent="0.2">
      <c r="A56" s="15" t="s">
        <v>926</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4.25" x14ac:dyDescent="0.2">
      <c r="A57" s="15" t="s">
        <v>927</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4.25" x14ac:dyDescent="0.2">
      <c r="A58" s="15" t="s">
        <v>930</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4.25" x14ac:dyDescent="0.2">
      <c r="A59" s="15" t="s">
        <v>932</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4.25" x14ac:dyDescent="0.2">
      <c r="A60" s="15" t="s">
        <v>936</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4.25" x14ac:dyDescent="0.2">
      <c r="A61" s="15" t="s">
        <v>940</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4.25" x14ac:dyDescent="0.2">
      <c r="A62" s="15" t="s">
        <v>943</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4.25" x14ac:dyDescent="0.2">
      <c r="A63" s="15" t="s">
        <v>944</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4.25" x14ac:dyDescent="0.2">
      <c r="A64" s="15" t="s">
        <v>948</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4.25" x14ac:dyDescent="0.2">
      <c r="A65" s="15" t="s">
        <v>953</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4.25" x14ac:dyDescent="0.2">
      <c r="A66" s="15" t="s">
        <v>954</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4.25" x14ac:dyDescent="0.2">
      <c r="A67" s="15" t="s">
        <v>957</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4.25" x14ac:dyDescent="0.2">
      <c r="A68" s="15" t="s">
        <v>958</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4.25" x14ac:dyDescent="0.2">
      <c r="A69" s="15" t="s">
        <v>962</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4.25" x14ac:dyDescent="0.2">
      <c r="A70" s="15" t="s">
        <v>965</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4.25" x14ac:dyDescent="0.2">
      <c r="A71" s="15" t="s">
        <v>969</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4.25" x14ac:dyDescent="0.2">
      <c r="A72" s="15" t="s">
        <v>973</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4.25" x14ac:dyDescent="0.2">
      <c r="A73" s="15" t="s">
        <v>975</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4.25" x14ac:dyDescent="0.2">
      <c r="A74" s="15" t="s">
        <v>978</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4.25" x14ac:dyDescent="0.2">
      <c r="A75" s="15" t="s">
        <v>980</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4.25" x14ac:dyDescent="0.2">
      <c r="A76" s="15" t="s">
        <v>984</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4.25" x14ac:dyDescent="0.2">
      <c r="A77" s="15" t="s">
        <v>987</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4.25" x14ac:dyDescent="0.2">
      <c r="A78" s="15" t="s">
        <v>991</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4.25" x14ac:dyDescent="0.2">
      <c r="A79" s="15" t="s">
        <v>994</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0" spans="1:79" ht="12.75" x14ac:dyDescent="0.2">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row>
    <row r="81" spans="1:79" ht="12.75" x14ac:dyDescent="0.2">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row>
    <row r="82" spans="1:79" ht="12.75" x14ac:dyDescent="0.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row>
    <row r="83" spans="1:79" ht="12.75" x14ac:dyDescent="0.2">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row>
    <row r="84" spans="1:79" ht="12.75" x14ac:dyDescent="0.2">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row>
    <row r="85" spans="1:79" ht="12.75" x14ac:dyDescent="0.2">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row>
    <row r="86" spans="1:79" ht="12.75" x14ac:dyDescent="0.2">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row>
    <row r="87" spans="1:79" ht="12.75" x14ac:dyDescent="0.2">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row>
    <row r="88" spans="1:79" ht="12.75" x14ac:dyDescent="0.2">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row>
    <row r="89" spans="1:79" ht="12.75" x14ac:dyDescent="0.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row>
    <row r="90" spans="1:79" ht="12.75" x14ac:dyDescent="0.2">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row>
    <row r="91" spans="1:79" ht="12.75" x14ac:dyDescent="0.2">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row>
    <row r="92" spans="1:79" ht="12.75" x14ac:dyDescent="0.2">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row>
    <row r="93" spans="1:79" ht="12.75" x14ac:dyDescent="0.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row>
    <row r="94" spans="1:79" ht="12.75" x14ac:dyDescent="0.2">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row>
    <row r="95" spans="1:79" ht="12.75" x14ac:dyDescent="0.2">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row>
    <row r="96" spans="1:79" ht="12.75" x14ac:dyDescent="0.2">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row>
    <row r="97" spans="1:79" ht="12.75" x14ac:dyDescent="0.2">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row>
    <row r="98" spans="1:79" ht="12.75" x14ac:dyDescent="0.2">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row>
    <row r="99" spans="1:79" ht="12.75" x14ac:dyDescent="0.2">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row>
    <row r="100" spans="1:79" ht="12.75" x14ac:dyDescent="0.2">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row>
    <row r="101" spans="1:79" ht="12.75" x14ac:dyDescent="0.2">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row>
    <row r="102" spans="1:79" ht="12.75" x14ac:dyDescent="0.2">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row>
    <row r="103" spans="1:79" ht="12.75" x14ac:dyDescent="0.2">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row>
    <row r="104" spans="1:79" ht="12.75" x14ac:dyDescent="0.2">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row>
    <row r="105" spans="1:79" ht="12.75" x14ac:dyDescent="0.2">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row>
    <row r="106" spans="1:79" ht="12.75" x14ac:dyDescent="0.2">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row>
    <row r="107" spans="1:79" ht="12.75" x14ac:dyDescent="0.2">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row>
    <row r="108" spans="1:79" ht="12.75" x14ac:dyDescent="0.2">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row>
    <row r="109" spans="1:79" ht="12.75" x14ac:dyDescent="0.2">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row>
    <row r="110" spans="1:79" ht="12.75" x14ac:dyDescent="0.2">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row>
    <row r="111" spans="1:79" ht="12.75" x14ac:dyDescent="0.2">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row>
    <row r="112" spans="1:79" ht="12.75" x14ac:dyDescent="0.2">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row>
    <row r="113" spans="1:79" ht="12.75" x14ac:dyDescent="0.2">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row>
    <row r="114" spans="1:79" ht="12.75" x14ac:dyDescent="0.2">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row>
    <row r="115" spans="1:79" ht="12.75" x14ac:dyDescent="0.2">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row>
    <row r="116" spans="1:79" ht="12.75" x14ac:dyDescent="0.2">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row>
    <row r="117" spans="1:79" ht="12.75" x14ac:dyDescent="0.2">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row>
    <row r="118" spans="1:79" ht="12.75" x14ac:dyDescent="0.2">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row>
    <row r="119" spans="1:79" ht="12.75" x14ac:dyDescent="0.2">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row>
    <row r="120" spans="1:79" ht="12.75" x14ac:dyDescent="0.2">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row>
    <row r="121" spans="1:79" ht="12.75" x14ac:dyDescent="0.2">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row>
    <row r="122" spans="1:79" ht="12.75" x14ac:dyDescent="0.2">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row>
    <row r="123" spans="1:79" ht="12.75" x14ac:dyDescent="0.2">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row>
    <row r="124" spans="1:79" ht="12.75" x14ac:dyDescent="0.2">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row>
    <row r="125" spans="1:79" ht="12.75" x14ac:dyDescent="0.2">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row>
    <row r="126" spans="1:79" ht="12.75" x14ac:dyDescent="0.2">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row>
    <row r="127" spans="1:79" ht="12.75" x14ac:dyDescent="0.2">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row>
    <row r="128" spans="1:79" ht="12.75" x14ac:dyDescent="0.2">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row>
    <row r="129" spans="1:79" ht="12.75" x14ac:dyDescent="0.2">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row>
    <row r="130" spans="1:79" ht="12.75" x14ac:dyDescent="0.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row>
    <row r="131" spans="1:79" ht="12.75" x14ac:dyDescent="0.2">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row>
    <row r="132" spans="1:79" ht="12.75" x14ac:dyDescent="0.2">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row>
    <row r="133" spans="1:79" ht="12.75" x14ac:dyDescent="0.2">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row>
    <row r="134" spans="1:79" ht="12.75" x14ac:dyDescent="0.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row>
    <row r="135" spans="1:79" ht="12.75" x14ac:dyDescent="0.2">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row>
    <row r="136" spans="1:79" ht="12.75" x14ac:dyDescent="0.2">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row>
    <row r="137" spans="1:79" ht="12.75" x14ac:dyDescent="0.2">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row>
    <row r="138" spans="1:79" ht="12.75" x14ac:dyDescent="0.2">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row>
    <row r="139" spans="1:79" ht="12.75" x14ac:dyDescent="0.2">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row>
    <row r="140" spans="1:79" ht="12.75" x14ac:dyDescent="0.2">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row>
    <row r="141" spans="1:79" ht="12.75" x14ac:dyDescent="0.2">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row>
    <row r="142" spans="1:79" ht="12.75" x14ac:dyDescent="0.2">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row>
    <row r="143" spans="1:79" ht="12.75" x14ac:dyDescent="0.2">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row>
    <row r="144" spans="1:79" ht="12.75" x14ac:dyDescent="0.2">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row>
    <row r="145" spans="1:79" ht="12.75" x14ac:dyDescent="0.2">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row>
    <row r="146" spans="1:79" ht="12.75" x14ac:dyDescent="0.2">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row>
    <row r="147" spans="1:79" ht="12.75" x14ac:dyDescent="0.2">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row>
    <row r="148" spans="1:79" ht="12.75" x14ac:dyDescent="0.2">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row>
    <row r="149" spans="1:79" ht="12.75" x14ac:dyDescent="0.2">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row>
    <row r="150" spans="1:79" ht="12.75" x14ac:dyDescent="0.2">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row>
    <row r="151" spans="1:79" ht="12.75" x14ac:dyDescent="0.2">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row>
    <row r="152" spans="1:79" ht="12.75" x14ac:dyDescent="0.2">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row>
    <row r="153" spans="1:79" ht="12.75" x14ac:dyDescent="0.2">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row>
    <row r="154" spans="1:79" ht="12.75" x14ac:dyDescent="0.2">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row>
    <row r="155" spans="1:79" ht="12.75" x14ac:dyDescent="0.2">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row>
    <row r="156" spans="1:79" ht="12.75" x14ac:dyDescent="0.2">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row>
    <row r="157" spans="1:79" ht="12.75" x14ac:dyDescent="0.2">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row>
    <row r="158" spans="1:79" ht="12.75" x14ac:dyDescent="0.2">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row>
    <row r="159" spans="1:79" ht="12.75" x14ac:dyDescent="0.2">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row>
    <row r="160" spans="1:79" ht="12.75" x14ac:dyDescent="0.2">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row>
    <row r="161" spans="1:79" ht="12.75" x14ac:dyDescent="0.2">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row>
    <row r="162" spans="1:79" ht="12.75" x14ac:dyDescent="0.2">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row>
    <row r="163" spans="1:79" ht="12.75" x14ac:dyDescent="0.2">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row>
    <row r="164" spans="1:79" ht="12.75" x14ac:dyDescent="0.2">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row>
    <row r="165" spans="1:79" ht="12.75" x14ac:dyDescent="0.2">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row>
    <row r="166" spans="1:79" ht="12.75" x14ac:dyDescent="0.2">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row>
    <row r="167" spans="1:79" ht="12.75" x14ac:dyDescent="0.2">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row>
    <row r="168" spans="1:79" ht="12.75" x14ac:dyDescent="0.2">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row>
    <row r="169" spans="1:79" ht="12.75" x14ac:dyDescent="0.2">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row>
    <row r="170" spans="1:79" ht="12.75" x14ac:dyDescent="0.2">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row>
    <row r="171" spans="1:79" ht="12.75" x14ac:dyDescent="0.2">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row>
    <row r="172" spans="1:79" ht="12.75" x14ac:dyDescent="0.2">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row>
    <row r="173" spans="1:79" ht="12.75" x14ac:dyDescent="0.2">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row>
    <row r="174" spans="1:79" ht="12.75" x14ac:dyDescent="0.2">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row>
    <row r="175" spans="1:79" ht="12.75" x14ac:dyDescent="0.2">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row>
    <row r="176" spans="1:79" ht="12.75" x14ac:dyDescent="0.2">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row>
    <row r="177" spans="1:79" ht="12.75" x14ac:dyDescent="0.2">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row>
    <row r="178" spans="1:79" ht="12.75" x14ac:dyDescent="0.2">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row>
    <row r="179" spans="1:79" ht="12.75" x14ac:dyDescent="0.2">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row>
    <row r="180" spans="1:79" ht="12.75" x14ac:dyDescent="0.2">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row>
    <row r="181" spans="1:79" ht="12.75" x14ac:dyDescent="0.2">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row>
    <row r="182" spans="1:79" ht="12.75" x14ac:dyDescent="0.2">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row>
    <row r="183" spans="1:79" ht="12.75" x14ac:dyDescent="0.2">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row>
    <row r="184" spans="1:79" ht="12.75" x14ac:dyDescent="0.2">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row>
    <row r="185" spans="1:79" ht="12.75" x14ac:dyDescent="0.2">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row>
    <row r="186" spans="1:79" ht="12.75" x14ac:dyDescent="0.2">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row>
    <row r="187" spans="1:79" ht="12.75" x14ac:dyDescent="0.2">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row>
    <row r="188" spans="1:79" ht="12.75" x14ac:dyDescent="0.2">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row>
    <row r="189" spans="1:79" ht="12.75" x14ac:dyDescent="0.2">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row>
    <row r="190" spans="1:79" ht="12.75" x14ac:dyDescent="0.2">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row>
    <row r="191" spans="1:79" ht="12.75" x14ac:dyDescent="0.2">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row>
    <row r="192" spans="1:79" ht="12.75" x14ac:dyDescent="0.2">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row>
    <row r="193" spans="1:79" ht="12.75" x14ac:dyDescent="0.2">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row>
    <row r="194" spans="1:79" ht="12.75" x14ac:dyDescent="0.2">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row>
    <row r="195" spans="1:79" ht="12.75" x14ac:dyDescent="0.2">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row>
    <row r="196" spans="1:79" ht="12.75" x14ac:dyDescent="0.2">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row>
    <row r="197" spans="1:79" ht="12.75" x14ac:dyDescent="0.2">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row>
    <row r="198" spans="1:79" ht="12.75" x14ac:dyDescent="0.2">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row>
    <row r="199" spans="1:79" ht="12.75" x14ac:dyDescent="0.2">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row>
    <row r="200" spans="1:79" ht="12.75" x14ac:dyDescent="0.2">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row>
    <row r="201" spans="1:79" ht="12.75" x14ac:dyDescent="0.2">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row>
    <row r="202" spans="1:79" ht="12.75" x14ac:dyDescent="0.2">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row>
    <row r="203" spans="1:79" ht="12.75" x14ac:dyDescent="0.2">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row>
    <row r="204" spans="1:79" ht="12.75" x14ac:dyDescent="0.2">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row>
    <row r="205" spans="1:79" ht="12.75" x14ac:dyDescent="0.2">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row>
    <row r="206" spans="1:79" ht="12.75" x14ac:dyDescent="0.2">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row>
    <row r="207" spans="1:79" ht="12.75" x14ac:dyDescent="0.2">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row>
    <row r="208" spans="1:79" ht="12.75" x14ac:dyDescent="0.2">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row>
    <row r="209" spans="1:79" ht="12.75" x14ac:dyDescent="0.2">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row>
    <row r="210" spans="1:79" ht="12.75" x14ac:dyDescent="0.2">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row>
    <row r="211" spans="1:79" ht="12.75" x14ac:dyDescent="0.2">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row>
    <row r="212" spans="1:79" ht="12.75" x14ac:dyDescent="0.2">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row>
    <row r="213" spans="1:79" ht="12.75" x14ac:dyDescent="0.2">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row>
    <row r="214" spans="1:79" ht="12.75" x14ac:dyDescent="0.2">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row>
    <row r="215" spans="1:79" ht="12.75" x14ac:dyDescent="0.2">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row>
    <row r="216" spans="1:79" ht="12.75" x14ac:dyDescent="0.2">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row>
    <row r="217" spans="1:79" ht="12.75" x14ac:dyDescent="0.2">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row>
    <row r="218" spans="1:79" ht="12.75" x14ac:dyDescent="0.2">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row>
    <row r="219" spans="1:79" ht="12.75" x14ac:dyDescent="0.2">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row>
    <row r="220" spans="1:79" ht="12.75" x14ac:dyDescent="0.2">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row>
    <row r="221" spans="1:79" ht="12.75" x14ac:dyDescent="0.2">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row>
    <row r="222" spans="1:79" ht="12.75" x14ac:dyDescent="0.2">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row>
    <row r="223" spans="1:79" ht="12.75" x14ac:dyDescent="0.2">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row>
    <row r="224" spans="1:79" ht="12.75" x14ac:dyDescent="0.2">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row>
    <row r="225" spans="1:79" ht="12.75" x14ac:dyDescent="0.2">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row>
    <row r="226" spans="1:79" ht="12.75" x14ac:dyDescent="0.2">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row>
    <row r="227" spans="1:79" ht="12.75" x14ac:dyDescent="0.2">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row>
    <row r="228" spans="1:79" ht="12.75" x14ac:dyDescent="0.2">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row>
    <row r="229" spans="1:79" ht="12.75" x14ac:dyDescent="0.2">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row>
    <row r="230" spans="1:79" ht="12.75" x14ac:dyDescent="0.2">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row>
    <row r="231" spans="1:79" ht="12.75" x14ac:dyDescent="0.2">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row>
    <row r="232" spans="1:79" ht="12.75" x14ac:dyDescent="0.2">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row>
    <row r="233" spans="1:79" ht="12.75" x14ac:dyDescent="0.2">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row>
    <row r="234" spans="1:79" ht="12.75" x14ac:dyDescent="0.2">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row>
    <row r="235" spans="1:79" ht="12.75" x14ac:dyDescent="0.2">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row>
    <row r="236" spans="1:79" ht="12.75" x14ac:dyDescent="0.2">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row>
    <row r="237" spans="1:79" ht="12.75" x14ac:dyDescent="0.2">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row>
    <row r="238" spans="1:79" ht="12.75" x14ac:dyDescent="0.2">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row>
    <row r="239" spans="1:79" ht="12.75" x14ac:dyDescent="0.2">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row>
    <row r="240" spans="1:79" ht="12.75" x14ac:dyDescent="0.2">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row>
    <row r="241" spans="1:79" ht="12.75" x14ac:dyDescent="0.2">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row>
    <row r="242" spans="1:79" ht="12.75" x14ac:dyDescent="0.2">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row>
    <row r="243" spans="1:79" ht="12.75" x14ac:dyDescent="0.2">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row>
    <row r="244" spans="1:79" ht="12.75" x14ac:dyDescent="0.2">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row>
    <row r="245" spans="1:79" ht="12.75" x14ac:dyDescent="0.2">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row>
    <row r="246" spans="1:79" ht="12.75" x14ac:dyDescent="0.2">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row>
    <row r="247" spans="1:79" ht="12.75" x14ac:dyDescent="0.2">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row>
    <row r="248" spans="1:79" ht="12.75" x14ac:dyDescent="0.2">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row>
    <row r="249" spans="1:79" ht="12.75" x14ac:dyDescent="0.2">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row>
    <row r="250" spans="1:79" ht="12.75" x14ac:dyDescent="0.2">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row>
    <row r="251" spans="1:79" ht="12.75" x14ac:dyDescent="0.2">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row>
    <row r="252" spans="1:79" ht="12.75" x14ac:dyDescent="0.2">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row>
    <row r="253" spans="1:79" ht="12.75" x14ac:dyDescent="0.2">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row>
    <row r="254" spans="1:79" ht="12.75" x14ac:dyDescent="0.2">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row>
    <row r="255" spans="1:79" ht="12.75" x14ac:dyDescent="0.2">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row>
    <row r="256" spans="1:79" ht="12.75" x14ac:dyDescent="0.2">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row>
    <row r="257" spans="1:79" ht="12.75" x14ac:dyDescent="0.2">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row>
    <row r="258" spans="1:79" ht="12.75" x14ac:dyDescent="0.2">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row>
    <row r="259" spans="1:79" ht="12.75" x14ac:dyDescent="0.2">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row>
    <row r="260" spans="1:79" ht="12.75" x14ac:dyDescent="0.2">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row>
    <row r="261" spans="1:79" ht="12.75" x14ac:dyDescent="0.2">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row>
    <row r="262" spans="1:79" ht="12.75" x14ac:dyDescent="0.2">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row>
    <row r="263" spans="1:79" ht="12.75" x14ac:dyDescent="0.2">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row>
    <row r="264" spans="1:79" ht="12.75" x14ac:dyDescent="0.2">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row>
    <row r="265" spans="1:79" ht="12.75" x14ac:dyDescent="0.2">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row>
    <row r="266" spans="1:79" ht="12.75" x14ac:dyDescent="0.2">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row>
    <row r="267" spans="1:79" ht="12.75" x14ac:dyDescent="0.2">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row>
    <row r="268" spans="1:79" ht="12.75" x14ac:dyDescent="0.2">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row>
    <row r="269" spans="1:79" ht="12.75" x14ac:dyDescent="0.2">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row>
    <row r="270" spans="1:79" ht="12.75" x14ac:dyDescent="0.2">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row>
    <row r="271" spans="1:79" ht="12.75" x14ac:dyDescent="0.2">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row>
    <row r="272" spans="1:79" ht="12.75" x14ac:dyDescent="0.2">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row>
    <row r="273" spans="1:79" ht="12.75" x14ac:dyDescent="0.2">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row>
    <row r="274" spans="1:79" ht="12.75" x14ac:dyDescent="0.2">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row>
    <row r="275" spans="1:79" ht="12.75" x14ac:dyDescent="0.2">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row>
    <row r="276" spans="1:79" ht="12.75" x14ac:dyDescent="0.2">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row>
    <row r="277" spans="1:79" ht="12.75" x14ac:dyDescent="0.2">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row>
    <row r="278" spans="1:79" ht="12.75" x14ac:dyDescent="0.2">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row>
    <row r="279" spans="1:79" ht="12.75" x14ac:dyDescent="0.2">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row>
    <row r="280" spans="1:79" ht="12.75" x14ac:dyDescent="0.2">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row>
    <row r="281" spans="1:79" ht="12.75" x14ac:dyDescent="0.2">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row>
    <row r="282" spans="1:79" ht="12.75" x14ac:dyDescent="0.2">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row>
    <row r="283" spans="1:79" ht="12.75" x14ac:dyDescent="0.2">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row>
    <row r="284" spans="1:79" ht="12.75" x14ac:dyDescent="0.2">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row>
    <row r="285" spans="1:79" ht="12.75" x14ac:dyDescent="0.2">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row>
    <row r="286" spans="1:79" ht="12.75" x14ac:dyDescent="0.2">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row>
    <row r="287" spans="1:79" ht="12.75" x14ac:dyDescent="0.2">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row>
    <row r="288" spans="1:79" ht="12.75" x14ac:dyDescent="0.2">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row>
    <row r="289" spans="1:79" ht="12.75" x14ac:dyDescent="0.2">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row>
    <row r="290" spans="1:79" ht="12.75" x14ac:dyDescent="0.2">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row>
    <row r="291" spans="1:79" ht="12.75" x14ac:dyDescent="0.2">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row>
    <row r="292" spans="1:79" ht="12.75" x14ac:dyDescent="0.2">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row>
    <row r="293" spans="1:79" ht="12.75" x14ac:dyDescent="0.2">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row>
    <row r="294" spans="1:79" ht="12.75" x14ac:dyDescent="0.2">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row>
    <row r="295" spans="1:79" ht="12.75" x14ac:dyDescent="0.2">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row>
    <row r="296" spans="1:79" ht="12.75" x14ac:dyDescent="0.2">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row>
    <row r="297" spans="1:79" ht="12.75" x14ac:dyDescent="0.2">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row>
    <row r="298" spans="1:79" ht="12.75" x14ac:dyDescent="0.2">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row>
    <row r="299" spans="1:79" ht="12.75" x14ac:dyDescent="0.2">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row>
    <row r="300" spans="1:79" ht="12.75" x14ac:dyDescent="0.2">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row>
    <row r="301" spans="1:79" ht="12.75" x14ac:dyDescent="0.2">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row>
    <row r="302" spans="1:79" ht="12.75" x14ac:dyDescent="0.2">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row>
    <row r="303" spans="1:79" ht="12.75" x14ac:dyDescent="0.2">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row>
    <row r="304" spans="1:79" ht="12.75" x14ac:dyDescent="0.2">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row>
    <row r="305" spans="1:79" ht="12.75" x14ac:dyDescent="0.2">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row>
    <row r="306" spans="1:79" ht="12.75" x14ac:dyDescent="0.2">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row>
    <row r="307" spans="1:79" ht="12.75" x14ac:dyDescent="0.2">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row>
    <row r="308" spans="1:79" ht="12.75" x14ac:dyDescent="0.2">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row>
    <row r="309" spans="1:79" ht="12.75" x14ac:dyDescent="0.2">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row>
    <row r="310" spans="1:79" ht="12.75" x14ac:dyDescent="0.2">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row>
    <row r="311" spans="1:79" ht="12.75" x14ac:dyDescent="0.2">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row>
    <row r="312" spans="1:79" ht="12.75" x14ac:dyDescent="0.2">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row>
    <row r="313" spans="1:79" ht="12.75" x14ac:dyDescent="0.2">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row>
    <row r="314" spans="1:79" ht="12.75" x14ac:dyDescent="0.2">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row>
    <row r="315" spans="1:79" ht="12.75" x14ac:dyDescent="0.2">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row>
    <row r="316" spans="1:79" ht="12.75" x14ac:dyDescent="0.2">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row>
    <row r="317" spans="1:79" ht="12.75" x14ac:dyDescent="0.2">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row>
    <row r="318" spans="1:79" ht="12.75" x14ac:dyDescent="0.2">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row>
    <row r="319" spans="1:79" ht="12.75" x14ac:dyDescent="0.2">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row>
    <row r="320" spans="1:79" ht="12.75" x14ac:dyDescent="0.2">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row>
    <row r="321" spans="1:79" ht="12.75" x14ac:dyDescent="0.2">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row>
    <row r="322" spans="1:79" ht="12.75" x14ac:dyDescent="0.2">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row>
    <row r="323" spans="1:79" ht="12.75" x14ac:dyDescent="0.2">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row>
    <row r="324" spans="1:79" ht="12.75" x14ac:dyDescent="0.2">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row>
    <row r="325" spans="1:79" ht="12.75" x14ac:dyDescent="0.2">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row>
    <row r="326" spans="1:79" ht="12.75" x14ac:dyDescent="0.2">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row>
    <row r="327" spans="1:79" ht="12.75" x14ac:dyDescent="0.2">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row>
    <row r="328" spans="1:79" ht="12.75" x14ac:dyDescent="0.2">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row>
    <row r="329" spans="1:79" ht="12.75" x14ac:dyDescent="0.2">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row>
    <row r="330" spans="1:79" ht="12.75" x14ac:dyDescent="0.2">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row>
    <row r="331" spans="1:79" ht="12.75" x14ac:dyDescent="0.2">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row>
    <row r="332" spans="1:79" ht="12.75" x14ac:dyDescent="0.2">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row>
    <row r="333" spans="1:79" ht="12.75" x14ac:dyDescent="0.2">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row>
    <row r="334" spans="1:79" ht="12.75" x14ac:dyDescent="0.2">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row>
    <row r="335" spans="1:79" ht="12.75" x14ac:dyDescent="0.2">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row>
    <row r="336" spans="1:79" ht="12.75" x14ac:dyDescent="0.2">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row>
    <row r="337" spans="1:79" ht="12.75" x14ac:dyDescent="0.2">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row>
    <row r="338" spans="1:79" ht="12.75" x14ac:dyDescent="0.2">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row>
    <row r="339" spans="1:79" ht="12.75" x14ac:dyDescent="0.2">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row>
    <row r="340" spans="1:79" ht="12.75" x14ac:dyDescent="0.2">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row>
    <row r="341" spans="1:79" ht="12.75" x14ac:dyDescent="0.2">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row>
    <row r="342" spans="1:79" ht="12.75" x14ac:dyDescent="0.2">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row>
    <row r="343" spans="1:79" ht="12.75" x14ac:dyDescent="0.2">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row>
    <row r="344" spans="1:79" ht="12.75" x14ac:dyDescent="0.2">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row>
    <row r="345" spans="1:79" ht="12.75" x14ac:dyDescent="0.2">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row>
    <row r="346" spans="1:79" ht="12.75" x14ac:dyDescent="0.2">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row>
    <row r="347" spans="1:79" ht="12.75" x14ac:dyDescent="0.2">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row>
    <row r="348" spans="1:79" ht="12.75" x14ac:dyDescent="0.2">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row>
    <row r="349" spans="1:79" ht="12.75" x14ac:dyDescent="0.2">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row>
    <row r="350" spans="1:79" ht="12.75" x14ac:dyDescent="0.2">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row>
    <row r="351" spans="1:79" ht="12.75" x14ac:dyDescent="0.2">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row>
    <row r="352" spans="1:79" ht="12.75" x14ac:dyDescent="0.2">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row>
    <row r="353" spans="1:79" ht="12.75" x14ac:dyDescent="0.2">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row>
    <row r="354" spans="1:79" ht="12.75" x14ac:dyDescent="0.2">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row>
    <row r="355" spans="1:79" ht="12.75" x14ac:dyDescent="0.2">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row>
    <row r="356" spans="1:79" ht="12.75" x14ac:dyDescent="0.2">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row>
    <row r="357" spans="1:79" ht="12.75" x14ac:dyDescent="0.2">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row>
    <row r="358" spans="1:79" ht="12.75" x14ac:dyDescent="0.2">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row>
    <row r="359" spans="1:79" ht="12.75" x14ac:dyDescent="0.2">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row>
    <row r="360" spans="1:79" ht="12.75" x14ac:dyDescent="0.2">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row>
    <row r="361" spans="1:79" ht="12.75" x14ac:dyDescent="0.2">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row>
    <row r="362" spans="1:79" ht="12.75" x14ac:dyDescent="0.2">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row>
    <row r="363" spans="1:79" ht="12.75" x14ac:dyDescent="0.2">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row>
    <row r="364" spans="1:79" ht="12.75" x14ac:dyDescent="0.2">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row>
    <row r="365" spans="1:79" ht="12.75" x14ac:dyDescent="0.2">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row>
    <row r="366" spans="1:79" ht="12.75" x14ac:dyDescent="0.2">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row>
    <row r="367" spans="1:79" ht="12.75" x14ac:dyDescent="0.2">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row>
    <row r="368" spans="1:79" ht="12.75" x14ac:dyDescent="0.2">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row>
    <row r="369" spans="1:79" ht="12.75" x14ac:dyDescent="0.2">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row>
    <row r="370" spans="1:79" ht="12.75" x14ac:dyDescent="0.2">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row>
    <row r="371" spans="1:79" ht="12.75" x14ac:dyDescent="0.2">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row>
    <row r="372" spans="1:79" ht="12.75" x14ac:dyDescent="0.2">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row>
    <row r="373" spans="1:79" ht="12.75" x14ac:dyDescent="0.2">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row>
    <row r="374" spans="1:79" ht="12.75" x14ac:dyDescent="0.2">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row>
    <row r="375" spans="1:79" ht="12.75" x14ac:dyDescent="0.2">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row>
    <row r="376" spans="1:79" ht="12.75" x14ac:dyDescent="0.2">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row>
    <row r="377" spans="1:79" ht="12.75" x14ac:dyDescent="0.2">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row>
    <row r="378" spans="1:79" ht="12.75" x14ac:dyDescent="0.2">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row>
    <row r="379" spans="1:79" ht="12.75" x14ac:dyDescent="0.2">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row>
    <row r="380" spans="1:79" ht="12.75" x14ac:dyDescent="0.2">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row>
    <row r="381" spans="1:79" ht="12.75" x14ac:dyDescent="0.2">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row>
    <row r="382" spans="1:79" ht="12.75" x14ac:dyDescent="0.2">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row>
    <row r="383" spans="1:79" ht="12.75" x14ac:dyDescent="0.2">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row>
    <row r="384" spans="1:79" ht="12.75" x14ac:dyDescent="0.2">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row>
    <row r="385" spans="1:79" ht="12.75" x14ac:dyDescent="0.2">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row>
    <row r="386" spans="1:79" ht="12.75" x14ac:dyDescent="0.2">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row>
    <row r="387" spans="1:79" ht="12.75" x14ac:dyDescent="0.2">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row>
    <row r="388" spans="1:79" ht="12.75" x14ac:dyDescent="0.2">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row>
    <row r="389" spans="1:79" ht="12.75" x14ac:dyDescent="0.2">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row>
    <row r="390" spans="1:79" ht="12.75" x14ac:dyDescent="0.2">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row>
    <row r="391" spans="1:79" ht="12.75" x14ac:dyDescent="0.2">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row>
    <row r="392" spans="1:79" ht="12.75" x14ac:dyDescent="0.2">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row>
    <row r="393" spans="1:79" ht="12.75" x14ac:dyDescent="0.2">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row>
    <row r="394" spans="1:79" ht="12.75" x14ac:dyDescent="0.2">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row>
    <row r="395" spans="1:79" ht="12.75" x14ac:dyDescent="0.2">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row>
    <row r="396" spans="1:79" ht="12.75" x14ac:dyDescent="0.2">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row>
    <row r="397" spans="1:79" ht="12.75" x14ac:dyDescent="0.2">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row>
    <row r="398" spans="1:79" ht="12.75" x14ac:dyDescent="0.2">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row>
    <row r="399" spans="1:79" ht="12.75" x14ac:dyDescent="0.2">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row>
    <row r="400" spans="1:79" ht="12.75" x14ac:dyDescent="0.2">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row>
    <row r="401" spans="1:79" ht="12.75" x14ac:dyDescent="0.2">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row>
    <row r="402" spans="1:79" ht="12.75" x14ac:dyDescent="0.2">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row>
    <row r="403" spans="1:79" ht="12.75" x14ac:dyDescent="0.2">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row>
    <row r="404" spans="1:79" ht="12.75" x14ac:dyDescent="0.2">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row>
    <row r="405" spans="1:79" ht="12.75" x14ac:dyDescent="0.2">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row>
    <row r="406" spans="1:79" ht="12.75" x14ac:dyDescent="0.2">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row>
    <row r="407" spans="1:79" ht="12.75" x14ac:dyDescent="0.2">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row>
    <row r="408" spans="1:79" ht="12.75" x14ac:dyDescent="0.2">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row>
    <row r="409" spans="1:79" ht="12.75" x14ac:dyDescent="0.2">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row>
    <row r="410" spans="1:79" ht="12.75" x14ac:dyDescent="0.2">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row>
    <row r="411" spans="1:79" ht="12.75" x14ac:dyDescent="0.2">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row>
    <row r="412" spans="1:79" ht="12.75" x14ac:dyDescent="0.2">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row>
    <row r="413" spans="1:79" ht="12.75" x14ac:dyDescent="0.2">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row>
    <row r="414" spans="1:79" ht="12.75" x14ac:dyDescent="0.2">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row>
    <row r="415" spans="1:79" ht="12.75" x14ac:dyDescent="0.2">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row>
    <row r="416" spans="1:79" ht="12.75" x14ac:dyDescent="0.2">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row>
    <row r="417" spans="1:79" ht="12.75" x14ac:dyDescent="0.2">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row>
    <row r="418" spans="1:79" ht="12.75" x14ac:dyDescent="0.2">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row>
    <row r="419" spans="1:79" ht="12.75" x14ac:dyDescent="0.2">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row>
    <row r="420" spans="1:79" ht="12.75" x14ac:dyDescent="0.2">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row>
    <row r="421" spans="1:79" ht="12.75" x14ac:dyDescent="0.2">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row>
    <row r="422" spans="1:79" ht="12.75" x14ac:dyDescent="0.2">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row>
    <row r="423" spans="1:79" ht="12.75" x14ac:dyDescent="0.2">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row>
    <row r="424" spans="1:79" ht="12.75" x14ac:dyDescent="0.2">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row>
    <row r="425" spans="1:79" ht="12.75" x14ac:dyDescent="0.2">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row>
    <row r="426" spans="1:79" ht="12.75" x14ac:dyDescent="0.2">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row>
    <row r="427" spans="1:79" ht="12.75" x14ac:dyDescent="0.2">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row>
    <row r="428" spans="1:79" ht="12.75" x14ac:dyDescent="0.2">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row>
    <row r="429" spans="1:79" ht="12.75" x14ac:dyDescent="0.2">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row>
    <row r="430" spans="1:79" ht="12.75" x14ac:dyDescent="0.2">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row>
    <row r="431" spans="1:79" ht="12.75" x14ac:dyDescent="0.2">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row>
    <row r="432" spans="1:79" ht="12.75" x14ac:dyDescent="0.2">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row>
    <row r="433" spans="1:79" ht="12.75" x14ac:dyDescent="0.2">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row>
    <row r="434" spans="1:79" ht="12.75" x14ac:dyDescent="0.2">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row>
    <row r="435" spans="1:79" ht="12.75" x14ac:dyDescent="0.2">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row>
    <row r="436" spans="1:79" ht="12.75" x14ac:dyDescent="0.2">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row>
    <row r="437" spans="1:79" ht="12.75" x14ac:dyDescent="0.2">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row>
    <row r="438" spans="1:79" ht="12.75" x14ac:dyDescent="0.2">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row>
    <row r="439" spans="1:79" ht="12.75" x14ac:dyDescent="0.2">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row>
    <row r="440" spans="1:79" ht="12.75" x14ac:dyDescent="0.2">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row>
    <row r="441" spans="1:79" ht="12.75" x14ac:dyDescent="0.2">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row>
    <row r="442" spans="1:79" ht="12.75" x14ac:dyDescent="0.2">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row>
    <row r="443" spans="1:79" ht="12.75" x14ac:dyDescent="0.2">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row>
    <row r="444" spans="1:79" ht="12.75" x14ac:dyDescent="0.2">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row>
    <row r="445" spans="1:79" ht="12.75" x14ac:dyDescent="0.2">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row>
    <row r="446" spans="1:79" ht="12.75" x14ac:dyDescent="0.2">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row>
    <row r="447" spans="1:79" ht="12.75" x14ac:dyDescent="0.2">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row>
    <row r="448" spans="1:79" ht="12.75" x14ac:dyDescent="0.2">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row>
    <row r="449" spans="1:79" ht="12.75" x14ac:dyDescent="0.2">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row>
    <row r="450" spans="1:79" ht="12.75" x14ac:dyDescent="0.2">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row>
    <row r="451" spans="1:79" ht="12.75" x14ac:dyDescent="0.2">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row>
    <row r="452" spans="1:79" ht="12.75" x14ac:dyDescent="0.2">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row>
    <row r="453" spans="1:79" ht="12.75" x14ac:dyDescent="0.2">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row>
    <row r="454" spans="1:79" ht="12.75" x14ac:dyDescent="0.2">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row>
    <row r="455" spans="1:79" ht="12.75" x14ac:dyDescent="0.2">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row>
    <row r="456" spans="1:79" ht="12.75" x14ac:dyDescent="0.2">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row>
    <row r="457" spans="1:79" ht="12.75" x14ac:dyDescent="0.2">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row>
    <row r="458" spans="1:79" ht="12.75" x14ac:dyDescent="0.2">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row>
    <row r="459" spans="1:79" ht="12.75" x14ac:dyDescent="0.2">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row>
    <row r="460" spans="1:79" ht="12.75" x14ac:dyDescent="0.2">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row>
    <row r="461" spans="1:79" ht="12.75" x14ac:dyDescent="0.2">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row>
    <row r="462" spans="1:79" ht="12.75" x14ac:dyDescent="0.2">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row>
    <row r="463" spans="1:79" ht="12.75" x14ac:dyDescent="0.2">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row>
    <row r="464" spans="1:79" ht="12.75" x14ac:dyDescent="0.2">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row>
    <row r="465" spans="1:79" ht="12.75" x14ac:dyDescent="0.2">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row>
    <row r="466" spans="1:79" ht="12.75" x14ac:dyDescent="0.2">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row>
    <row r="467" spans="1:79" ht="12.75" x14ac:dyDescent="0.2">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row>
    <row r="468" spans="1:79" ht="12.75" x14ac:dyDescent="0.2">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row>
    <row r="469" spans="1:79" ht="12.75" x14ac:dyDescent="0.2">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row>
    <row r="470" spans="1:79" ht="12.75" x14ac:dyDescent="0.2">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row>
    <row r="471" spans="1:79" ht="12.75" x14ac:dyDescent="0.2">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row>
    <row r="472" spans="1:79" ht="12.75" x14ac:dyDescent="0.2">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row>
    <row r="473" spans="1:79" ht="12.75" x14ac:dyDescent="0.2">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row>
    <row r="474" spans="1:79" ht="12.75" x14ac:dyDescent="0.2">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row>
    <row r="475" spans="1:79" ht="12.75" x14ac:dyDescent="0.2">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row>
    <row r="476" spans="1:79" ht="12.75" x14ac:dyDescent="0.2">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row>
    <row r="477" spans="1:79" ht="12.75" x14ac:dyDescent="0.2">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row>
    <row r="478" spans="1:79" ht="12.75" x14ac:dyDescent="0.2">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row>
    <row r="479" spans="1:79" ht="12.75" x14ac:dyDescent="0.2">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row>
    <row r="480" spans="1:79" ht="12.75" x14ac:dyDescent="0.2">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row>
    <row r="481" spans="1:79" ht="12.75" x14ac:dyDescent="0.2">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row>
    <row r="482" spans="1:79" ht="12.75" x14ac:dyDescent="0.2">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row>
    <row r="483" spans="1:79" ht="12.75" x14ac:dyDescent="0.2">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row>
    <row r="484" spans="1:79" ht="12.75" x14ac:dyDescent="0.2">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row>
    <row r="485" spans="1:79" ht="12.75" x14ac:dyDescent="0.2">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row>
    <row r="486" spans="1:79" ht="12.75" x14ac:dyDescent="0.2">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row>
    <row r="487" spans="1:79" ht="12.75" x14ac:dyDescent="0.2">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row>
    <row r="488" spans="1:79" ht="12.75" x14ac:dyDescent="0.2">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row>
    <row r="489" spans="1:79" ht="12.75" x14ac:dyDescent="0.2">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row>
    <row r="490" spans="1:79" ht="12.75" x14ac:dyDescent="0.2">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row>
    <row r="491" spans="1:79" ht="12.75" x14ac:dyDescent="0.2">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row>
    <row r="492" spans="1:79" ht="12.75" x14ac:dyDescent="0.2">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row>
    <row r="493" spans="1:79" ht="12.75" x14ac:dyDescent="0.2">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row>
    <row r="494" spans="1:79" ht="12.75" x14ac:dyDescent="0.2">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row>
    <row r="495" spans="1:79" ht="12.75" x14ac:dyDescent="0.2">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row>
    <row r="496" spans="1:79" ht="12.75" x14ac:dyDescent="0.2">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row>
    <row r="497" spans="1:79" ht="12.75" x14ac:dyDescent="0.2">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row>
    <row r="498" spans="1:79" ht="12.75" x14ac:dyDescent="0.2">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row>
    <row r="499" spans="1:79" ht="12.75" x14ac:dyDescent="0.2">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row>
    <row r="500" spans="1:79" ht="12.75" x14ac:dyDescent="0.2">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row>
    <row r="501" spans="1:79" ht="12.75" x14ac:dyDescent="0.2">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row>
    <row r="502" spans="1:79" ht="12.75" x14ac:dyDescent="0.2">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row>
    <row r="503" spans="1:79" ht="12.75" x14ac:dyDescent="0.2">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row>
    <row r="504" spans="1:79" ht="12.75" x14ac:dyDescent="0.2">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row>
    <row r="505" spans="1:79" ht="12.75" x14ac:dyDescent="0.2">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row>
    <row r="506" spans="1:79" ht="12.75" x14ac:dyDescent="0.2">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row>
    <row r="507" spans="1:79" ht="12.75" x14ac:dyDescent="0.2">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row>
    <row r="508" spans="1:79" ht="12.75" x14ac:dyDescent="0.2">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row>
    <row r="509" spans="1:79" ht="12.75" x14ac:dyDescent="0.2">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row>
    <row r="510" spans="1:79" ht="12.75" x14ac:dyDescent="0.2">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row>
    <row r="511" spans="1:79" ht="12.75" x14ac:dyDescent="0.2">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row>
    <row r="512" spans="1:79" ht="12.75" x14ac:dyDescent="0.2">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row>
    <row r="513" spans="1:79" ht="12.75" x14ac:dyDescent="0.2">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row>
    <row r="514" spans="1:79" ht="12.75" x14ac:dyDescent="0.2">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row>
    <row r="515" spans="1:79" ht="12.75" x14ac:dyDescent="0.2">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row>
    <row r="516" spans="1:79" ht="12.75" x14ac:dyDescent="0.2">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row>
    <row r="517" spans="1:79" ht="12.75" x14ac:dyDescent="0.2">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row>
    <row r="518" spans="1:79" ht="12.75" x14ac:dyDescent="0.2">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row>
    <row r="519" spans="1:79" ht="12.75" x14ac:dyDescent="0.2">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row>
    <row r="520" spans="1:79" ht="12.75" x14ac:dyDescent="0.2">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row>
    <row r="521" spans="1:79" ht="12.75" x14ac:dyDescent="0.2">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row>
    <row r="522" spans="1:79" ht="12.75" x14ac:dyDescent="0.2">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row>
    <row r="523" spans="1:79" ht="12.75" x14ac:dyDescent="0.2">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row>
    <row r="524" spans="1:79" ht="12.75" x14ac:dyDescent="0.2">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row>
    <row r="525" spans="1:79" ht="12.75" x14ac:dyDescent="0.2">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row>
    <row r="526" spans="1:79" ht="12.75" x14ac:dyDescent="0.2">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row>
    <row r="527" spans="1:79" ht="12.75" x14ac:dyDescent="0.2">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row>
    <row r="528" spans="1:79" ht="12.75" x14ac:dyDescent="0.2">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row>
    <row r="529" spans="1:79" ht="12.75" x14ac:dyDescent="0.2">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row>
    <row r="530" spans="1:79" ht="12.75" x14ac:dyDescent="0.2">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row>
    <row r="531" spans="1:79" ht="12.75" x14ac:dyDescent="0.2">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row>
    <row r="532" spans="1:79" ht="12.75" x14ac:dyDescent="0.2">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row>
    <row r="533" spans="1:79" ht="12.75" x14ac:dyDescent="0.2">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row>
    <row r="534" spans="1:79" ht="12.75" x14ac:dyDescent="0.2">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row>
    <row r="535" spans="1:79" ht="12.75" x14ac:dyDescent="0.2">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row>
    <row r="536" spans="1:79" ht="12.75" x14ac:dyDescent="0.2">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row>
    <row r="537" spans="1:79" ht="12.75" x14ac:dyDescent="0.2">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row>
    <row r="538" spans="1:79" ht="12.75" x14ac:dyDescent="0.2">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row>
    <row r="539" spans="1:79" ht="12.75" x14ac:dyDescent="0.2">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row>
    <row r="540" spans="1:79" ht="12.75" x14ac:dyDescent="0.2">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row>
    <row r="541" spans="1:79" ht="12.75" x14ac:dyDescent="0.2">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row>
    <row r="542" spans="1:79" ht="12.75" x14ac:dyDescent="0.2">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row>
    <row r="543" spans="1:79" ht="12.75" x14ac:dyDescent="0.2">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row>
    <row r="544" spans="1:79" ht="12.75" x14ac:dyDescent="0.2">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row>
    <row r="545" spans="1:79" ht="12.75" x14ac:dyDescent="0.2">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row>
    <row r="546" spans="1:79" ht="12.75" x14ac:dyDescent="0.2">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row>
    <row r="547" spans="1:79" ht="12.75" x14ac:dyDescent="0.2">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row>
    <row r="548" spans="1:79" ht="12.75" x14ac:dyDescent="0.2">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row>
    <row r="549" spans="1:79" ht="12.75" x14ac:dyDescent="0.2">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row>
    <row r="550" spans="1:79" ht="12.75" x14ac:dyDescent="0.2">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row>
    <row r="551" spans="1:79" ht="12.75" x14ac:dyDescent="0.2">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row>
    <row r="552" spans="1:79" ht="12.75" x14ac:dyDescent="0.2">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row>
    <row r="553" spans="1:79" ht="12.75" x14ac:dyDescent="0.2">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row>
    <row r="554" spans="1:79" ht="12.75" x14ac:dyDescent="0.2">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row>
    <row r="555" spans="1:79" ht="12.75" x14ac:dyDescent="0.2">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row>
    <row r="556" spans="1:79" ht="12.75" x14ac:dyDescent="0.2">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row>
    <row r="557" spans="1:79" ht="12.75" x14ac:dyDescent="0.2">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row>
    <row r="558" spans="1:79" ht="12.75" x14ac:dyDescent="0.2">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row>
    <row r="559" spans="1:79" ht="12.75" x14ac:dyDescent="0.2">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row>
    <row r="560" spans="1:79" ht="12.75" x14ac:dyDescent="0.2">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row>
    <row r="561" spans="1:79" ht="12.75" x14ac:dyDescent="0.2">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row>
    <row r="562" spans="1:79" ht="12.75" x14ac:dyDescent="0.2">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row>
    <row r="563" spans="1:79" ht="12.75" x14ac:dyDescent="0.2">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row>
    <row r="564" spans="1:79" ht="12.75" x14ac:dyDescent="0.2">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row>
    <row r="565" spans="1:79" ht="12.75" x14ac:dyDescent="0.2">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row>
    <row r="566" spans="1:79" ht="12.75" x14ac:dyDescent="0.2">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row>
    <row r="567" spans="1:79" ht="12.75" x14ac:dyDescent="0.2">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row>
    <row r="568" spans="1:79" ht="12.75" x14ac:dyDescent="0.2">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row>
    <row r="569" spans="1:79" ht="12.75" x14ac:dyDescent="0.2">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row>
    <row r="570" spans="1:79" ht="12.75" x14ac:dyDescent="0.2">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row>
    <row r="571" spans="1:79" ht="12.75" x14ac:dyDescent="0.2">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row>
    <row r="572" spans="1:79" ht="12.75" x14ac:dyDescent="0.2">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row>
    <row r="573" spans="1:79" ht="12.75" x14ac:dyDescent="0.2">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row>
    <row r="574" spans="1:79" ht="12.75" x14ac:dyDescent="0.2">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row>
    <row r="575" spans="1:79" ht="12.75" x14ac:dyDescent="0.2">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row>
    <row r="576" spans="1:79" ht="12.75" x14ac:dyDescent="0.2">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row>
    <row r="577" spans="1:79" ht="12.75" x14ac:dyDescent="0.2">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row>
    <row r="578" spans="1:79" ht="12.75" x14ac:dyDescent="0.2">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row>
    <row r="579" spans="1:79" ht="12.75" x14ac:dyDescent="0.2">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row>
    <row r="580" spans="1:79" ht="12.75" x14ac:dyDescent="0.2">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row>
    <row r="581" spans="1:79" ht="12.75" x14ac:dyDescent="0.2">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row>
    <row r="582" spans="1:79" ht="12.75" x14ac:dyDescent="0.2">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row>
    <row r="583" spans="1:79" ht="12.75" x14ac:dyDescent="0.2">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row>
    <row r="584" spans="1:79" ht="12.75" x14ac:dyDescent="0.2">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row>
    <row r="585" spans="1:79" ht="12.75" x14ac:dyDescent="0.2">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row>
    <row r="586" spans="1:79" ht="12.75" x14ac:dyDescent="0.2">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row>
    <row r="587" spans="1:79" ht="12.75" x14ac:dyDescent="0.2">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row>
    <row r="588" spans="1:79" ht="12.75" x14ac:dyDescent="0.2">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row>
    <row r="589" spans="1:79" ht="12.75" x14ac:dyDescent="0.2">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row>
    <row r="590" spans="1:79" ht="12.75" x14ac:dyDescent="0.2">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row>
    <row r="591" spans="1:79" ht="12.75" x14ac:dyDescent="0.2">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row>
    <row r="592" spans="1:79" ht="12.75" x14ac:dyDescent="0.2">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row>
    <row r="593" spans="1:79" ht="12.75" x14ac:dyDescent="0.2">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row>
    <row r="594" spans="1:79" ht="12.75" x14ac:dyDescent="0.2">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row>
    <row r="595" spans="1:79" ht="12.75" x14ac:dyDescent="0.2">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row>
    <row r="596" spans="1:79" ht="12.75" x14ac:dyDescent="0.2">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row>
    <row r="597" spans="1:79" ht="12.75" x14ac:dyDescent="0.2">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row>
    <row r="598" spans="1:79" ht="12.75" x14ac:dyDescent="0.2">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row>
    <row r="599" spans="1:79" ht="12.75" x14ac:dyDescent="0.2">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row>
    <row r="600" spans="1:79" ht="12.75" x14ac:dyDescent="0.2">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row>
    <row r="601" spans="1:79" ht="12.75" x14ac:dyDescent="0.2">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row>
    <row r="602" spans="1:79" ht="12.75" x14ac:dyDescent="0.2">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row>
    <row r="603" spans="1:79" ht="12.75" x14ac:dyDescent="0.2">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row>
    <row r="604" spans="1:79" ht="12.75" x14ac:dyDescent="0.2">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row>
    <row r="605" spans="1:79" ht="12.75" x14ac:dyDescent="0.2">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row>
    <row r="606" spans="1:79" ht="12.75" x14ac:dyDescent="0.2">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row>
    <row r="607" spans="1:79" ht="12.75" x14ac:dyDescent="0.2">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row>
    <row r="608" spans="1:79" ht="12.75" x14ac:dyDescent="0.2">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row>
    <row r="609" spans="1:79" ht="12.75" x14ac:dyDescent="0.2">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row>
    <row r="610" spans="1:79" ht="12.75" x14ac:dyDescent="0.2">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row>
    <row r="611" spans="1:79" ht="12.75" x14ac:dyDescent="0.2">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row>
    <row r="612" spans="1:79" ht="12.75" x14ac:dyDescent="0.2">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row>
    <row r="613" spans="1:79" ht="12.75" x14ac:dyDescent="0.2">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row>
    <row r="614" spans="1:79" ht="12.75" x14ac:dyDescent="0.2">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row>
    <row r="615" spans="1:79" ht="12.75" x14ac:dyDescent="0.2">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row>
    <row r="616" spans="1:79" ht="12.75" x14ac:dyDescent="0.2">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row>
    <row r="617" spans="1:79" ht="12.75" x14ac:dyDescent="0.2">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row>
    <row r="618" spans="1:79" ht="12.75" x14ac:dyDescent="0.2">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row>
    <row r="619" spans="1:79" ht="12.75" x14ac:dyDescent="0.2">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row>
    <row r="620" spans="1:79" ht="12.75" x14ac:dyDescent="0.2">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row>
    <row r="621" spans="1:79" ht="12.75" x14ac:dyDescent="0.2">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row>
    <row r="622" spans="1:79" ht="12.75" x14ac:dyDescent="0.2">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row>
    <row r="623" spans="1:79" ht="12.75" x14ac:dyDescent="0.2">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row>
    <row r="624" spans="1:79" ht="12.75" x14ac:dyDescent="0.2">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row>
    <row r="625" spans="1:79" ht="12.75" x14ac:dyDescent="0.2">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row>
    <row r="626" spans="1:79" ht="12.75" x14ac:dyDescent="0.2">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row>
    <row r="627" spans="1:79" ht="12.75" x14ac:dyDescent="0.2">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row>
    <row r="628" spans="1:79" ht="12.75" x14ac:dyDescent="0.2">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row>
    <row r="629" spans="1:79" ht="12.75" x14ac:dyDescent="0.2">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row>
    <row r="630" spans="1:79" ht="12.75" x14ac:dyDescent="0.2">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row>
    <row r="631" spans="1:79" ht="12.75" x14ac:dyDescent="0.2">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row>
    <row r="632" spans="1:79" ht="12.75" x14ac:dyDescent="0.2">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row>
    <row r="633" spans="1:79" ht="12.75" x14ac:dyDescent="0.2">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row>
    <row r="634" spans="1:79" ht="12.75" x14ac:dyDescent="0.2">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row>
    <row r="635" spans="1:79" ht="12.75" x14ac:dyDescent="0.2">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row>
    <row r="636" spans="1:79" ht="12.75" x14ac:dyDescent="0.2">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row>
    <row r="637" spans="1:79" ht="12.75" x14ac:dyDescent="0.2">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row>
    <row r="638" spans="1:79" ht="12.75" x14ac:dyDescent="0.2">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row>
    <row r="639" spans="1:79" ht="12.75" x14ac:dyDescent="0.2">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row>
    <row r="640" spans="1:79" ht="12.75" x14ac:dyDescent="0.2">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row>
    <row r="641" spans="1:79" ht="12.75" x14ac:dyDescent="0.2">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row>
    <row r="642" spans="1:79" ht="12.75" x14ac:dyDescent="0.2">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row>
    <row r="643" spans="1:79" ht="12.75" x14ac:dyDescent="0.2">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row>
    <row r="644" spans="1:79" ht="12.75" x14ac:dyDescent="0.2">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row>
    <row r="645" spans="1:79" ht="12.75" x14ac:dyDescent="0.2">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row>
    <row r="646" spans="1:79" ht="12.75" x14ac:dyDescent="0.2">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row>
    <row r="647" spans="1:79" ht="12.75" x14ac:dyDescent="0.2">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row>
    <row r="648" spans="1:79" ht="12.75" x14ac:dyDescent="0.2">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row>
    <row r="649" spans="1:79" ht="12.75" x14ac:dyDescent="0.2">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row>
    <row r="650" spans="1:79" ht="12.75" x14ac:dyDescent="0.2">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row>
    <row r="651" spans="1:79" ht="12.75" x14ac:dyDescent="0.2">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row>
    <row r="652" spans="1:79" ht="12.75" x14ac:dyDescent="0.2">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row>
    <row r="653" spans="1:79" ht="12.75" x14ac:dyDescent="0.2">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row>
    <row r="654" spans="1:79" ht="12.75" x14ac:dyDescent="0.2">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row>
    <row r="655" spans="1:79" ht="12.75" x14ac:dyDescent="0.2">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row>
    <row r="656" spans="1:79" ht="12.75" x14ac:dyDescent="0.2">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row>
    <row r="657" spans="1:79" ht="12.75" x14ac:dyDescent="0.2">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row>
    <row r="658" spans="1:79" ht="12.75" x14ac:dyDescent="0.2">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row>
    <row r="659" spans="1:79" ht="12.75" x14ac:dyDescent="0.2">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row>
    <row r="660" spans="1:79" ht="12.75" x14ac:dyDescent="0.2">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row>
    <row r="661" spans="1:79" ht="12.75" x14ac:dyDescent="0.2">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row>
    <row r="662" spans="1:79" ht="12.75" x14ac:dyDescent="0.2">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row>
    <row r="663" spans="1:79" ht="12.75" x14ac:dyDescent="0.2">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row>
    <row r="664" spans="1:79" ht="12.75" x14ac:dyDescent="0.2">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row>
    <row r="665" spans="1:79" ht="12.75" x14ac:dyDescent="0.2">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row>
    <row r="666" spans="1:79" ht="12.75" x14ac:dyDescent="0.2">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row>
    <row r="667" spans="1:79" ht="12.75" x14ac:dyDescent="0.2">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row>
    <row r="668" spans="1:79" ht="12.75" x14ac:dyDescent="0.2">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row>
    <row r="669" spans="1:79" ht="12.75" x14ac:dyDescent="0.2">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row>
    <row r="670" spans="1:79" ht="12.75" x14ac:dyDescent="0.2">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row>
    <row r="671" spans="1:79" ht="12.75" x14ac:dyDescent="0.2">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row>
    <row r="672" spans="1:79" ht="12.75" x14ac:dyDescent="0.2">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row>
    <row r="673" spans="1:79" ht="12.75" x14ac:dyDescent="0.2">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row>
    <row r="674" spans="1:79" ht="12.75" x14ac:dyDescent="0.2">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row>
    <row r="675" spans="1:79" ht="12.75" x14ac:dyDescent="0.2">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row>
    <row r="676" spans="1:79" ht="12.75" x14ac:dyDescent="0.2">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row>
    <row r="677" spans="1:79" ht="12.75" x14ac:dyDescent="0.2">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row>
    <row r="678" spans="1:79" ht="12.75" x14ac:dyDescent="0.2">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row>
    <row r="679" spans="1:79" ht="12.75" x14ac:dyDescent="0.2">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row>
    <row r="680" spans="1:79" ht="12.75" x14ac:dyDescent="0.2">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row>
    <row r="681" spans="1:79" ht="12.75" x14ac:dyDescent="0.2">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row>
    <row r="682" spans="1:79" ht="12.75" x14ac:dyDescent="0.2">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row>
    <row r="683" spans="1:79" ht="12.75" x14ac:dyDescent="0.2">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row>
    <row r="684" spans="1:79" ht="12.75" x14ac:dyDescent="0.2">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row>
    <row r="685" spans="1:79" ht="12.75" x14ac:dyDescent="0.2">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row>
    <row r="686" spans="1:79" ht="12.75" x14ac:dyDescent="0.2">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row>
    <row r="687" spans="1:79" ht="12.75" x14ac:dyDescent="0.2">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row>
    <row r="688" spans="1:79" ht="12.75" x14ac:dyDescent="0.2">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row>
    <row r="689" spans="1:79" ht="12.75" x14ac:dyDescent="0.2">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row>
    <row r="690" spans="1:79" ht="12.75" x14ac:dyDescent="0.2">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row>
    <row r="691" spans="1:79" ht="12.75" x14ac:dyDescent="0.2">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row>
    <row r="692" spans="1:79" ht="12.75" x14ac:dyDescent="0.2">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row>
    <row r="693" spans="1:79" ht="12.75" x14ac:dyDescent="0.2">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row>
    <row r="694" spans="1:79" ht="12.75" x14ac:dyDescent="0.2">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row>
    <row r="695" spans="1:79" ht="12.75" x14ac:dyDescent="0.2">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row>
    <row r="696" spans="1:79" ht="12.75" x14ac:dyDescent="0.2">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row>
    <row r="697" spans="1:79" ht="12.75" x14ac:dyDescent="0.2">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row>
    <row r="698" spans="1:79" ht="12.75" x14ac:dyDescent="0.2">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row>
    <row r="699" spans="1:79" ht="12.75" x14ac:dyDescent="0.2">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row>
    <row r="700" spans="1:79" ht="12.75" x14ac:dyDescent="0.2">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row>
    <row r="701" spans="1:79" ht="12.75" x14ac:dyDescent="0.2">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row>
    <row r="702" spans="1:79" ht="12.75" x14ac:dyDescent="0.2">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row>
    <row r="703" spans="1:79" ht="12.75" x14ac:dyDescent="0.2">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row>
    <row r="704" spans="1:79" ht="12.75" x14ac:dyDescent="0.2">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row>
    <row r="705" spans="1:79" ht="12.75" x14ac:dyDescent="0.2">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row>
    <row r="706" spans="1:79" ht="12.75" x14ac:dyDescent="0.2">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row>
    <row r="707" spans="1:79" ht="12.75" x14ac:dyDescent="0.2">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row>
    <row r="708" spans="1:79" ht="12.75" x14ac:dyDescent="0.2">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row>
    <row r="709" spans="1:79" ht="12.75" x14ac:dyDescent="0.2">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row>
    <row r="710" spans="1:79" ht="12.75" x14ac:dyDescent="0.2">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row>
    <row r="711" spans="1:79" ht="12.75" x14ac:dyDescent="0.2">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row>
    <row r="712" spans="1:79" ht="12.75" x14ac:dyDescent="0.2">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row>
    <row r="713" spans="1:79" ht="12.75" x14ac:dyDescent="0.2">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row>
    <row r="714" spans="1:79" ht="12.75" x14ac:dyDescent="0.2">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row>
    <row r="715" spans="1:79" ht="12.75" x14ac:dyDescent="0.2">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row>
    <row r="716" spans="1:79" ht="12.75" x14ac:dyDescent="0.2">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row>
    <row r="717" spans="1:79" ht="12.75" x14ac:dyDescent="0.2">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row>
    <row r="718" spans="1:79" ht="12.75" x14ac:dyDescent="0.2">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row>
    <row r="719" spans="1:79" ht="12.75" x14ac:dyDescent="0.2">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row>
    <row r="720" spans="1:79" ht="12.75" x14ac:dyDescent="0.2">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row>
    <row r="721" spans="1:79" ht="12.75" x14ac:dyDescent="0.2">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row>
    <row r="722" spans="1:79" ht="12.75" x14ac:dyDescent="0.2">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row>
    <row r="723" spans="1:79" ht="12.75" x14ac:dyDescent="0.2">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row>
    <row r="724" spans="1:79" ht="12.75" x14ac:dyDescent="0.2">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row>
    <row r="725" spans="1:79" ht="12.75" x14ac:dyDescent="0.2">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row>
    <row r="726" spans="1:79" ht="12.75" x14ac:dyDescent="0.2">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row>
    <row r="727" spans="1:79" ht="12.75" x14ac:dyDescent="0.2">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row>
    <row r="728" spans="1:79" ht="12.75" x14ac:dyDescent="0.2">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row>
    <row r="729" spans="1:79" ht="12.75" x14ac:dyDescent="0.2">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row>
    <row r="730" spans="1:79" ht="12.75" x14ac:dyDescent="0.2">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row>
    <row r="731" spans="1:79" ht="12.75" x14ac:dyDescent="0.2">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row>
    <row r="732" spans="1:79" ht="12.75" x14ac:dyDescent="0.2">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row>
    <row r="733" spans="1:79" ht="12.75" x14ac:dyDescent="0.2">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row>
    <row r="734" spans="1:79" ht="12.75" x14ac:dyDescent="0.2">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row>
    <row r="735" spans="1:79" ht="12.75" x14ac:dyDescent="0.2">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row>
    <row r="736" spans="1:79" ht="12.75" x14ac:dyDescent="0.2">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row>
    <row r="737" spans="1:79" ht="12.75" x14ac:dyDescent="0.2">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row>
    <row r="738" spans="1:79" ht="12.75" x14ac:dyDescent="0.2">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row>
    <row r="739" spans="1:79" ht="12.75" x14ac:dyDescent="0.2">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row>
    <row r="740" spans="1:79" ht="12.75" x14ac:dyDescent="0.2">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row>
    <row r="741" spans="1:79" ht="12.75" x14ac:dyDescent="0.2">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row>
    <row r="742" spans="1:79" ht="12.75" x14ac:dyDescent="0.2">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row>
    <row r="743" spans="1:79" ht="12.75" x14ac:dyDescent="0.2">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row>
    <row r="744" spans="1:79" ht="12.75" x14ac:dyDescent="0.2">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row>
    <row r="745" spans="1:79" ht="12.75" x14ac:dyDescent="0.2">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row>
    <row r="746" spans="1:79" ht="12.75" x14ac:dyDescent="0.2">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row>
    <row r="747" spans="1:79" ht="12.75" x14ac:dyDescent="0.2">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row>
    <row r="748" spans="1:79" ht="12.75" x14ac:dyDescent="0.2">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row>
    <row r="749" spans="1:79" ht="12.75" x14ac:dyDescent="0.2">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row>
    <row r="750" spans="1:79" ht="12.75" x14ac:dyDescent="0.2">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row>
    <row r="751" spans="1:79" ht="12.75" x14ac:dyDescent="0.2">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row>
    <row r="752" spans="1:79" ht="12.75" x14ac:dyDescent="0.2">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row>
    <row r="753" spans="1:79" ht="12.75" x14ac:dyDescent="0.2">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row>
    <row r="754" spans="1:79" ht="12.75" x14ac:dyDescent="0.2">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row>
    <row r="755" spans="1:79" ht="12.75" x14ac:dyDescent="0.2">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row>
    <row r="756" spans="1:79" ht="12.75" x14ac:dyDescent="0.2">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row>
    <row r="757" spans="1:79" ht="12.75" x14ac:dyDescent="0.2">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row>
    <row r="758" spans="1:79" ht="12.75" x14ac:dyDescent="0.2">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row>
    <row r="759" spans="1:79" ht="12.75" x14ac:dyDescent="0.2">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row>
    <row r="760" spans="1:79" ht="12.75" x14ac:dyDescent="0.2">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row>
    <row r="761" spans="1:79" ht="12.75" x14ac:dyDescent="0.2">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row>
    <row r="762" spans="1:79" ht="12.75" x14ac:dyDescent="0.2">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row>
    <row r="763" spans="1:79" ht="12.75" x14ac:dyDescent="0.2">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row>
    <row r="764" spans="1:79" ht="12.75" x14ac:dyDescent="0.2">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row>
    <row r="765" spans="1:79" ht="12.75" x14ac:dyDescent="0.2">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row>
    <row r="766" spans="1:79" ht="12.75" x14ac:dyDescent="0.2">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row>
    <row r="767" spans="1:79" ht="12.75" x14ac:dyDescent="0.2">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row>
    <row r="768" spans="1:79" ht="12.75" x14ac:dyDescent="0.2">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row>
    <row r="769" spans="1:79" ht="12.75" x14ac:dyDescent="0.2">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row>
    <row r="770" spans="1:79" ht="12.75" x14ac:dyDescent="0.2">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row>
    <row r="771" spans="1:79" ht="12.75" x14ac:dyDescent="0.2">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row>
    <row r="772" spans="1:79" ht="12.75" x14ac:dyDescent="0.2">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row>
    <row r="773" spans="1:79" ht="12.75" x14ac:dyDescent="0.2">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row>
    <row r="774" spans="1:79" ht="12.75" x14ac:dyDescent="0.2">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row>
    <row r="775" spans="1:79" ht="12.75" x14ac:dyDescent="0.2">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row>
    <row r="776" spans="1:79" ht="12.75" x14ac:dyDescent="0.2">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row>
    <row r="777" spans="1:79" ht="12.75" x14ac:dyDescent="0.2">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row>
    <row r="778" spans="1:79" ht="12.75" x14ac:dyDescent="0.2">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row>
    <row r="779" spans="1:79" ht="12.75" x14ac:dyDescent="0.2">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row>
    <row r="780" spans="1:79" ht="12.75" x14ac:dyDescent="0.2">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row>
    <row r="781" spans="1:79" ht="12.75" x14ac:dyDescent="0.2">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row>
    <row r="782" spans="1:79" ht="12.75" x14ac:dyDescent="0.2">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row>
    <row r="783" spans="1:79" ht="12.75" x14ac:dyDescent="0.2">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row>
    <row r="784" spans="1:79" ht="12.75" x14ac:dyDescent="0.2">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row>
    <row r="785" spans="1:79" ht="12.75" x14ac:dyDescent="0.2">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row>
    <row r="786" spans="1:79" ht="12.75" x14ac:dyDescent="0.2">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row>
    <row r="787" spans="1:79" ht="12.75" x14ac:dyDescent="0.2">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row>
    <row r="788" spans="1:79" ht="12.75" x14ac:dyDescent="0.2">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row>
    <row r="789" spans="1:79" ht="12.75" x14ac:dyDescent="0.2">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row>
    <row r="790" spans="1:79" ht="12.75" x14ac:dyDescent="0.2">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row>
    <row r="791" spans="1:79" ht="12.75" x14ac:dyDescent="0.2">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row>
    <row r="792" spans="1:79" ht="12.75" x14ac:dyDescent="0.2">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row>
    <row r="793" spans="1:79" ht="12.75" x14ac:dyDescent="0.2">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row>
    <row r="794" spans="1:79" ht="12.75" x14ac:dyDescent="0.2">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row>
    <row r="795" spans="1:79" ht="12.75" x14ac:dyDescent="0.2">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row>
    <row r="796" spans="1:79" ht="12.75" x14ac:dyDescent="0.2">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row>
    <row r="797" spans="1:79" ht="12.75" x14ac:dyDescent="0.2">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row>
    <row r="798" spans="1:79" ht="12.75" x14ac:dyDescent="0.2">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row>
    <row r="799" spans="1:79" ht="12.75" x14ac:dyDescent="0.2">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row>
    <row r="800" spans="1:79" ht="12.75" x14ac:dyDescent="0.2">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row>
    <row r="801" spans="1:79" ht="12.75" x14ac:dyDescent="0.2">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row>
    <row r="802" spans="1:79" ht="12.75" x14ac:dyDescent="0.2">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row>
    <row r="803" spans="1:79" ht="12.75" x14ac:dyDescent="0.2">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row>
    <row r="804" spans="1:79" ht="12.75" x14ac:dyDescent="0.2">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row>
    <row r="805" spans="1:79" ht="12.75" x14ac:dyDescent="0.2">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row>
    <row r="806" spans="1:79" ht="12.75" x14ac:dyDescent="0.2">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row>
    <row r="807" spans="1:79" ht="12.75" x14ac:dyDescent="0.2">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row>
    <row r="808" spans="1:79" ht="12.75" x14ac:dyDescent="0.2">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row>
    <row r="809" spans="1:79" ht="12.75" x14ac:dyDescent="0.2">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row>
    <row r="810" spans="1:79" ht="12.75" x14ac:dyDescent="0.2">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row>
    <row r="811" spans="1:79" ht="12.75" x14ac:dyDescent="0.2">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row>
    <row r="812" spans="1:79" ht="12.75" x14ac:dyDescent="0.2">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row>
    <row r="813" spans="1:79" ht="12.75" x14ac:dyDescent="0.2">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row>
    <row r="814" spans="1:79" ht="12.75" x14ac:dyDescent="0.2">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row>
    <row r="815" spans="1:79" ht="12.75" x14ac:dyDescent="0.2">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row>
    <row r="816" spans="1:79" ht="12.75" x14ac:dyDescent="0.2">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row>
    <row r="817" spans="1:79" ht="12.75" x14ac:dyDescent="0.2">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row>
    <row r="818" spans="1:79" ht="12.75" x14ac:dyDescent="0.2">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row>
    <row r="819" spans="1:79" ht="12.75" x14ac:dyDescent="0.2">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row>
    <row r="820" spans="1:79" ht="12.75" x14ac:dyDescent="0.2">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row>
    <row r="821" spans="1:79" ht="12.75" x14ac:dyDescent="0.2">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row>
    <row r="822" spans="1:79" ht="12.75" x14ac:dyDescent="0.2">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row>
    <row r="823" spans="1:79" ht="12.75" x14ac:dyDescent="0.2">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row>
    <row r="824" spans="1:79" ht="12.75" x14ac:dyDescent="0.2">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row>
    <row r="825" spans="1:79" ht="12.75" x14ac:dyDescent="0.2">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row>
    <row r="826" spans="1:79" ht="12.75" x14ac:dyDescent="0.2">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row>
    <row r="827" spans="1:79" ht="12.75" x14ac:dyDescent="0.2">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row>
    <row r="828" spans="1:79" ht="12.75" x14ac:dyDescent="0.2">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row>
    <row r="829" spans="1:79" ht="12.75" x14ac:dyDescent="0.2">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row>
    <row r="830" spans="1:79" ht="12.75" x14ac:dyDescent="0.2">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row>
    <row r="831" spans="1:79" ht="12.75" x14ac:dyDescent="0.2">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row>
    <row r="832" spans="1:79" ht="12.75" x14ac:dyDescent="0.2">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row>
    <row r="833" spans="1:79" ht="12.75" x14ac:dyDescent="0.2">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row>
    <row r="834" spans="1:79" ht="12.75" x14ac:dyDescent="0.2">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row>
    <row r="835" spans="1:79" ht="12.75" x14ac:dyDescent="0.2">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row>
    <row r="836" spans="1:79" ht="12.75" x14ac:dyDescent="0.2">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row>
    <row r="837" spans="1:79" ht="12.75" x14ac:dyDescent="0.2">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row>
    <row r="838" spans="1:79" ht="12.75" x14ac:dyDescent="0.2">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row>
    <row r="839" spans="1:79" ht="12.75" x14ac:dyDescent="0.2">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row>
    <row r="840" spans="1:79" ht="12.75" x14ac:dyDescent="0.2">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row>
    <row r="841" spans="1:79" ht="12.75" x14ac:dyDescent="0.2">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row>
    <row r="842" spans="1:79" ht="12.75" x14ac:dyDescent="0.2">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row>
    <row r="843" spans="1:79" ht="12.75" x14ac:dyDescent="0.2">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row>
    <row r="844" spans="1:79" ht="12.75" x14ac:dyDescent="0.2">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row>
    <row r="845" spans="1:79" ht="12.75" x14ac:dyDescent="0.2">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row>
    <row r="846" spans="1:79" ht="12.75" x14ac:dyDescent="0.2">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row>
    <row r="847" spans="1:79" ht="12.75" x14ac:dyDescent="0.2">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row>
    <row r="848" spans="1:79" ht="12.75" x14ac:dyDescent="0.2">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row>
    <row r="849" spans="1:79" ht="12.75" x14ac:dyDescent="0.2">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row>
    <row r="850" spans="1:79" ht="12.75" x14ac:dyDescent="0.2">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row>
    <row r="851" spans="1:79" ht="12.75" x14ac:dyDescent="0.2">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row>
    <row r="852" spans="1:79" ht="12.75" x14ac:dyDescent="0.2">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row>
    <row r="853" spans="1:79" ht="12.75" x14ac:dyDescent="0.2">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row>
    <row r="854" spans="1:79" ht="12.75" x14ac:dyDescent="0.2">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row>
    <row r="855" spans="1:79" ht="12.75" x14ac:dyDescent="0.2">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row>
    <row r="856" spans="1:79" ht="12.75" x14ac:dyDescent="0.2">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row>
    <row r="857" spans="1:79" ht="12.75" x14ac:dyDescent="0.2">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row>
    <row r="858" spans="1:79" ht="12.75" x14ac:dyDescent="0.2">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row>
    <row r="859" spans="1:79" ht="12.75" x14ac:dyDescent="0.2">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row>
    <row r="860" spans="1:79" ht="12.75" x14ac:dyDescent="0.2">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row>
    <row r="861" spans="1:79" ht="12.75" x14ac:dyDescent="0.2">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row>
    <row r="862" spans="1:79" ht="12.75" x14ac:dyDescent="0.2">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row>
    <row r="863" spans="1:79" ht="12.75" x14ac:dyDescent="0.2">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row>
    <row r="864" spans="1:79" ht="12.75" x14ac:dyDescent="0.2">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row>
    <row r="865" spans="1:79" ht="12.75" x14ac:dyDescent="0.2">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row>
    <row r="866" spans="1:79" ht="12.75" x14ac:dyDescent="0.2">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row>
    <row r="867" spans="1:79" ht="12.75" x14ac:dyDescent="0.2">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row>
    <row r="868" spans="1:79" ht="12.75" x14ac:dyDescent="0.2">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row>
    <row r="869" spans="1:79" ht="12.75" x14ac:dyDescent="0.2">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row>
    <row r="870" spans="1:79" ht="12.75" x14ac:dyDescent="0.2">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row>
    <row r="871" spans="1:79" ht="12.75" x14ac:dyDescent="0.2">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row>
    <row r="872" spans="1:79" ht="12.75" x14ac:dyDescent="0.2">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row>
    <row r="873" spans="1:79" ht="12.75" x14ac:dyDescent="0.2">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row>
    <row r="874" spans="1:79" ht="12.75" x14ac:dyDescent="0.2">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row>
    <row r="875" spans="1:79" ht="12.75" x14ac:dyDescent="0.2">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row>
    <row r="876" spans="1:79" ht="12.75" x14ac:dyDescent="0.2">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row>
    <row r="877" spans="1:79" ht="12.75" x14ac:dyDescent="0.2">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row>
    <row r="878" spans="1:79" ht="12.75" x14ac:dyDescent="0.2">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row>
    <row r="879" spans="1:79" ht="12.75" x14ac:dyDescent="0.2">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row>
    <row r="880" spans="1:79" ht="12.75" x14ac:dyDescent="0.2">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row>
    <row r="881" spans="1:79" ht="12.75" x14ac:dyDescent="0.2">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row>
    <row r="882" spans="1:79" ht="12.75" x14ac:dyDescent="0.2">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row>
    <row r="883" spans="1:79" ht="12.75" x14ac:dyDescent="0.2">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row>
    <row r="884" spans="1:79" ht="12.75" x14ac:dyDescent="0.2">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row>
    <row r="885" spans="1:79" ht="12.75" x14ac:dyDescent="0.2">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row>
    <row r="886" spans="1:79" ht="12.75" x14ac:dyDescent="0.2">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row>
    <row r="887" spans="1:79" ht="12.75" x14ac:dyDescent="0.2">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row>
    <row r="888" spans="1:79" ht="12.75" x14ac:dyDescent="0.2">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row>
    <row r="889" spans="1:79" ht="12.75" x14ac:dyDescent="0.2">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row>
    <row r="890" spans="1:79" ht="12.75" x14ac:dyDescent="0.2">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row>
    <row r="891" spans="1:79" ht="12.75" x14ac:dyDescent="0.2">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row>
    <row r="892" spans="1:79" ht="12.75" x14ac:dyDescent="0.2">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row>
    <row r="893" spans="1:79" ht="12.75" x14ac:dyDescent="0.2">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row>
    <row r="894" spans="1:79" ht="12.75" x14ac:dyDescent="0.2">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row>
    <row r="895" spans="1:79" ht="12.75" x14ac:dyDescent="0.2">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row>
    <row r="896" spans="1:79" ht="12.75" x14ac:dyDescent="0.2">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row>
    <row r="897" spans="1:79" ht="12.75" x14ac:dyDescent="0.2">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row>
    <row r="898" spans="1:79" ht="12.75" x14ac:dyDescent="0.2">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row>
    <row r="899" spans="1:79" ht="12.75" x14ac:dyDescent="0.2">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row>
    <row r="900" spans="1:79" ht="12.75" x14ac:dyDescent="0.2">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row>
    <row r="901" spans="1:79" ht="12.75" x14ac:dyDescent="0.2">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row>
    <row r="902" spans="1:79" ht="12.75" x14ac:dyDescent="0.2">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row>
    <row r="903" spans="1:79" ht="12.75" x14ac:dyDescent="0.2">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row>
    <row r="904" spans="1:79" ht="12.75" x14ac:dyDescent="0.2">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row>
    <row r="905" spans="1:79" ht="12.75" x14ac:dyDescent="0.2">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row>
    <row r="906" spans="1:79" ht="12.75" x14ac:dyDescent="0.2">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row>
    <row r="907" spans="1:79" ht="12.75" x14ac:dyDescent="0.2">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row>
    <row r="908" spans="1:79" ht="12.75" x14ac:dyDescent="0.2">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row>
    <row r="909" spans="1:79" ht="12.75" x14ac:dyDescent="0.2">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row>
    <row r="910" spans="1:79" ht="12.75" x14ac:dyDescent="0.2">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row>
    <row r="911" spans="1:79" ht="12.75" x14ac:dyDescent="0.2">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row>
    <row r="912" spans="1:79" ht="12.75" x14ac:dyDescent="0.2">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row>
    <row r="913" spans="1:79" ht="12.75" x14ac:dyDescent="0.2">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row>
    <row r="914" spans="1:79" ht="12.75" x14ac:dyDescent="0.2">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row>
    <row r="915" spans="1:79" ht="12.75" x14ac:dyDescent="0.2">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row>
    <row r="916" spans="1:79" ht="12.75" x14ac:dyDescent="0.2">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row>
    <row r="917" spans="1:79" ht="12.75" x14ac:dyDescent="0.2">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row>
    <row r="918" spans="1:79" ht="12.75" x14ac:dyDescent="0.2">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row>
    <row r="919" spans="1:79" ht="12.75" x14ac:dyDescent="0.2">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row>
    <row r="920" spans="1:79" ht="12.75" x14ac:dyDescent="0.2">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row>
    <row r="921" spans="1:79" ht="12.75" x14ac:dyDescent="0.2">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row>
    <row r="922" spans="1:79" ht="12.75" x14ac:dyDescent="0.2">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row>
    <row r="923" spans="1:79" ht="12.75" x14ac:dyDescent="0.2">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row>
    <row r="924" spans="1:79" ht="12.75" x14ac:dyDescent="0.2">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row>
    <row r="925" spans="1:79" ht="12.75" x14ac:dyDescent="0.2">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row>
    <row r="926" spans="1:79" ht="12.75" x14ac:dyDescent="0.2">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row>
    <row r="927" spans="1:79" ht="12.75" x14ac:dyDescent="0.2">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row>
    <row r="928" spans="1:79" ht="12.75" x14ac:dyDescent="0.2">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row>
    <row r="929" spans="1:79" ht="12.75" x14ac:dyDescent="0.2">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row>
    <row r="930" spans="1:79" ht="12.75" x14ac:dyDescent="0.2">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row>
    <row r="931" spans="1:79" ht="12.75" x14ac:dyDescent="0.2">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row>
    <row r="932" spans="1:79" ht="12.75" x14ac:dyDescent="0.2">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row>
    <row r="933" spans="1:79" ht="12.75" x14ac:dyDescent="0.2">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row>
    <row r="934" spans="1:79" ht="12.75" x14ac:dyDescent="0.2">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row>
    <row r="935" spans="1:79" ht="12.75" x14ac:dyDescent="0.2">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row>
    <row r="936" spans="1:79" ht="12.75" x14ac:dyDescent="0.2">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row>
    <row r="937" spans="1:79" ht="12.75" x14ac:dyDescent="0.2">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row>
    <row r="938" spans="1:79" ht="12.75" x14ac:dyDescent="0.2">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row>
    <row r="939" spans="1:79" ht="12.75" x14ac:dyDescent="0.2">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row>
    <row r="940" spans="1:79" ht="12.75" x14ac:dyDescent="0.2">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row>
  </sheetData>
  <conditionalFormatting sqref="B2:CA79">
    <cfRule type="cellIs" dxfId="6" priority="1" operator="between">
      <formula>30%</formula>
      <formula>99%</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245"/>
  <sheetViews>
    <sheetView tabSelected="1" topLeftCell="A75" workbookViewId="0">
      <selection activeCell="B88" sqref="B88"/>
    </sheetView>
  </sheetViews>
  <sheetFormatPr defaultColWidth="14.42578125" defaultRowHeight="15.75" customHeight="1" x14ac:dyDescent="0.2"/>
  <sheetData>
    <row r="1" spans="1:79" ht="15.75" customHeight="1" x14ac:dyDescent="0.2">
      <c r="A1" s="13" t="s">
        <v>32</v>
      </c>
      <c r="B1" s="22" t="s">
        <v>31</v>
      </c>
      <c r="C1" s="22" t="s">
        <v>42</v>
      </c>
      <c r="D1" s="22" t="s">
        <v>43</v>
      </c>
      <c r="E1" s="22" t="s">
        <v>44</v>
      </c>
      <c r="F1" s="22" t="s">
        <v>45</v>
      </c>
      <c r="G1" s="22" t="s">
        <v>46</v>
      </c>
      <c r="H1" s="22" t="s">
        <v>47</v>
      </c>
      <c r="I1" s="22" t="s">
        <v>48</v>
      </c>
      <c r="J1" s="22" t="s">
        <v>49</v>
      </c>
      <c r="K1" s="22" t="s">
        <v>50</v>
      </c>
      <c r="L1" s="22" t="s">
        <v>51</v>
      </c>
      <c r="M1" s="22" t="s">
        <v>52</v>
      </c>
      <c r="N1" s="22" t="s">
        <v>53</v>
      </c>
      <c r="O1" s="22" t="s">
        <v>54</v>
      </c>
      <c r="P1" s="22" t="s">
        <v>55</v>
      </c>
      <c r="Q1" s="22" t="s">
        <v>56</v>
      </c>
      <c r="R1" s="22" t="s">
        <v>57</v>
      </c>
      <c r="S1" s="22" t="s">
        <v>58</v>
      </c>
      <c r="T1" s="22" t="s">
        <v>59</v>
      </c>
      <c r="U1" s="22" t="s">
        <v>60</v>
      </c>
      <c r="V1" s="22" t="s">
        <v>61</v>
      </c>
      <c r="W1" s="22" t="s">
        <v>62</v>
      </c>
      <c r="X1" s="22" t="s">
        <v>64</v>
      </c>
      <c r="Y1" s="22" t="s">
        <v>66</v>
      </c>
      <c r="Z1" s="22" t="s">
        <v>69</v>
      </c>
      <c r="AA1" s="22" t="s">
        <v>72</v>
      </c>
      <c r="AB1" s="22" t="s">
        <v>74</v>
      </c>
      <c r="AC1" s="22" t="s">
        <v>76</v>
      </c>
      <c r="AD1" s="22" t="s">
        <v>78</v>
      </c>
      <c r="AE1" s="22" t="s">
        <v>117</v>
      </c>
      <c r="AF1" s="22" t="s">
        <v>80</v>
      </c>
      <c r="AG1" s="22" t="s">
        <v>81</v>
      </c>
      <c r="AH1" s="22" t="s">
        <v>82</v>
      </c>
      <c r="AI1" s="22" t="s">
        <v>83</v>
      </c>
      <c r="AJ1" s="22" t="s">
        <v>84</v>
      </c>
      <c r="AK1" s="22" t="s">
        <v>85</v>
      </c>
      <c r="AL1" s="22" t="s">
        <v>86</v>
      </c>
      <c r="AM1" s="22" t="s">
        <v>87</v>
      </c>
      <c r="AN1" s="22" t="s">
        <v>88</v>
      </c>
      <c r="AO1" s="22" t="s">
        <v>89</v>
      </c>
      <c r="AP1" s="22" t="s">
        <v>93</v>
      </c>
      <c r="AQ1" s="22" t="s">
        <v>94</v>
      </c>
      <c r="AR1" s="22" t="s">
        <v>96</v>
      </c>
      <c r="AS1" s="22" t="s">
        <v>97</v>
      </c>
      <c r="AT1" s="22" t="s">
        <v>98</v>
      </c>
      <c r="AU1" s="22" t="s">
        <v>99</v>
      </c>
      <c r="AV1" s="22" t="s">
        <v>100</v>
      </c>
      <c r="AW1" s="22" t="s">
        <v>101</v>
      </c>
      <c r="AX1" s="22" t="s">
        <v>102</v>
      </c>
      <c r="AY1" s="22" t="s">
        <v>103</v>
      </c>
      <c r="AZ1" s="22" t="s">
        <v>104</v>
      </c>
      <c r="BA1" s="22" t="s">
        <v>105</v>
      </c>
      <c r="BB1" s="22" t="s">
        <v>106</v>
      </c>
      <c r="BC1" s="22" t="s">
        <v>107</v>
      </c>
      <c r="BD1" s="22" t="s">
        <v>108</v>
      </c>
      <c r="BE1" s="22" t="s">
        <v>109</v>
      </c>
      <c r="BF1" s="22" t="s">
        <v>110</v>
      </c>
      <c r="BG1" s="22" t="s">
        <v>111</v>
      </c>
      <c r="BH1" s="22" t="s">
        <v>112</v>
      </c>
      <c r="BI1" s="22" t="s">
        <v>113</v>
      </c>
      <c r="BJ1" s="22" t="s">
        <v>114</v>
      </c>
      <c r="BK1" s="22" t="s">
        <v>115</v>
      </c>
      <c r="BL1" s="22" t="s">
        <v>116</v>
      </c>
      <c r="BM1" s="22" t="s">
        <v>1018</v>
      </c>
      <c r="BN1" s="22" t="s">
        <v>118</v>
      </c>
      <c r="BO1" s="22" t="s">
        <v>119</v>
      </c>
      <c r="BP1" s="22" t="s">
        <v>120</v>
      </c>
      <c r="BQ1" s="22" t="s">
        <v>121</v>
      </c>
      <c r="BR1" s="22" t="s">
        <v>122</v>
      </c>
      <c r="BS1" s="22" t="s">
        <v>123</v>
      </c>
      <c r="BT1" s="22" t="s">
        <v>124</v>
      </c>
      <c r="BU1" s="22" t="s">
        <v>125</v>
      </c>
      <c r="BV1" s="22" t="s">
        <v>126</v>
      </c>
      <c r="BW1" s="22" t="s">
        <v>127</v>
      </c>
      <c r="BX1" s="22" t="s">
        <v>128</v>
      </c>
      <c r="BY1" s="22" t="s">
        <v>129</v>
      </c>
      <c r="BZ1" s="22" t="s">
        <v>130</v>
      </c>
      <c r="CA1" s="22" t="s">
        <v>131</v>
      </c>
    </row>
    <row r="2" spans="1:79" ht="15.75" customHeight="1" x14ac:dyDescent="0.2">
      <c r="A2" s="22" t="s">
        <v>31</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x14ac:dyDescent="0.2">
      <c r="A3" s="22" t="s">
        <v>42</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x14ac:dyDescent="0.2">
      <c r="A4" s="22" t="s">
        <v>43</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x14ac:dyDescent="0.2">
      <c r="A5" s="22" t="s">
        <v>44</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x14ac:dyDescent="0.2">
      <c r="A6" s="22" t="s">
        <v>45</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x14ac:dyDescent="0.2">
      <c r="A7" s="22" t="s">
        <v>46</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x14ac:dyDescent="0.2">
      <c r="A8" s="22" t="s">
        <v>47</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x14ac:dyDescent="0.2">
      <c r="A9" s="22" t="s">
        <v>48</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x14ac:dyDescent="0.2">
      <c r="A10" s="22" t="s">
        <v>49</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x14ac:dyDescent="0.2">
      <c r="A11" s="22" t="s">
        <v>50</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x14ac:dyDescent="0.2">
      <c r="A12" s="22" t="s">
        <v>51</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x14ac:dyDescent="0.2">
      <c r="A13" s="22" t="s">
        <v>52</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x14ac:dyDescent="0.2">
      <c r="A14" s="22" t="s">
        <v>53</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x14ac:dyDescent="0.2">
      <c r="A15" s="22" t="s">
        <v>54</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x14ac:dyDescent="0.2">
      <c r="A16" s="22" t="s">
        <v>55</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x14ac:dyDescent="0.2">
      <c r="A17" s="22" t="s">
        <v>56</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x14ac:dyDescent="0.2">
      <c r="A18" s="22" t="s">
        <v>57</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x14ac:dyDescent="0.2">
      <c r="A19" s="22" t="s">
        <v>58</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x14ac:dyDescent="0.2">
      <c r="A20" s="22" t="s">
        <v>59</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x14ac:dyDescent="0.2">
      <c r="A21" s="22" t="s">
        <v>60</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x14ac:dyDescent="0.2">
      <c r="A22" s="22" t="s">
        <v>61</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x14ac:dyDescent="0.2">
      <c r="A23" s="22" t="s">
        <v>62</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x14ac:dyDescent="0.2">
      <c r="A24" s="22" t="s">
        <v>64</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x14ac:dyDescent="0.2">
      <c r="A25" s="22" t="s">
        <v>66</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x14ac:dyDescent="0.2">
      <c r="A26" s="22" t="s">
        <v>69</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x14ac:dyDescent="0.2">
      <c r="A27" s="22" t="s">
        <v>72</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x14ac:dyDescent="0.2">
      <c r="A28" s="22" t="s">
        <v>74</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x14ac:dyDescent="0.2">
      <c r="A29" s="22" t="s">
        <v>76</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x14ac:dyDescent="0.2">
      <c r="A30" s="22" t="s">
        <v>78</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x14ac:dyDescent="0.2">
      <c r="A31" s="22" t="s">
        <v>117</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x14ac:dyDescent="0.2">
      <c r="A32" s="22" t="s">
        <v>80</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x14ac:dyDescent="0.2">
      <c r="A33" s="22" t="s">
        <v>81</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x14ac:dyDescent="0.2">
      <c r="A34" s="22" t="s">
        <v>82</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x14ac:dyDescent="0.2">
      <c r="A35" s="22" t="s">
        <v>83</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x14ac:dyDescent="0.2">
      <c r="A36" s="22" t="s">
        <v>84</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x14ac:dyDescent="0.2">
      <c r="A37" s="22" t="s">
        <v>85</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x14ac:dyDescent="0.2">
      <c r="A38" s="22" t="s">
        <v>86</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x14ac:dyDescent="0.2">
      <c r="A39" s="22" t="s">
        <v>87</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x14ac:dyDescent="0.2">
      <c r="A40" s="22" t="s">
        <v>88</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x14ac:dyDescent="0.2">
      <c r="A41" s="22" t="s">
        <v>89</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x14ac:dyDescent="0.2">
      <c r="A42" s="22" t="s">
        <v>93</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x14ac:dyDescent="0.2">
      <c r="A43" s="22" t="s">
        <v>94</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4.25" x14ac:dyDescent="0.2">
      <c r="A44" s="22" t="s">
        <v>96</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4.25" x14ac:dyDescent="0.2">
      <c r="A45" s="22" t="s">
        <v>97</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4.25" x14ac:dyDescent="0.2">
      <c r="A46" s="22" t="s">
        <v>98</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4.25" x14ac:dyDescent="0.2">
      <c r="A47" s="22" t="s">
        <v>99</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4.25" x14ac:dyDescent="0.2">
      <c r="A48" s="22" t="s">
        <v>100</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4.25" x14ac:dyDescent="0.2">
      <c r="A49" s="22" t="s">
        <v>101</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4.25" x14ac:dyDescent="0.2">
      <c r="A50" s="22" t="s">
        <v>102</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4.25" x14ac:dyDescent="0.2">
      <c r="A51" s="22" t="s">
        <v>103</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4.25" x14ac:dyDescent="0.2">
      <c r="A52" s="22" t="s">
        <v>104</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4.25" x14ac:dyDescent="0.2">
      <c r="A53" s="22" t="s">
        <v>105</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4.25" x14ac:dyDescent="0.2">
      <c r="A54" s="22" t="s">
        <v>106</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4.25" x14ac:dyDescent="0.2">
      <c r="A55" s="22" t="s">
        <v>107</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4.25" x14ac:dyDescent="0.2">
      <c r="A56" s="22" t="s">
        <v>108</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4.25" x14ac:dyDescent="0.2">
      <c r="A57" s="22" t="s">
        <v>109</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4.25" x14ac:dyDescent="0.2">
      <c r="A58" s="22" t="s">
        <v>110</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4.25" x14ac:dyDescent="0.2">
      <c r="A59" s="22" t="s">
        <v>111</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4.25" x14ac:dyDescent="0.2">
      <c r="A60" s="22" t="s">
        <v>112</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4.25" x14ac:dyDescent="0.2">
      <c r="A61" s="22" t="s">
        <v>113</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4.25" x14ac:dyDescent="0.2">
      <c r="A62" s="22" t="s">
        <v>114</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4.25" x14ac:dyDescent="0.2">
      <c r="A63" s="22" t="s">
        <v>115</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4.25" x14ac:dyDescent="0.2">
      <c r="A64" s="22" t="s">
        <v>116</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4.25" x14ac:dyDescent="0.2">
      <c r="A65" s="22" t="s">
        <v>1018</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4.25" x14ac:dyDescent="0.2">
      <c r="A66" s="22" t="s">
        <v>118</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4.25" x14ac:dyDescent="0.2">
      <c r="A67" s="22" t="s">
        <v>119</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4.25" x14ac:dyDescent="0.2">
      <c r="A68" s="22" t="s">
        <v>120</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4.25" x14ac:dyDescent="0.2">
      <c r="A69" s="22" t="s">
        <v>121</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4.25" x14ac:dyDescent="0.2">
      <c r="A70" s="22" t="s">
        <v>122</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4.25" x14ac:dyDescent="0.2">
      <c r="A71" s="22" t="s">
        <v>123</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4.25" x14ac:dyDescent="0.2">
      <c r="A72" s="22" t="s">
        <v>124</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4.25" x14ac:dyDescent="0.2">
      <c r="A73" s="22" t="s">
        <v>125</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4.25" x14ac:dyDescent="0.2">
      <c r="A74" s="22" t="s">
        <v>126</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4.25" x14ac:dyDescent="0.2">
      <c r="A75" s="22" t="s">
        <v>127</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4.25" x14ac:dyDescent="0.2">
      <c r="A76" s="22" t="s">
        <v>128</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4.25" x14ac:dyDescent="0.2">
      <c r="A77" s="22" t="s">
        <v>129</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4.25" x14ac:dyDescent="0.2">
      <c r="A78" s="22" t="s">
        <v>130</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4.25" x14ac:dyDescent="0.2">
      <c r="A79" s="22" t="s">
        <v>131</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1" spans="1:79" ht="15.75" customHeight="1" x14ac:dyDescent="0.2">
      <c r="J81">
        <f>180/3.14159*60/1.1515</f>
        <v>2985.4534733199016</v>
      </c>
    </row>
    <row r="83" spans="1:79" ht="14.25" x14ac:dyDescent="0.2">
      <c r="A83" s="13" t="s">
        <v>939</v>
      </c>
      <c r="B83" s="22" t="s">
        <v>31</v>
      </c>
      <c r="C83" s="22" t="s">
        <v>42</v>
      </c>
      <c r="D83" s="22" t="s">
        <v>43</v>
      </c>
      <c r="E83" s="22" t="s">
        <v>44</v>
      </c>
      <c r="F83" s="22" t="s">
        <v>45</v>
      </c>
      <c r="G83" s="22" t="s">
        <v>46</v>
      </c>
      <c r="H83" s="22" t="s">
        <v>47</v>
      </c>
      <c r="I83" s="22" t="s">
        <v>48</v>
      </c>
      <c r="J83" s="22" t="s">
        <v>49</v>
      </c>
      <c r="K83" s="22" t="s">
        <v>50</v>
      </c>
      <c r="L83" s="22" t="s">
        <v>51</v>
      </c>
      <c r="M83" s="22" t="s">
        <v>52</v>
      </c>
      <c r="N83" s="22" t="s">
        <v>53</v>
      </c>
      <c r="O83" s="22" t="s">
        <v>54</v>
      </c>
      <c r="P83" s="22" t="s">
        <v>55</v>
      </c>
      <c r="Q83" s="22" t="s">
        <v>56</v>
      </c>
      <c r="R83" s="22" t="s">
        <v>57</v>
      </c>
      <c r="S83" s="22" t="s">
        <v>58</v>
      </c>
      <c r="T83" s="22" t="s">
        <v>59</v>
      </c>
      <c r="U83" s="22" t="s">
        <v>60</v>
      </c>
      <c r="V83" s="22" t="s">
        <v>61</v>
      </c>
      <c r="W83" s="22" t="s">
        <v>62</v>
      </c>
      <c r="X83" s="22" t="s">
        <v>64</v>
      </c>
      <c r="Y83" s="22" t="s">
        <v>66</v>
      </c>
      <c r="Z83" s="22" t="s">
        <v>69</v>
      </c>
      <c r="AA83" s="22" t="s">
        <v>72</v>
      </c>
      <c r="AB83" s="22" t="s">
        <v>74</v>
      </c>
      <c r="AC83" s="22" t="s">
        <v>76</v>
      </c>
      <c r="AD83" s="22" t="s">
        <v>78</v>
      </c>
      <c r="AE83" s="22" t="s">
        <v>117</v>
      </c>
      <c r="AF83" s="22" t="s">
        <v>80</v>
      </c>
      <c r="AG83" s="22" t="s">
        <v>81</v>
      </c>
      <c r="AH83" s="22" t="s">
        <v>82</v>
      </c>
      <c r="AI83" s="22" t="s">
        <v>83</v>
      </c>
      <c r="AJ83" s="22" t="s">
        <v>84</v>
      </c>
      <c r="AK83" s="22" t="s">
        <v>85</v>
      </c>
      <c r="AL83" s="22" t="s">
        <v>86</v>
      </c>
      <c r="AM83" s="22" t="s">
        <v>87</v>
      </c>
      <c r="AN83" s="22" t="s">
        <v>88</v>
      </c>
      <c r="AO83" s="22" t="s">
        <v>89</v>
      </c>
      <c r="AP83" s="22" t="s">
        <v>93</v>
      </c>
      <c r="AQ83" s="22" t="s">
        <v>94</v>
      </c>
      <c r="AR83" s="22" t="s">
        <v>96</v>
      </c>
      <c r="AS83" s="22" t="s">
        <v>97</v>
      </c>
      <c r="AT83" s="22" t="s">
        <v>98</v>
      </c>
      <c r="AU83" s="22" t="s">
        <v>99</v>
      </c>
      <c r="AV83" s="22" t="s">
        <v>100</v>
      </c>
      <c r="AW83" s="22" t="s">
        <v>101</v>
      </c>
      <c r="AX83" s="22" t="s">
        <v>102</v>
      </c>
      <c r="AY83" s="22" t="s">
        <v>103</v>
      </c>
      <c r="AZ83" s="22" t="s">
        <v>104</v>
      </c>
      <c r="BA83" s="22" t="s">
        <v>105</v>
      </c>
      <c r="BB83" s="22" t="s">
        <v>106</v>
      </c>
      <c r="BC83" s="22" t="s">
        <v>107</v>
      </c>
      <c r="BD83" s="22" t="s">
        <v>108</v>
      </c>
      <c r="BE83" s="22" t="s">
        <v>109</v>
      </c>
      <c r="BF83" s="22" t="s">
        <v>110</v>
      </c>
      <c r="BG83" s="22" t="s">
        <v>111</v>
      </c>
      <c r="BH83" s="22" t="s">
        <v>112</v>
      </c>
      <c r="BI83" s="22" t="s">
        <v>113</v>
      </c>
      <c r="BJ83" s="22" t="s">
        <v>114</v>
      </c>
      <c r="BK83" s="22" t="s">
        <v>115</v>
      </c>
      <c r="BL83" s="22" t="s">
        <v>116</v>
      </c>
      <c r="BM83" s="22" t="s">
        <v>1018</v>
      </c>
      <c r="BN83" s="22" t="s">
        <v>118</v>
      </c>
      <c r="BO83" s="22" t="s">
        <v>119</v>
      </c>
      <c r="BP83" s="22" t="s">
        <v>120</v>
      </c>
      <c r="BQ83" s="22" t="s">
        <v>121</v>
      </c>
      <c r="BR83" s="22" t="s">
        <v>122</v>
      </c>
      <c r="BS83" s="22" t="s">
        <v>123</v>
      </c>
      <c r="BT83" s="22" t="s">
        <v>124</v>
      </c>
      <c r="BU83" s="22" t="s">
        <v>125</v>
      </c>
      <c r="BV83" s="22" t="s">
        <v>126</v>
      </c>
      <c r="BW83" s="22" t="s">
        <v>127</v>
      </c>
      <c r="BX83" s="22" t="s">
        <v>128</v>
      </c>
      <c r="BY83" s="22" t="s">
        <v>129</v>
      </c>
      <c r="BZ83" s="22" t="s">
        <v>130</v>
      </c>
      <c r="CA83" s="22" t="s">
        <v>131</v>
      </c>
    </row>
    <row r="84" spans="1:79" ht="14.25" x14ac:dyDescent="0.2">
      <c r="A84" s="30" t="s">
        <v>31</v>
      </c>
      <c r="B84" s="33">
        <f>IF($A84=B$83, 0, distance(VLOOKUP($A84,Cuision!$G:$P,9,FALSE),VLOOKUP($A84,Cuision!$G:$P,10,FALSE),VLOOKUP(B$83,Cuision!$G:$P,9,FALSE),VLOOKUP(B$83,Cuision!$G:$P,10,FALSE)))</f>
        <v>0</v>
      </c>
      <c r="C84" s="33">
        <f>IF($A84=C$83, 0, distance(VLOOKUP($A84,Cuision!$G:$P,9,FALSE),VLOOKUP($A84,Cuision!$G:$P,10,FALSE),VLOOKUP(C$83,Cuision!$G:$P,9,FALSE),VLOOKUP(C$83,Cuision!$G:$P,10,FALSE)))</f>
        <v>3753.632381561737</v>
      </c>
      <c r="D84" s="33">
        <f>IF($A84=D$83, 0, distance(VLOOKUP($A84,Cuision!$G:$P,9,FALSE),VLOOKUP($A84,Cuision!$G:$P,10,FALSE),VLOOKUP(D$83,Cuision!$G:$P,9,FALSE),VLOOKUP(D$83,Cuision!$G:$P,10,FALSE)))</f>
        <v>6922.0195865768437</v>
      </c>
      <c r="E84" s="33">
        <f>IF($A84=E$83, 0, distance(VLOOKUP($A84,Cuision!$G:$P,9,FALSE),VLOOKUP($A84,Cuision!$G:$P,10,FALSE),VLOOKUP(E$83,Cuision!$G:$P,9,FALSE),VLOOKUP(E$83,Cuision!$G:$P,10,FALSE)))</f>
        <v>6922.0195865768437</v>
      </c>
      <c r="F84" s="33">
        <f>IF($A84=F$83, 0, distance(VLOOKUP($A84,Cuision!$G:$P,9,FALSE),VLOOKUP($A84,Cuision!$G:$P,10,FALSE),VLOOKUP(F$83,Cuision!$G:$P,9,FALSE),VLOOKUP(F$83,Cuision!$G:$P,10,FALSE)))</f>
        <v>1597.3737268087282</v>
      </c>
      <c r="G84" s="33">
        <f>IF($A84=G$83, 0, distance(VLOOKUP($A84,Cuision!$G:$P,9,FALSE),VLOOKUP($A84,Cuision!$G:$P,10,FALSE),VLOOKUP(G$83,Cuision!$G:$P,9,FALSE),VLOOKUP(G$83,Cuision!$G:$P,10,FALSE)))</f>
        <v>9487.6764570485284</v>
      </c>
      <c r="H84" s="33">
        <f>IF($A84=H$83, 0, distance(VLOOKUP($A84,Cuision!$G:$P,9,FALSE),VLOOKUP($A84,Cuision!$G:$P,10,FALSE),VLOOKUP(H$83,Cuision!$G:$P,9,FALSE),VLOOKUP(H$83,Cuision!$G:$P,10,FALSE)))</f>
        <v>1404.2451942483176</v>
      </c>
      <c r="I84" s="33">
        <f>IF($A84=I$83, 0, distance(VLOOKUP($A84,Cuision!$G:$P,9,FALSE),VLOOKUP($A84,Cuision!$G:$P,10,FALSE),VLOOKUP(I$83,Cuision!$G:$P,9,FALSE),VLOOKUP(I$83,Cuision!$G:$P,10,FALSE)))</f>
        <v>1788.2361881412367</v>
      </c>
      <c r="J84" s="33">
        <f>IF($A84=J$83, 0, distance(VLOOKUP($A84,Cuision!$G:$P,9,FALSE),VLOOKUP($A84,Cuision!$G:$P,10,FALSE),VLOOKUP(J$83,Cuision!$G:$P,9,FALSE),VLOOKUP(J$83,Cuision!$G:$P,10,FALSE)))</f>
        <v>7056.220355946708</v>
      </c>
      <c r="K84" s="33">
        <f>IF($A84=K$83, 0, distance(VLOOKUP($A84,Cuision!$G:$P,9,FALSE),VLOOKUP($A84,Cuision!$G:$P,10,FALSE),VLOOKUP(K$83,Cuision!$G:$P,9,FALSE),VLOOKUP(K$83,Cuision!$G:$P,10,FALSE)))</f>
        <v>2833.6172301353777</v>
      </c>
      <c r="L84" s="33">
        <f>IF($A84=L$83, 0, distance(VLOOKUP($A84,Cuision!$G:$P,9,FALSE),VLOOKUP($A84,Cuision!$G:$P,10,FALSE),VLOOKUP(L$83,Cuision!$G:$P,9,FALSE),VLOOKUP(L$83,Cuision!$G:$P,10,FALSE)))</f>
        <v>1479.3096854144896</v>
      </c>
      <c r="M84" s="33">
        <f>IF($A84=M$83, 0, distance(VLOOKUP($A84,Cuision!$G:$P,9,FALSE),VLOOKUP($A84,Cuision!$G:$P,10,FALSE),VLOOKUP(M$83,Cuision!$G:$P,9,FALSE),VLOOKUP(M$83,Cuision!$G:$P,10,FALSE)))</f>
        <v>-1</v>
      </c>
      <c r="N84" s="33">
        <f>IF($A84=N$83, 0, distance(VLOOKUP($A84,Cuision!$G:$P,9,FALSE),VLOOKUP($A84,Cuision!$G:$P,10,FALSE),VLOOKUP(N$83,Cuision!$G:$P,9,FALSE),VLOOKUP(N$83,Cuision!$G:$P,10,FALSE)))</f>
        <v>3902.0380014748603</v>
      </c>
      <c r="O84" s="33">
        <f>IF($A84=O$83, 0, distance(VLOOKUP($A84,Cuision!$G:$P,9,FALSE),VLOOKUP($A84,Cuision!$G:$P,10,FALSE),VLOOKUP(O$83,Cuision!$G:$P,9,FALSE),VLOOKUP(O$83,Cuision!$G:$P,10,FALSE)))</f>
        <v>3360.0776149168523</v>
      </c>
      <c r="P84" s="33">
        <f>IF($A84=P$83, 0, distance(VLOOKUP($A84,Cuision!$G:$P,9,FALSE),VLOOKUP($A84,Cuision!$G:$P,10,FALSE),VLOOKUP(P$83,Cuision!$G:$P,9,FALSE),VLOOKUP(P$83,Cuision!$G:$P,10,FALSE)))</f>
        <v>8361.081380464846</v>
      </c>
      <c r="Q84" s="33">
        <f>IF($A84=Q$83, 0, distance(VLOOKUP($A84,Cuision!$G:$P,9,FALSE),VLOOKUP($A84,Cuision!$G:$P,10,FALSE),VLOOKUP(Q$83,Cuision!$G:$P,9,FALSE),VLOOKUP(Q$83,Cuision!$G:$P,10,FALSE)))</f>
        <v>-1</v>
      </c>
      <c r="R84" s="33">
        <f>IF($A84=R$83, 0, distance(VLOOKUP($A84,Cuision!$G:$P,9,FALSE),VLOOKUP($A84,Cuision!$G:$P,10,FALSE),VLOOKUP(R$83,Cuision!$G:$P,9,FALSE),VLOOKUP(R$83,Cuision!$G:$P,10,FALSE)))</f>
        <v>3545.9953210408289</v>
      </c>
      <c r="S84" s="33">
        <f>IF($A84=S$83, 0, distance(VLOOKUP($A84,Cuision!$G:$P,9,FALSE),VLOOKUP($A84,Cuision!$G:$P,10,FALSE),VLOOKUP(S$83,Cuision!$G:$P,9,FALSE),VLOOKUP(S$83,Cuision!$G:$P,10,FALSE)))</f>
        <v>-1</v>
      </c>
      <c r="T84" s="33">
        <f>IF($A84=T$83, 0, distance(VLOOKUP($A84,Cuision!$G:$P,9,FALSE),VLOOKUP($A84,Cuision!$G:$P,10,FALSE),VLOOKUP(T$83,Cuision!$G:$P,9,FALSE),VLOOKUP(T$83,Cuision!$G:$P,10,FALSE)))</f>
        <v>1937.0449580610471</v>
      </c>
      <c r="U84" s="33">
        <f>IF($A84=U$83, 0, distance(VLOOKUP($A84,Cuision!$G:$P,9,FALSE),VLOOKUP($A84,Cuision!$G:$P,10,FALSE),VLOOKUP(U$83,Cuision!$G:$P,9,FALSE),VLOOKUP(U$83,Cuision!$G:$P,10,FALSE)))</f>
        <v>-1</v>
      </c>
      <c r="V84" s="33">
        <f>IF($A84=V$83, 0, distance(VLOOKUP($A84,Cuision!$G:$P,9,FALSE),VLOOKUP($A84,Cuision!$G:$P,10,FALSE),VLOOKUP(V$83,Cuision!$G:$P,9,FALSE),VLOOKUP(V$83,Cuision!$G:$P,10,FALSE)))</f>
        <v>6922.0195865768437</v>
      </c>
      <c r="W84" s="33">
        <f>IF($A84=W$83, 0, distance(VLOOKUP($A84,Cuision!$G:$P,9,FALSE),VLOOKUP($A84,Cuision!$G:$P,10,FALSE),VLOOKUP(W$83,Cuision!$G:$P,9,FALSE),VLOOKUP(W$83,Cuision!$G:$P,10,FALSE)))</f>
        <v>2747.655958889849</v>
      </c>
      <c r="X84" s="33">
        <f>IF($A84=X$83, 0, distance(VLOOKUP($A84,Cuision!$G:$P,9,FALSE),VLOOKUP($A84,Cuision!$G:$P,10,FALSE),VLOOKUP(X$83,Cuision!$G:$P,9,FALSE),VLOOKUP(X$83,Cuision!$G:$P,10,FALSE)))</f>
        <v>3902.0380014748603</v>
      </c>
      <c r="Y84" s="33">
        <f>IF($A84=Y$83, 0, distance(VLOOKUP($A84,Cuision!$G:$P,9,FALSE),VLOOKUP($A84,Cuision!$G:$P,10,FALSE),VLOOKUP(Y$83,Cuision!$G:$P,9,FALSE),VLOOKUP(Y$83,Cuision!$G:$P,10,FALSE)))</f>
        <v>2594.5740814390215</v>
      </c>
      <c r="Z84" s="33">
        <f>IF($A84=Z$83, 0, distance(VLOOKUP($A84,Cuision!$G:$P,9,FALSE),VLOOKUP($A84,Cuision!$G:$P,10,FALSE),VLOOKUP(Z$83,Cuision!$G:$P,9,FALSE),VLOOKUP(Z$83,Cuision!$G:$P,10,FALSE)))</f>
        <v>-1</v>
      </c>
      <c r="AA84" s="33">
        <f>IF($A84=AA$83, 0, distance(VLOOKUP($A84,Cuision!$G:$P,9,FALSE),VLOOKUP($A84,Cuision!$G:$P,10,FALSE),VLOOKUP(AA$83,Cuision!$G:$P,9,FALSE),VLOOKUP(AA$83,Cuision!$G:$P,10,FALSE)))</f>
        <v>8036.8335168959429</v>
      </c>
      <c r="AB84" s="33">
        <f>IF($A84=AB$83, 0, distance(VLOOKUP($A84,Cuision!$G:$P,9,FALSE),VLOOKUP($A84,Cuision!$G:$P,10,FALSE),VLOOKUP(AB$83,Cuision!$G:$P,9,FALSE),VLOOKUP(AB$83,Cuision!$G:$P,10,FALSE)))</f>
        <v>2921.2317534631065</v>
      </c>
      <c r="AC84" s="33">
        <f>IF($A84=AC$83, 0, distance(VLOOKUP($A84,Cuision!$G:$P,9,FALSE),VLOOKUP($A84,Cuision!$G:$P,10,FALSE),VLOOKUP(AC$83,Cuision!$G:$P,9,FALSE),VLOOKUP(AC$83,Cuision!$G:$P,10,FALSE)))</f>
        <v>2609.3617306481137</v>
      </c>
      <c r="AD84" s="33">
        <f>IF($A84=AD$83, 0, distance(VLOOKUP($A84,Cuision!$G:$P,9,FALSE),VLOOKUP($A84,Cuision!$G:$P,10,FALSE),VLOOKUP(AD$83,Cuision!$G:$P,9,FALSE),VLOOKUP(AD$83,Cuision!$G:$P,10,FALSE)))</f>
        <v>3490.5482565296907</v>
      </c>
      <c r="AE84" s="33">
        <f>IF($A84=AE$83, 0, distance(VLOOKUP($A84,Cuision!$G:$P,9,FALSE),VLOOKUP($A84,Cuision!$G:$P,10,FALSE),VLOOKUP(AE$83,Cuision!$G:$P,9,FALSE),VLOOKUP(AE$83,Cuision!$G:$P,10,FALSE)))</f>
        <v>3084.6729377501283</v>
      </c>
      <c r="AF84" s="33">
        <f>IF($A84=AF$83, 0, distance(VLOOKUP($A84,Cuision!$G:$P,9,FALSE),VLOOKUP($A84,Cuision!$G:$P,10,FALSE),VLOOKUP(AF$83,Cuision!$G:$P,9,FALSE),VLOOKUP(AF$83,Cuision!$G:$P,10,FALSE)))</f>
        <v>3467.8146994718327</v>
      </c>
      <c r="AG84" s="33">
        <f>IF($A84=AG$83, 0, distance(VLOOKUP($A84,Cuision!$G:$P,9,FALSE),VLOOKUP($A84,Cuision!$G:$P,10,FALSE),VLOOKUP(AG$83,Cuision!$G:$P,9,FALSE),VLOOKUP(AG$83,Cuision!$G:$P,10,FALSE)))</f>
        <v>2967.8272217075946</v>
      </c>
      <c r="AH84" s="33">
        <f>IF($A84=AH$83, 0, distance(VLOOKUP($A84,Cuision!$G:$P,9,FALSE),VLOOKUP($A84,Cuision!$G:$P,10,FALSE),VLOOKUP(AH$83,Cuision!$G:$P,9,FALSE),VLOOKUP(AH$83,Cuision!$G:$P,10,FALSE)))</f>
        <v>-1</v>
      </c>
      <c r="AI84" s="33">
        <f>IF($A84=AI$83, 0, distance(VLOOKUP($A84,Cuision!$G:$P,9,FALSE),VLOOKUP($A84,Cuision!$G:$P,10,FALSE),VLOOKUP(AI$83,Cuision!$G:$P,9,FALSE),VLOOKUP(AI$83,Cuision!$G:$P,10,FALSE)))</f>
        <v>2518.3474567963881</v>
      </c>
      <c r="AJ84" s="33">
        <f>IF($A84=AJ$83, 0, distance(VLOOKUP($A84,Cuision!$G:$P,9,FALSE),VLOOKUP($A84,Cuision!$G:$P,10,FALSE),VLOOKUP(AJ$83,Cuision!$G:$P,9,FALSE),VLOOKUP(AJ$83,Cuision!$G:$P,10,FALSE)))</f>
        <v>1597.3737268087282</v>
      </c>
      <c r="AK84" s="33">
        <f>IF($A84=AK$83, 0, distance(VLOOKUP($A84,Cuision!$G:$P,9,FALSE),VLOOKUP($A84,Cuision!$G:$P,10,FALSE),VLOOKUP(AK$83,Cuision!$G:$P,9,FALSE),VLOOKUP(AK$83,Cuision!$G:$P,10,FALSE)))</f>
        <v>7664.0847664028179</v>
      </c>
      <c r="AL84" s="33">
        <f>IF($A84=AL$83, 0, distance(VLOOKUP($A84,Cuision!$G:$P,9,FALSE),VLOOKUP($A84,Cuision!$G:$P,10,FALSE),VLOOKUP(AL$83,Cuision!$G:$P,9,FALSE),VLOOKUP(AL$83,Cuision!$G:$P,10,FALSE)))</f>
        <v>1063.6434721314754</v>
      </c>
      <c r="AM84" s="33">
        <f>IF($A84=AM$83, 0, distance(VLOOKUP($A84,Cuision!$G:$P,9,FALSE),VLOOKUP($A84,Cuision!$G:$P,10,FALSE),VLOOKUP(AM$83,Cuision!$G:$P,9,FALSE),VLOOKUP(AM$83,Cuision!$G:$P,10,FALSE)))</f>
        <v>-1</v>
      </c>
      <c r="AN84" s="33">
        <f>IF($A84=AN$83, 0, distance(VLOOKUP($A84,Cuision!$G:$P,9,FALSE),VLOOKUP($A84,Cuision!$G:$P,10,FALSE),VLOOKUP(AN$83,Cuision!$G:$P,9,FALSE),VLOOKUP(AN$83,Cuision!$G:$P,10,FALSE)))</f>
        <v>2709.8256959710302</v>
      </c>
      <c r="AO84" s="33">
        <f>IF($A84=AO$83, 0, distance(VLOOKUP($A84,Cuision!$G:$P,9,FALSE),VLOOKUP($A84,Cuision!$G:$P,10,FALSE),VLOOKUP(AO$83,Cuision!$G:$P,9,FALSE),VLOOKUP(AO$83,Cuision!$G:$P,10,FALSE)))</f>
        <v>3902.0380014748603</v>
      </c>
      <c r="AP84" s="33">
        <f>IF($A84=AP$83, 0, distance(VLOOKUP($A84,Cuision!$G:$P,9,FALSE),VLOOKUP($A84,Cuision!$G:$P,10,FALSE),VLOOKUP(AP$83,Cuision!$G:$P,9,FALSE),VLOOKUP(AP$83,Cuision!$G:$P,10,FALSE)))</f>
        <v>624.13852236301557</v>
      </c>
      <c r="AQ84" s="33">
        <f>IF($A84=AQ$83, 0, distance(VLOOKUP($A84,Cuision!$G:$P,9,FALSE),VLOOKUP($A84,Cuision!$G:$P,10,FALSE),VLOOKUP(AQ$83,Cuision!$G:$P,9,FALSE),VLOOKUP(AQ$83,Cuision!$G:$P,10,FALSE)))</f>
        <v>3735.3525308344369</v>
      </c>
      <c r="AR84" s="33">
        <f>IF($A84=AR$83, 0, distance(VLOOKUP($A84,Cuision!$G:$P,9,FALSE),VLOOKUP($A84,Cuision!$G:$P,10,FALSE),VLOOKUP(AR$83,Cuision!$G:$P,9,FALSE),VLOOKUP(AR$83,Cuision!$G:$P,10,FALSE)))</f>
        <v>3545.9953210408289</v>
      </c>
      <c r="AS84" s="33">
        <f>IF($A84=AS$83, 0, distance(VLOOKUP($A84,Cuision!$G:$P,9,FALSE),VLOOKUP($A84,Cuision!$G:$P,10,FALSE),VLOOKUP(AS$83,Cuision!$G:$P,9,FALSE),VLOOKUP(AS$83,Cuision!$G:$P,10,FALSE)))</f>
        <v>3063.0585802632713</v>
      </c>
      <c r="AT84" s="33">
        <f>IF($A84=AT$83, 0, distance(VLOOKUP($A84,Cuision!$G:$P,9,FALSE),VLOOKUP($A84,Cuision!$G:$P,10,FALSE),VLOOKUP(AT$83,Cuision!$G:$P,9,FALSE),VLOOKUP(AT$83,Cuision!$G:$P,10,FALSE)))</f>
        <v>3894.6225396117247</v>
      </c>
      <c r="AU84" s="33">
        <f>IF($A84=AU$83, 0, distance(VLOOKUP($A84,Cuision!$G:$P,9,FALSE),VLOOKUP($A84,Cuision!$G:$P,10,FALSE),VLOOKUP(AU$83,Cuision!$G:$P,9,FALSE),VLOOKUP(AU$83,Cuision!$G:$P,10,FALSE)))</f>
        <v>3184.6396000156947</v>
      </c>
      <c r="AV84" s="33">
        <f>IF($A84=AV$83, 0, distance(VLOOKUP($A84,Cuision!$G:$P,9,FALSE),VLOOKUP($A84,Cuision!$G:$P,10,FALSE),VLOOKUP(AV$83,Cuision!$G:$P,9,FALSE),VLOOKUP(AV$83,Cuision!$G:$P,10,FALSE)))</f>
        <v>2107.6371275519468</v>
      </c>
      <c r="AW84" s="33">
        <f>IF($A84=AW$83, 0, distance(VLOOKUP($A84,Cuision!$G:$P,9,FALSE),VLOOKUP($A84,Cuision!$G:$P,10,FALSE),VLOOKUP(AW$83,Cuision!$G:$P,9,FALSE),VLOOKUP(AW$83,Cuision!$G:$P,10,FALSE)))</f>
        <v>2350.2053545656568</v>
      </c>
      <c r="AX84" s="33">
        <f>IF($A84=AX$83, 0, distance(VLOOKUP($A84,Cuision!$G:$P,9,FALSE),VLOOKUP($A84,Cuision!$G:$P,10,FALSE),VLOOKUP(AX$83,Cuision!$G:$P,9,FALSE),VLOOKUP(AX$83,Cuision!$G:$P,10,FALSE)))</f>
        <v>8654.2483375393822</v>
      </c>
      <c r="AY84" s="33">
        <f>IF($A84=AY$83, 0, distance(VLOOKUP($A84,Cuision!$G:$P,9,FALSE),VLOOKUP($A84,Cuision!$G:$P,10,FALSE),VLOOKUP(AY$83,Cuision!$G:$P,9,FALSE),VLOOKUP(AY$83,Cuision!$G:$P,10,FALSE)))</f>
        <v>-1</v>
      </c>
      <c r="AZ84" s="33">
        <f>IF($A84=AZ$83, 0, distance(VLOOKUP($A84,Cuision!$G:$P,9,FALSE),VLOOKUP($A84,Cuision!$G:$P,10,FALSE),VLOOKUP(AZ$83,Cuision!$G:$P,9,FALSE),VLOOKUP(AZ$83,Cuision!$G:$P,10,FALSE)))</f>
        <v>3009.5074532830222</v>
      </c>
      <c r="BA84" s="33">
        <f>IF($A84=BA$83, 0, distance(VLOOKUP($A84,Cuision!$G:$P,9,FALSE),VLOOKUP($A84,Cuision!$G:$P,10,FALSE),VLOOKUP(BA$83,Cuision!$G:$P,9,FALSE),VLOOKUP(BA$83,Cuision!$G:$P,10,FALSE)))</f>
        <v>2876.70890187334</v>
      </c>
      <c r="BB84" s="33">
        <f>IF($A84=BB$83, 0, distance(VLOOKUP($A84,Cuision!$G:$P,9,FALSE),VLOOKUP($A84,Cuision!$G:$P,10,FALSE),VLOOKUP(BB$83,Cuision!$G:$P,9,FALSE),VLOOKUP(BB$83,Cuision!$G:$P,10,FALSE)))</f>
        <v>8629.6402749537083</v>
      </c>
      <c r="BC84" s="33">
        <f>IF($A84=BC$83, 0, distance(VLOOKUP($A84,Cuision!$G:$P,9,FALSE),VLOOKUP($A84,Cuision!$G:$P,10,FALSE),VLOOKUP(BC$83,Cuision!$G:$P,9,FALSE),VLOOKUP(BC$83,Cuision!$G:$P,10,FALSE)))</f>
        <v>1597.3737268087282</v>
      </c>
      <c r="BD84" s="33">
        <f>IF($A84=BD$83, 0, distance(VLOOKUP($A84,Cuision!$G:$P,9,FALSE),VLOOKUP($A84,Cuision!$G:$P,10,FALSE),VLOOKUP(BD$83,Cuision!$G:$P,9,FALSE),VLOOKUP(BD$83,Cuision!$G:$P,10,FALSE)))</f>
        <v>2139.1606865506892</v>
      </c>
      <c r="BE84" s="33">
        <f>IF($A84=BE$83, 0, distance(VLOOKUP($A84,Cuision!$G:$P,9,FALSE),VLOOKUP($A84,Cuision!$G:$P,10,FALSE),VLOOKUP(BE$83,Cuision!$G:$P,9,FALSE),VLOOKUP(BE$83,Cuision!$G:$P,10,FALSE)))</f>
        <v>4226.0053181165931</v>
      </c>
      <c r="BF84" s="33">
        <f>IF($A84=BF$83, 0, distance(VLOOKUP($A84,Cuision!$G:$P,9,FALSE),VLOOKUP($A84,Cuision!$G:$P,10,FALSE),VLOOKUP(BF$83,Cuision!$G:$P,9,FALSE),VLOOKUP(BF$83,Cuision!$G:$P,10,FALSE)))</f>
        <v>228.28799733819278</v>
      </c>
      <c r="BG84" s="33">
        <f>IF($A84=BG$83, 0, distance(VLOOKUP($A84,Cuision!$G:$P,9,FALSE),VLOOKUP($A84,Cuision!$G:$P,10,FALSE),VLOOKUP(BG$83,Cuision!$G:$P,9,FALSE),VLOOKUP(BG$83,Cuision!$G:$P,10,FALSE)))</f>
        <v>1005.0355974391759</v>
      </c>
      <c r="BH84" s="33">
        <f>IF($A84=BH$83, 0, distance(VLOOKUP($A84,Cuision!$G:$P,9,FALSE),VLOOKUP($A84,Cuision!$G:$P,10,FALSE),VLOOKUP(BH$83,Cuision!$G:$P,9,FALSE),VLOOKUP(BH$83,Cuision!$G:$P,10,FALSE)))</f>
        <v>9809.2278942604244</v>
      </c>
      <c r="BI84" s="33">
        <f>IF($A84=BI$83, 0, distance(VLOOKUP($A84,Cuision!$G:$P,9,FALSE),VLOOKUP($A84,Cuision!$G:$P,10,FALSE),VLOOKUP(BI$83,Cuision!$G:$P,9,FALSE),VLOOKUP(BI$83,Cuision!$G:$P,10,FALSE)))</f>
        <v>2646.8925726926414</v>
      </c>
      <c r="BJ84" s="33">
        <f>IF($A84=BJ$83, 0, distance(VLOOKUP($A84,Cuision!$G:$P,9,FALSE),VLOOKUP($A84,Cuision!$G:$P,10,FALSE),VLOOKUP(BJ$83,Cuision!$G:$P,9,FALSE),VLOOKUP(BJ$83,Cuision!$G:$P,10,FALSE)))</f>
        <v>4214.0383498075198</v>
      </c>
      <c r="BK84" s="33">
        <f>IF($A84=BK$83, 0, distance(VLOOKUP($A84,Cuision!$G:$P,9,FALSE),VLOOKUP($A84,Cuision!$G:$P,10,FALSE),VLOOKUP(BK$83,Cuision!$G:$P,9,FALSE),VLOOKUP(BK$83,Cuision!$G:$P,10,FALSE)))</f>
        <v>2091.3371789759003</v>
      </c>
      <c r="BL84" s="33">
        <f>IF($A84=BL$83, 0, distance(VLOOKUP($A84,Cuision!$G:$P,9,FALSE),VLOOKUP($A84,Cuision!$G:$P,10,FALSE),VLOOKUP(BL$83,Cuision!$G:$P,9,FALSE),VLOOKUP(BL$83,Cuision!$G:$P,10,FALSE)))</f>
        <v>-1</v>
      </c>
      <c r="BM84" s="33">
        <f>IF($A84=BM$83, 0, distance(VLOOKUP($A84,Cuision!$G:$P,9,FALSE),VLOOKUP($A84,Cuision!$G:$P,10,FALSE),VLOOKUP(BM$83,Cuision!$G:$P,9,FALSE),VLOOKUP(BM$83,Cuision!$G:$P,10,FALSE)))</f>
        <v>-1</v>
      </c>
      <c r="BN84" s="33">
        <f>IF($A84=BN$83, 0, distance(VLOOKUP($A84,Cuision!$G:$P,9,FALSE),VLOOKUP($A84,Cuision!$G:$P,10,FALSE),VLOOKUP(BN$83,Cuision!$G:$P,9,FALSE),VLOOKUP(BN$83,Cuision!$G:$P,10,FALSE)))</f>
        <v>3545.9953210408289</v>
      </c>
      <c r="BO84" s="33">
        <f>IF($A84=BO$83, 0, distance(VLOOKUP($A84,Cuision!$G:$P,9,FALSE),VLOOKUP($A84,Cuision!$G:$P,10,FALSE),VLOOKUP(BO$83,Cuision!$G:$P,9,FALSE),VLOOKUP(BO$83,Cuision!$G:$P,10,FALSE)))</f>
        <v>3203.3697399766083</v>
      </c>
      <c r="BP84" s="33">
        <f>IF($A84=BP$83, 0, distance(VLOOKUP($A84,Cuision!$G:$P,9,FALSE),VLOOKUP($A84,Cuision!$G:$P,10,FALSE),VLOOKUP(BP$83,Cuision!$G:$P,9,FALSE),VLOOKUP(BP$83,Cuision!$G:$P,10,FALSE)))</f>
        <v>2799.5499667722061</v>
      </c>
      <c r="BQ84" s="33">
        <f>IF($A84=BQ$83, 0, distance(VLOOKUP($A84,Cuision!$G:$P,9,FALSE),VLOOKUP($A84,Cuision!$G:$P,10,FALSE),VLOOKUP(BQ$83,Cuision!$G:$P,9,FALSE),VLOOKUP(BQ$83,Cuision!$G:$P,10,FALSE)))</f>
        <v>-1</v>
      </c>
      <c r="BR84" s="33">
        <f>IF($A84=BR$83, 0, distance(VLOOKUP($A84,Cuision!$G:$P,9,FALSE),VLOOKUP($A84,Cuision!$G:$P,10,FALSE),VLOOKUP(BR$83,Cuision!$G:$P,9,FALSE),VLOOKUP(BR$83,Cuision!$G:$P,10,FALSE)))</f>
        <v>6922.0195865768437</v>
      </c>
      <c r="BS84" s="33">
        <f>IF($A84=BS$83, 0, distance(VLOOKUP($A84,Cuision!$G:$P,9,FALSE),VLOOKUP($A84,Cuision!$G:$P,10,FALSE),VLOOKUP(BS$83,Cuision!$G:$P,9,FALSE),VLOOKUP(BS$83,Cuision!$G:$P,10,FALSE)))</f>
        <v>2594.5740814390215</v>
      </c>
      <c r="BT84" s="33">
        <f>IF($A84=BT$83, 0, distance(VLOOKUP($A84,Cuision!$G:$P,9,FALSE),VLOOKUP($A84,Cuision!$G:$P,10,FALSE),VLOOKUP(BT$83,Cuision!$G:$P,9,FALSE),VLOOKUP(BT$83,Cuision!$G:$P,10,FALSE)))</f>
        <v>3902.0380014748603</v>
      </c>
      <c r="BU84" s="33">
        <f>IF($A84=BU$83, 0, distance(VLOOKUP($A84,Cuision!$G:$P,9,FALSE),VLOOKUP($A84,Cuision!$G:$P,10,FALSE),VLOOKUP(BU$83,Cuision!$G:$P,9,FALSE),VLOOKUP(BU$83,Cuision!$G:$P,10,FALSE)))</f>
        <v>2424.252747616817</v>
      </c>
      <c r="BV84" s="33">
        <f>IF($A84=BV$83, 0, distance(VLOOKUP($A84,Cuision!$G:$P,9,FALSE),VLOOKUP($A84,Cuision!$G:$P,10,FALSE),VLOOKUP(BV$83,Cuision!$G:$P,9,FALSE),VLOOKUP(BV$83,Cuision!$G:$P,10,FALSE)))</f>
        <v>2018.1938460273584</v>
      </c>
      <c r="BW84" s="33">
        <f>IF($A84=BW$83, 0, distance(VLOOKUP($A84,Cuision!$G:$P,9,FALSE),VLOOKUP($A84,Cuision!$G:$P,10,FALSE),VLOOKUP(BW$83,Cuision!$G:$P,9,FALSE),VLOOKUP(BW$83,Cuision!$G:$P,10,FALSE)))</f>
        <v>2220.5500795290318</v>
      </c>
      <c r="BX84" s="33">
        <f>IF($A84=BX$83, 0, distance(VLOOKUP($A84,Cuision!$G:$P,9,FALSE),VLOOKUP($A84,Cuision!$G:$P,10,FALSE),VLOOKUP(BX$83,Cuision!$G:$P,9,FALSE),VLOOKUP(BX$83,Cuision!$G:$P,10,FALSE)))</f>
        <v>464.98366529207152</v>
      </c>
      <c r="BY84" s="33">
        <f>IF($A84=BY$83, 0, distance(VLOOKUP($A84,Cuision!$G:$P,9,FALSE),VLOOKUP($A84,Cuision!$G:$P,10,FALSE),VLOOKUP(BY$83,Cuision!$G:$P,9,FALSE),VLOOKUP(BY$83,Cuision!$G:$P,10,FALSE)))</f>
        <v>-1</v>
      </c>
      <c r="BZ84" s="33">
        <f>IF($A84=BZ$83, 0, distance(VLOOKUP($A84,Cuision!$G:$P,9,FALSE),VLOOKUP($A84,Cuision!$G:$P,10,FALSE),VLOOKUP(BZ$83,Cuision!$G:$P,9,FALSE),VLOOKUP(BZ$83,Cuision!$G:$P,10,FALSE)))</f>
        <v>-1</v>
      </c>
      <c r="CA84" s="33">
        <f>IF($A84=CA$83, 0, distance(VLOOKUP($A84,Cuision!$G:$P,9,FALSE),VLOOKUP($A84,Cuision!$G:$P,10,FALSE),VLOOKUP(CA$83,Cuision!$G:$P,9,FALSE),VLOOKUP(CA$83,Cuision!$G:$P,10,FALSE)))</f>
        <v>2411.3674663989377</v>
      </c>
    </row>
    <row r="85" spans="1:79" ht="14.25" x14ac:dyDescent="0.2">
      <c r="A85" s="30" t="s">
        <v>42</v>
      </c>
      <c r="B85" s="33">
        <f>IF($A85=B$83, 0, distance(VLOOKUP($A85,Cuision!$G:$P,9,FALSE),VLOOKUP($A85,Cuision!$G:$P,10,FALSE),VLOOKUP(B$83,Cuision!$G:$P,9,FALSE),VLOOKUP(B$83,Cuision!$G:$P,10,FALSE)))</f>
        <v>3753.632381561737</v>
      </c>
      <c r="C85" s="33">
        <f>IF($A85=C$83, 0, distance(VLOOKUP($A85,Cuision!$G:$P,9,FALSE),VLOOKUP($A85,Cuision!$G:$P,10,FALSE),VLOOKUP(C$83,Cuision!$G:$P,9,FALSE),VLOOKUP(C$83,Cuision!$G:$P,10,FALSE)))</f>
        <v>0</v>
      </c>
      <c r="D85" s="33">
        <f>IF($A85=D$83, 0, distance(VLOOKUP($A85,Cuision!$G:$P,9,FALSE),VLOOKUP($A85,Cuision!$G:$P,10,FALSE),VLOOKUP(D$83,Cuision!$G:$P,9,FALSE),VLOOKUP(D$83,Cuision!$G:$P,10,FALSE)))</f>
        <v>7754.1850184220366</v>
      </c>
      <c r="E85" s="33">
        <f>IF($A85=E$83, 0, distance(VLOOKUP($A85,Cuision!$G:$P,9,FALSE),VLOOKUP($A85,Cuision!$G:$P,10,FALSE),VLOOKUP(E$83,Cuision!$G:$P,9,FALSE),VLOOKUP(E$83,Cuision!$G:$P,10,FALSE)))</f>
        <v>7754.1850184220366</v>
      </c>
      <c r="F85" s="33">
        <f>IF($A85=F$83, 0, distance(VLOOKUP($A85,Cuision!$G:$P,9,FALSE),VLOOKUP($A85,Cuision!$G:$P,10,FALSE),VLOOKUP(F$83,Cuision!$G:$P,9,FALSE),VLOOKUP(F$83,Cuision!$G:$P,10,FALSE)))</f>
        <v>2685.0028308407723</v>
      </c>
      <c r="G85" s="33">
        <f>IF($A85=G$83, 0, distance(VLOOKUP($A85,Cuision!$G:$P,9,FALSE),VLOOKUP($A85,Cuision!$G:$P,10,FALSE),VLOOKUP(G$83,Cuision!$G:$P,9,FALSE),VLOOKUP(G$83,Cuision!$G:$P,10,FALSE)))</f>
        <v>6036.9698707560456</v>
      </c>
      <c r="H85" s="33">
        <f>IF($A85=H$83, 0, distance(VLOOKUP($A85,Cuision!$G:$P,9,FALSE),VLOOKUP($A85,Cuision!$G:$P,10,FALSE),VLOOKUP(H$83,Cuision!$G:$P,9,FALSE),VLOOKUP(H$83,Cuision!$G:$P,10,FALSE)))</f>
        <v>3442.6948472879476</v>
      </c>
      <c r="I85" s="33">
        <f>IF($A85=I$83, 0, distance(VLOOKUP($A85,Cuision!$G:$P,9,FALSE),VLOOKUP($A85,Cuision!$G:$P,10,FALSE),VLOOKUP(I$83,Cuision!$G:$P,9,FALSE),VLOOKUP(I$83,Cuision!$G:$P,10,FALSE)))</f>
        <v>5233.7304109176312</v>
      </c>
      <c r="J85" s="33">
        <f>IF($A85=J$83, 0, distance(VLOOKUP($A85,Cuision!$G:$P,9,FALSE),VLOOKUP($A85,Cuision!$G:$P,10,FALSE),VLOOKUP(J$83,Cuision!$G:$P,9,FALSE),VLOOKUP(J$83,Cuision!$G:$P,10,FALSE)))</f>
        <v>7209.8628457801879</v>
      </c>
      <c r="K85" s="33">
        <f>IF($A85=K$83, 0, distance(VLOOKUP($A85,Cuision!$G:$P,9,FALSE),VLOOKUP($A85,Cuision!$G:$P,10,FALSE),VLOOKUP(K$83,Cuision!$G:$P,9,FALSE),VLOOKUP(K$83,Cuision!$G:$P,10,FALSE)))</f>
        <v>4090.2739062141964</v>
      </c>
      <c r="L85" s="33">
        <f>IF($A85=L$83, 0, distance(VLOOKUP($A85,Cuision!$G:$P,9,FALSE),VLOOKUP($A85,Cuision!$G:$P,10,FALSE),VLOOKUP(L$83,Cuision!$G:$P,9,FALSE),VLOOKUP(L$83,Cuision!$G:$P,10,FALSE)))</f>
        <v>4388.6306895211255</v>
      </c>
      <c r="M85" s="33">
        <f>IF($A85=M$83, 0, distance(VLOOKUP($A85,Cuision!$G:$P,9,FALSE),VLOOKUP($A85,Cuision!$G:$P,10,FALSE),VLOOKUP(M$83,Cuision!$G:$P,9,FALSE),VLOOKUP(M$83,Cuision!$G:$P,10,FALSE)))</f>
        <v>-1</v>
      </c>
      <c r="N85" s="33">
        <f>IF($A85=N$83, 0, distance(VLOOKUP($A85,Cuision!$G:$P,9,FALSE),VLOOKUP($A85,Cuision!$G:$P,10,FALSE),VLOOKUP(N$83,Cuision!$G:$P,9,FALSE),VLOOKUP(N$83,Cuision!$G:$P,10,FALSE)))</f>
        <v>4181.0014510469164</v>
      </c>
      <c r="O85" s="33">
        <f>IF($A85=O$83, 0, distance(VLOOKUP($A85,Cuision!$G:$P,9,FALSE),VLOOKUP($A85,Cuision!$G:$P,10,FALSE),VLOOKUP(O$83,Cuision!$G:$P,9,FALSE),VLOOKUP(O$83,Cuision!$G:$P,10,FALSE)))</f>
        <v>4497.5861148668246</v>
      </c>
      <c r="P85" s="33">
        <f>IF($A85=P$83, 0, distance(VLOOKUP($A85,Cuision!$G:$P,9,FALSE),VLOOKUP($A85,Cuision!$G:$P,10,FALSE),VLOOKUP(P$83,Cuision!$G:$P,9,FALSE),VLOOKUP(P$83,Cuision!$G:$P,10,FALSE)))</f>
        <v>5555.2303576305831</v>
      </c>
      <c r="Q85" s="33">
        <f>IF($A85=Q$83, 0, distance(VLOOKUP($A85,Cuision!$G:$P,9,FALSE),VLOOKUP($A85,Cuision!$G:$P,10,FALSE),VLOOKUP(Q$83,Cuision!$G:$P,9,FALSE),VLOOKUP(Q$83,Cuision!$G:$P,10,FALSE)))</f>
        <v>-1</v>
      </c>
      <c r="R85" s="33">
        <f>IF($A85=R$83, 0, distance(VLOOKUP($A85,Cuision!$G:$P,9,FALSE),VLOOKUP($A85,Cuision!$G:$P,10,FALSE),VLOOKUP(R$83,Cuision!$G:$P,9,FALSE),VLOOKUP(R$83,Cuision!$G:$P,10,FALSE)))</f>
        <v>4647.0290979849078</v>
      </c>
      <c r="S85" s="33">
        <f>IF($A85=S$83, 0, distance(VLOOKUP($A85,Cuision!$G:$P,9,FALSE),VLOOKUP($A85,Cuision!$G:$P,10,FALSE),VLOOKUP(S$83,Cuision!$G:$P,9,FALSE),VLOOKUP(S$83,Cuision!$G:$P,10,FALSE)))</f>
        <v>-1</v>
      </c>
      <c r="T85" s="33">
        <f>IF($A85=T$83, 0, distance(VLOOKUP($A85,Cuision!$G:$P,9,FALSE),VLOOKUP($A85,Cuision!$G:$P,10,FALSE),VLOOKUP(T$83,Cuision!$G:$P,9,FALSE),VLOOKUP(T$83,Cuision!$G:$P,10,FALSE)))</f>
        <v>4630.0609009506625</v>
      </c>
      <c r="U85" s="33">
        <f>IF($A85=U$83, 0, distance(VLOOKUP($A85,Cuision!$G:$P,9,FALSE),VLOOKUP($A85,Cuision!$G:$P,10,FALSE),VLOOKUP(U$83,Cuision!$G:$P,9,FALSE),VLOOKUP(U$83,Cuision!$G:$P,10,FALSE)))</f>
        <v>-1</v>
      </c>
      <c r="V85" s="33">
        <f>IF($A85=V$83, 0, distance(VLOOKUP($A85,Cuision!$G:$P,9,FALSE),VLOOKUP($A85,Cuision!$G:$P,10,FALSE),VLOOKUP(V$83,Cuision!$G:$P,9,FALSE),VLOOKUP(V$83,Cuision!$G:$P,10,FALSE)))</f>
        <v>7754.1850184220366</v>
      </c>
      <c r="W85" s="33">
        <f>IF($A85=W$83, 0, distance(VLOOKUP($A85,Cuision!$G:$P,9,FALSE),VLOOKUP($A85,Cuision!$G:$P,10,FALSE),VLOOKUP(W$83,Cuision!$G:$P,9,FALSE),VLOOKUP(W$83,Cuision!$G:$P,10,FALSE)))</f>
        <v>5036.7823856621471</v>
      </c>
      <c r="X85" s="33">
        <f>IF($A85=X$83, 0, distance(VLOOKUP($A85,Cuision!$G:$P,9,FALSE),VLOOKUP($A85,Cuision!$G:$P,10,FALSE),VLOOKUP(X$83,Cuision!$G:$P,9,FALSE),VLOOKUP(X$83,Cuision!$G:$P,10,FALSE)))</f>
        <v>4181.0014510469164</v>
      </c>
      <c r="Y85" s="33">
        <f>IF($A85=Y$83, 0, distance(VLOOKUP($A85,Cuision!$G:$P,9,FALSE),VLOOKUP($A85,Cuision!$G:$P,10,FALSE),VLOOKUP(Y$83,Cuision!$G:$P,9,FALSE),VLOOKUP(Y$83,Cuision!$G:$P,10,FALSE)))</f>
        <v>6182.6476563965662</v>
      </c>
      <c r="Z85" s="33">
        <f>IF($A85=Z$83, 0, distance(VLOOKUP($A85,Cuision!$G:$P,9,FALSE),VLOOKUP($A85,Cuision!$G:$P,10,FALSE),VLOOKUP(Z$83,Cuision!$G:$P,9,FALSE),VLOOKUP(Z$83,Cuision!$G:$P,10,FALSE)))</f>
        <v>-1</v>
      </c>
      <c r="AA85" s="33">
        <f>IF($A85=AA$83, 0, distance(VLOOKUP($A85,Cuision!$G:$P,9,FALSE),VLOOKUP($A85,Cuision!$G:$P,10,FALSE),VLOOKUP(AA$83,Cuision!$G:$P,9,FALSE),VLOOKUP(AA$83,Cuision!$G:$P,10,FALSE)))</f>
        <v>8159.5049661241283</v>
      </c>
      <c r="AB85" s="33">
        <f>IF($A85=AB$83, 0, distance(VLOOKUP($A85,Cuision!$G:$P,9,FALSE),VLOOKUP($A85,Cuision!$G:$P,10,FALSE),VLOOKUP(AB$83,Cuision!$G:$P,9,FALSE),VLOOKUP(AB$83,Cuision!$G:$P,10,FALSE)))</f>
        <v>4243.6238348096449</v>
      </c>
      <c r="AC85" s="33">
        <f>IF($A85=AC$83, 0, distance(VLOOKUP($A85,Cuision!$G:$P,9,FALSE),VLOOKUP($A85,Cuision!$G:$P,10,FALSE),VLOOKUP(AC$83,Cuision!$G:$P,9,FALSE),VLOOKUP(AC$83,Cuision!$G:$P,10,FALSE)))</f>
        <v>1264.1748477239596</v>
      </c>
      <c r="AD85" s="33">
        <f>IF($A85=AD$83, 0, distance(VLOOKUP($A85,Cuision!$G:$P,9,FALSE),VLOOKUP($A85,Cuision!$G:$P,10,FALSE),VLOOKUP(AD$83,Cuision!$G:$P,9,FALSE),VLOOKUP(AD$83,Cuision!$G:$P,10,FALSE)))</f>
        <v>6137.4597585595648</v>
      </c>
      <c r="AE85" s="33">
        <f>IF($A85=AE$83, 0, distance(VLOOKUP($A85,Cuision!$G:$P,9,FALSE),VLOOKUP($A85,Cuision!$G:$P,10,FALSE),VLOOKUP(AE$83,Cuision!$G:$P,9,FALSE),VLOOKUP(AE$83,Cuision!$G:$P,10,FALSE)))</f>
        <v>5051.0476876773982</v>
      </c>
      <c r="AF85" s="33">
        <f>IF($A85=AF$83, 0, distance(VLOOKUP($A85,Cuision!$G:$P,9,FALSE),VLOOKUP($A85,Cuision!$G:$P,10,FALSE),VLOOKUP(AF$83,Cuision!$G:$P,9,FALSE),VLOOKUP(AF$83,Cuision!$G:$P,10,FALSE)))</f>
        <v>4434.1088443156877</v>
      </c>
      <c r="AG85" s="33">
        <f>IF($A85=AG$83, 0, distance(VLOOKUP($A85,Cuision!$G:$P,9,FALSE),VLOOKUP($A85,Cuision!$G:$P,10,FALSE),VLOOKUP(AG$83,Cuision!$G:$P,9,FALSE),VLOOKUP(AG$83,Cuision!$G:$P,10,FALSE)))</f>
        <v>4415.1918362670658</v>
      </c>
      <c r="AH85" s="33">
        <f>IF($A85=AH$83, 0, distance(VLOOKUP($A85,Cuision!$G:$P,9,FALSE),VLOOKUP($A85,Cuision!$G:$P,10,FALSE),VLOOKUP(AH$83,Cuision!$G:$P,9,FALSE),VLOOKUP(AH$83,Cuision!$G:$P,10,FALSE)))</f>
        <v>-1</v>
      </c>
      <c r="AI85" s="33">
        <f>IF($A85=AI$83, 0, distance(VLOOKUP($A85,Cuision!$G:$P,9,FALSE),VLOOKUP($A85,Cuision!$G:$P,10,FALSE),VLOOKUP(AI$83,Cuision!$G:$P,9,FALSE),VLOOKUP(AI$83,Cuision!$G:$P,10,FALSE)))</f>
        <v>3305.0344120636182</v>
      </c>
      <c r="AJ85" s="33">
        <f>IF($A85=AJ$83, 0, distance(VLOOKUP($A85,Cuision!$G:$P,9,FALSE),VLOOKUP($A85,Cuision!$G:$P,10,FALSE),VLOOKUP(AJ$83,Cuision!$G:$P,9,FALSE),VLOOKUP(AJ$83,Cuision!$G:$P,10,FALSE)))</f>
        <v>2685.0028308407723</v>
      </c>
      <c r="AK85" s="33">
        <f>IF($A85=AK$83, 0, distance(VLOOKUP($A85,Cuision!$G:$P,9,FALSE),VLOOKUP($A85,Cuision!$G:$P,10,FALSE),VLOOKUP(AK$83,Cuision!$G:$P,9,FALSE),VLOOKUP(AK$83,Cuision!$G:$P,10,FALSE)))</f>
        <v>11414.403954411808</v>
      </c>
      <c r="AL85" s="33">
        <f>IF($A85=AL$83, 0, distance(VLOOKUP($A85,Cuision!$G:$P,9,FALSE),VLOOKUP($A85,Cuision!$G:$P,10,FALSE),VLOOKUP(AL$83,Cuision!$G:$P,9,FALSE),VLOOKUP(AL$83,Cuision!$G:$P,10,FALSE)))</f>
        <v>4227.5696442858225</v>
      </c>
      <c r="AM85" s="33">
        <f>IF($A85=AM$83, 0, distance(VLOOKUP($A85,Cuision!$G:$P,9,FALSE),VLOOKUP($A85,Cuision!$G:$P,10,FALSE),VLOOKUP(AM$83,Cuision!$G:$P,9,FALSE),VLOOKUP(AM$83,Cuision!$G:$P,10,FALSE)))</f>
        <v>-1</v>
      </c>
      <c r="AN85" s="33">
        <f>IF($A85=AN$83, 0, distance(VLOOKUP($A85,Cuision!$G:$P,9,FALSE),VLOOKUP($A85,Cuision!$G:$P,10,FALSE),VLOOKUP(AN$83,Cuision!$G:$P,9,FALSE),VLOOKUP(AN$83,Cuision!$G:$P,10,FALSE)))</f>
        <v>4002.623723808671</v>
      </c>
      <c r="AO85" s="33">
        <f>IF($A85=AO$83, 0, distance(VLOOKUP($A85,Cuision!$G:$P,9,FALSE),VLOOKUP($A85,Cuision!$G:$P,10,FALSE),VLOOKUP(AO$83,Cuision!$G:$P,9,FALSE),VLOOKUP(AO$83,Cuision!$G:$P,10,FALSE)))</f>
        <v>4181.0014510469164</v>
      </c>
      <c r="AP85" s="33">
        <f>IF($A85=AP$83, 0, distance(VLOOKUP($A85,Cuision!$G:$P,9,FALSE),VLOOKUP($A85,Cuision!$G:$P,10,FALSE),VLOOKUP(AP$83,Cuision!$G:$P,9,FALSE),VLOOKUP(AP$83,Cuision!$G:$P,10,FALSE)))</f>
        <v>3845.4313183948452</v>
      </c>
      <c r="AQ85" s="33">
        <f>IF($A85=AQ$83, 0, distance(VLOOKUP($A85,Cuision!$G:$P,9,FALSE),VLOOKUP($A85,Cuision!$G:$P,10,FALSE),VLOOKUP(AQ$83,Cuision!$G:$P,9,FALSE),VLOOKUP(AQ$83,Cuision!$G:$P,10,FALSE)))</f>
        <v>4951.4508885365158</v>
      </c>
      <c r="AR85" s="33">
        <f>IF($A85=AR$83, 0, distance(VLOOKUP($A85,Cuision!$G:$P,9,FALSE),VLOOKUP($A85,Cuision!$G:$P,10,FALSE),VLOOKUP(AR$83,Cuision!$G:$P,9,FALSE),VLOOKUP(AR$83,Cuision!$G:$P,10,FALSE)))</f>
        <v>4647.0290979849078</v>
      </c>
      <c r="AS85" s="33">
        <f>IF($A85=AS$83, 0, distance(VLOOKUP($A85,Cuision!$G:$P,9,FALSE),VLOOKUP($A85,Cuision!$G:$P,10,FALSE),VLOOKUP(AS$83,Cuision!$G:$P,9,FALSE),VLOOKUP(AS$83,Cuision!$G:$P,10,FALSE)))</f>
        <v>3768.6527369555938</v>
      </c>
      <c r="AT85" s="33">
        <f>IF($A85=AT$83, 0, distance(VLOOKUP($A85,Cuision!$G:$P,9,FALSE),VLOOKUP($A85,Cuision!$G:$P,10,FALSE),VLOOKUP(AT$83,Cuision!$G:$P,9,FALSE),VLOOKUP(AT$83,Cuision!$G:$P,10,FALSE)))</f>
        <v>7421.2640398501426</v>
      </c>
      <c r="AU85" s="33">
        <f>IF($A85=AU$83, 0, distance(VLOOKUP($A85,Cuision!$G:$P,9,FALSE),VLOOKUP($A85,Cuision!$G:$P,10,FALSE),VLOOKUP(AU$83,Cuision!$G:$P,9,FALSE),VLOOKUP(AU$83,Cuision!$G:$P,10,FALSE)))</f>
        <v>6721.7260820304</v>
      </c>
      <c r="AV85" s="33">
        <f>IF($A85=AV$83, 0, distance(VLOOKUP($A85,Cuision!$G:$P,9,FALSE),VLOOKUP($A85,Cuision!$G:$P,10,FALSE),VLOOKUP(AV$83,Cuision!$G:$P,9,FALSE),VLOOKUP(AV$83,Cuision!$G:$P,10,FALSE)))</f>
        <v>3046.1203898562262</v>
      </c>
      <c r="AW85" s="33">
        <f>IF($A85=AW$83, 0, distance(VLOOKUP($A85,Cuision!$G:$P,9,FALSE),VLOOKUP($A85,Cuision!$G:$P,10,FALSE),VLOOKUP(AW$83,Cuision!$G:$P,9,FALSE),VLOOKUP(AW$83,Cuision!$G:$P,10,FALSE)))</f>
        <v>4996.7889905142601</v>
      </c>
      <c r="AX85" s="33">
        <f>IF($A85=AX$83, 0, distance(VLOOKUP($A85,Cuision!$G:$P,9,FALSE),VLOOKUP($A85,Cuision!$G:$P,10,FALSE),VLOOKUP(AX$83,Cuision!$G:$P,9,FALSE),VLOOKUP(AX$83,Cuision!$G:$P,10,FALSE)))</f>
        <v>6568.2962057268405</v>
      </c>
      <c r="AY85" s="33">
        <f>IF($A85=AY$83, 0, distance(VLOOKUP($A85,Cuision!$G:$P,9,FALSE),VLOOKUP($A85,Cuision!$G:$P,10,FALSE),VLOOKUP(AY$83,Cuision!$G:$P,9,FALSE),VLOOKUP(AY$83,Cuision!$G:$P,10,FALSE)))</f>
        <v>-1</v>
      </c>
      <c r="AZ85" s="33">
        <f>IF($A85=AZ$83, 0, distance(VLOOKUP($A85,Cuision!$G:$P,9,FALSE),VLOOKUP($A85,Cuision!$G:$P,10,FALSE),VLOOKUP(AZ$83,Cuision!$G:$P,9,FALSE),VLOOKUP(AZ$83,Cuision!$G:$P,10,FALSE)))</f>
        <v>4699.3165583085374</v>
      </c>
      <c r="BA85" s="33">
        <f>IF($A85=BA$83, 0, distance(VLOOKUP($A85,Cuision!$G:$P,9,FALSE),VLOOKUP($A85,Cuision!$G:$P,10,FALSE),VLOOKUP(BA$83,Cuision!$G:$P,9,FALSE),VLOOKUP(BA$83,Cuision!$G:$P,10,FALSE)))</f>
        <v>3181.8790815348866</v>
      </c>
      <c r="BB85" s="33">
        <f>IF($A85=BB$83, 0, distance(VLOOKUP($A85,Cuision!$G:$P,9,FALSE),VLOOKUP($A85,Cuision!$G:$P,10,FALSE),VLOOKUP(BB$83,Cuision!$G:$P,9,FALSE),VLOOKUP(BB$83,Cuision!$G:$P,10,FALSE)))</f>
        <v>9254.2571687512627</v>
      </c>
      <c r="BC85" s="33">
        <f>IF($A85=BC$83, 0, distance(VLOOKUP($A85,Cuision!$G:$P,9,FALSE),VLOOKUP($A85,Cuision!$G:$P,10,FALSE),VLOOKUP(BC$83,Cuision!$G:$P,9,FALSE),VLOOKUP(BC$83,Cuision!$G:$P,10,FALSE)))</f>
        <v>2685.0028308407723</v>
      </c>
      <c r="BD85" s="33">
        <f>IF($A85=BD$83, 0, distance(VLOOKUP($A85,Cuision!$G:$P,9,FALSE),VLOOKUP($A85,Cuision!$G:$P,10,FALSE),VLOOKUP(BD$83,Cuision!$G:$P,9,FALSE),VLOOKUP(BD$83,Cuision!$G:$P,10,FALSE)))</f>
        <v>5872.0742797875755</v>
      </c>
      <c r="BE85" s="33">
        <f>IF($A85=BE$83, 0, distance(VLOOKUP($A85,Cuision!$G:$P,9,FALSE),VLOOKUP($A85,Cuision!$G:$P,10,FALSE),VLOOKUP(BE$83,Cuision!$G:$P,9,FALSE),VLOOKUP(BE$83,Cuision!$G:$P,10,FALSE)))</f>
        <v>4008.347494455702</v>
      </c>
      <c r="BF85" s="33">
        <f>IF($A85=BF$83, 0, distance(VLOOKUP($A85,Cuision!$G:$P,9,FALSE),VLOOKUP($A85,Cuision!$G:$P,10,FALSE),VLOOKUP(BF$83,Cuision!$G:$P,9,FALSE),VLOOKUP(BF$83,Cuision!$G:$P,10,FALSE)))</f>
        <v>3873.4883802325439</v>
      </c>
      <c r="BG85" s="33">
        <f>IF($A85=BG$83, 0, distance(VLOOKUP($A85,Cuision!$G:$P,9,FALSE),VLOOKUP($A85,Cuision!$G:$P,10,FALSE),VLOOKUP(BG$83,Cuision!$G:$P,9,FALSE),VLOOKUP(BG$83,Cuision!$G:$P,10,FALSE)))</f>
        <v>3264.1427729232128</v>
      </c>
      <c r="BH85" s="33">
        <f>IF($A85=BH$83, 0, distance(VLOOKUP($A85,Cuision!$G:$P,9,FALSE),VLOOKUP($A85,Cuision!$G:$P,10,FALSE),VLOOKUP(BH$83,Cuision!$G:$P,9,FALSE),VLOOKUP(BH$83,Cuision!$G:$P,10,FALSE)))</f>
        <v>7520.0156746629646</v>
      </c>
      <c r="BI85" s="33">
        <f>IF($A85=BI$83, 0, distance(VLOOKUP($A85,Cuision!$G:$P,9,FALSE),VLOOKUP($A85,Cuision!$G:$P,10,FALSE),VLOOKUP(BI$83,Cuision!$G:$P,9,FALSE),VLOOKUP(BI$83,Cuision!$G:$P,10,FALSE)))</f>
        <v>4290.6805634270131</v>
      </c>
      <c r="BJ85" s="33">
        <f>IF($A85=BJ$83, 0, distance(VLOOKUP($A85,Cuision!$G:$P,9,FALSE),VLOOKUP($A85,Cuision!$G:$P,10,FALSE),VLOOKUP(BJ$83,Cuision!$G:$P,9,FALSE),VLOOKUP(BJ$83,Cuision!$G:$P,10,FALSE)))</f>
        <v>4314.723391324771</v>
      </c>
      <c r="BK85" s="33">
        <f>IF($A85=BK$83, 0, distance(VLOOKUP($A85,Cuision!$G:$P,9,FALSE),VLOOKUP($A85,Cuision!$G:$P,10,FALSE),VLOOKUP(BK$83,Cuision!$G:$P,9,FALSE),VLOOKUP(BK$83,Cuision!$G:$P,10,FALSE)))</f>
        <v>4462.1928054881882</v>
      </c>
      <c r="BL85" s="33">
        <f>IF($A85=BL$83, 0, distance(VLOOKUP($A85,Cuision!$G:$P,9,FALSE),VLOOKUP($A85,Cuision!$G:$P,10,FALSE),VLOOKUP(BL$83,Cuision!$G:$P,9,FALSE),VLOOKUP(BL$83,Cuision!$G:$P,10,FALSE)))</f>
        <v>-1</v>
      </c>
      <c r="BM85" s="33">
        <f>IF($A85=BM$83, 0, distance(VLOOKUP($A85,Cuision!$G:$P,9,FALSE),VLOOKUP($A85,Cuision!$G:$P,10,FALSE),VLOOKUP(BM$83,Cuision!$G:$P,9,FALSE),VLOOKUP(BM$83,Cuision!$G:$P,10,FALSE)))</f>
        <v>-1</v>
      </c>
      <c r="BN85" s="33">
        <f>IF($A85=BN$83, 0, distance(VLOOKUP($A85,Cuision!$G:$P,9,FALSE),VLOOKUP($A85,Cuision!$G:$P,10,FALSE),VLOOKUP(BN$83,Cuision!$G:$P,9,FALSE),VLOOKUP(BN$83,Cuision!$G:$P,10,FALSE)))</f>
        <v>4647.0290979849078</v>
      </c>
      <c r="BO85" s="33">
        <f>IF($A85=BO$83, 0, distance(VLOOKUP($A85,Cuision!$G:$P,9,FALSE),VLOOKUP($A85,Cuision!$G:$P,10,FALSE),VLOOKUP(BO$83,Cuision!$G:$P,9,FALSE),VLOOKUP(BO$83,Cuision!$G:$P,10,FALSE)))</f>
        <v>4823.1728693128061</v>
      </c>
      <c r="BP85" s="33">
        <f>IF($A85=BP$83, 0, distance(VLOOKUP($A85,Cuision!$G:$P,9,FALSE),VLOOKUP($A85,Cuision!$G:$P,10,FALSE),VLOOKUP(BP$83,Cuision!$G:$P,9,FALSE),VLOOKUP(BP$83,Cuision!$G:$P,10,FALSE)))</f>
        <v>4074.4093842233847</v>
      </c>
      <c r="BQ85" s="33">
        <f>IF($A85=BQ$83, 0, distance(VLOOKUP($A85,Cuision!$G:$P,9,FALSE),VLOOKUP($A85,Cuision!$G:$P,10,FALSE),VLOOKUP(BQ$83,Cuision!$G:$P,9,FALSE),VLOOKUP(BQ$83,Cuision!$G:$P,10,FALSE)))</f>
        <v>-1</v>
      </c>
      <c r="BR85" s="33">
        <f>IF($A85=BR$83, 0, distance(VLOOKUP($A85,Cuision!$G:$P,9,FALSE),VLOOKUP($A85,Cuision!$G:$P,10,FALSE),VLOOKUP(BR$83,Cuision!$G:$P,9,FALSE),VLOOKUP(BR$83,Cuision!$G:$P,10,FALSE)))</f>
        <v>7754.1850184220366</v>
      </c>
      <c r="BS85" s="33">
        <f>IF($A85=BS$83, 0, distance(VLOOKUP($A85,Cuision!$G:$P,9,FALSE),VLOOKUP($A85,Cuision!$G:$P,10,FALSE),VLOOKUP(BS$83,Cuision!$G:$P,9,FALSE),VLOOKUP(BS$83,Cuision!$G:$P,10,FALSE)))</f>
        <v>6182.6476563965662</v>
      </c>
      <c r="BT85" s="33">
        <f>IF($A85=BT$83, 0, distance(VLOOKUP($A85,Cuision!$G:$P,9,FALSE),VLOOKUP($A85,Cuision!$G:$P,10,FALSE),VLOOKUP(BT$83,Cuision!$G:$P,9,FALSE),VLOOKUP(BT$83,Cuision!$G:$P,10,FALSE)))</f>
        <v>4181.0014510469164</v>
      </c>
      <c r="BU85" s="33">
        <f>IF($A85=BU$83, 0, distance(VLOOKUP($A85,Cuision!$G:$P,9,FALSE),VLOOKUP($A85,Cuision!$G:$P,10,FALSE),VLOOKUP(BU$83,Cuision!$G:$P,9,FALSE),VLOOKUP(BU$83,Cuision!$G:$P,10,FALSE)))</f>
        <v>4784.5116376627066</v>
      </c>
      <c r="BV85" s="33">
        <f>IF($A85=BV$83, 0, distance(VLOOKUP($A85,Cuision!$G:$P,9,FALSE),VLOOKUP($A85,Cuision!$G:$P,10,FALSE),VLOOKUP(BV$83,Cuision!$G:$P,9,FALSE),VLOOKUP(BV$83,Cuision!$G:$P,10,FALSE)))</f>
        <v>3366.5764493242218</v>
      </c>
      <c r="BW85" s="33">
        <f>IF($A85=BW$83, 0, distance(VLOOKUP($A85,Cuision!$G:$P,9,FALSE),VLOOKUP($A85,Cuision!$G:$P,10,FALSE),VLOOKUP(BW$83,Cuision!$G:$P,9,FALSE),VLOOKUP(BW$83,Cuision!$G:$P,10,FALSE)))</f>
        <v>4099.4393331932497</v>
      </c>
      <c r="BX85" s="33">
        <f>IF($A85=BX$83, 0, distance(VLOOKUP($A85,Cuision!$G:$P,9,FALSE),VLOOKUP($A85,Cuision!$G:$P,10,FALSE),VLOOKUP(BX$83,Cuision!$G:$P,9,FALSE),VLOOKUP(BX$83,Cuision!$G:$P,10,FALSE)))</f>
        <v>4099.5621539312542</v>
      </c>
      <c r="BY85" s="33">
        <f>IF($A85=BY$83, 0, distance(VLOOKUP($A85,Cuision!$G:$P,9,FALSE),VLOOKUP($A85,Cuision!$G:$P,10,FALSE),VLOOKUP(BY$83,Cuision!$G:$P,9,FALSE),VLOOKUP(BY$83,Cuision!$G:$P,10,FALSE)))</f>
        <v>-1</v>
      </c>
      <c r="BZ85" s="33">
        <f>IF($A85=BZ$83, 0, distance(VLOOKUP($A85,Cuision!$G:$P,9,FALSE),VLOOKUP($A85,Cuision!$G:$P,10,FALSE),VLOOKUP(BZ$83,Cuision!$G:$P,9,FALSE),VLOOKUP(BZ$83,Cuision!$G:$P,10,FALSE)))</f>
        <v>-1</v>
      </c>
      <c r="CA85" s="33">
        <f>IF($A85=CA$83, 0, distance(VLOOKUP($A85,Cuision!$G:$P,9,FALSE),VLOOKUP($A85,Cuision!$G:$P,10,FALSE),VLOOKUP(CA$83,Cuision!$G:$P,9,FALSE),VLOOKUP(CA$83,Cuision!$G:$P,10,FALSE)))</f>
        <v>5256.570102831658</v>
      </c>
    </row>
    <row r="86" spans="1:79" ht="14.25" x14ac:dyDescent="0.2">
      <c r="A86" s="30" t="s">
        <v>43</v>
      </c>
      <c r="B86" s="33">
        <f>IF($A86=B$83, 0, distance(VLOOKUP($A86,Cuision!$G:$P,9,FALSE),VLOOKUP($A86,Cuision!$G:$P,10,FALSE),VLOOKUP(B$83,Cuision!$G:$P,9,FALSE),VLOOKUP(B$83,Cuision!$G:$P,10,FALSE)))</f>
        <v>6922.0195865768437</v>
      </c>
      <c r="C86" s="33">
        <f>IF($A86=C$83, 0, distance(VLOOKUP($A86,Cuision!$G:$P,9,FALSE),VLOOKUP($A86,Cuision!$G:$P,10,FALSE),VLOOKUP(C$83,Cuision!$G:$P,9,FALSE),VLOOKUP(C$83,Cuision!$G:$P,10,FALSE)))</f>
        <v>7754.1850184220366</v>
      </c>
      <c r="D86" s="33">
        <f>IF($A86=D$83, 0, distance(VLOOKUP($A86,Cuision!$G:$P,9,FALSE),VLOOKUP($A86,Cuision!$G:$P,10,FALSE),VLOOKUP(D$83,Cuision!$G:$P,9,FALSE),VLOOKUP(D$83,Cuision!$G:$P,10,FALSE)))</f>
        <v>0</v>
      </c>
      <c r="E86" s="33">
        <f>IF($A86=E$83, 0, distance(VLOOKUP($A86,Cuision!$G:$P,9,FALSE),VLOOKUP($A86,Cuision!$G:$P,10,FALSE),VLOOKUP(E$83,Cuision!$G:$P,9,FALSE),VLOOKUP(E$83,Cuision!$G:$P,10,FALSE)))</f>
        <v>0</v>
      </c>
      <c r="F86" s="33">
        <f>IF($A86=F$83, 0, distance(VLOOKUP($A86,Cuision!$G:$P,9,FALSE),VLOOKUP($A86,Cuision!$G:$P,10,FALSE),VLOOKUP(F$83,Cuision!$G:$P,9,FALSE),VLOOKUP(F$83,Cuision!$G:$P,10,FALSE)))</f>
        <v>6328.3267379660138</v>
      </c>
      <c r="G86" s="33">
        <f>IF($A86=G$83, 0, distance(VLOOKUP($A86,Cuision!$G:$P,9,FALSE),VLOOKUP($A86,Cuision!$G:$P,10,FALSE),VLOOKUP(G$83,Cuision!$G:$P,9,FALSE),VLOOKUP(G$83,Cuision!$G:$P,10,FALSE)))</f>
        <v>5217.1202018930744</v>
      </c>
      <c r="H86" s="33">
        <f>IF($A86=H$83, 0, distance(VLOOKUP($A86,Cuision!$G:$P,9,FALSE),VLOOKUP($A86,Cuision!$G:$P,10,FALSE),VLOOKUP(H$83,Cuision!$G:$P,9,FALSE),VLOOKUP(H$83,Cuision!$G:$P,10,FALSE)))</f>
        <v>5845.2890180192007</v>
      </c>
      <c r="I86" s="33">
        <f>IF($A86=I$83, 0, distance(VLOOKUP($A86,Cuision!$G:$P,9,FALSE),VLOOKUP($A86,Cuision!$G:$P,10,FALSE),VLOOKUP(I$83,Cuision!$G:$P,9,FALSE),VLOOKUP(I$83,Cuision!$G:$P,10,FALSE)))</f>
        <v>7394.0053664196539</v>
      </c>
      <c r="J86" s="33">
        <f>IF($A86=J$83, 0, distance(VLOOKUP($A86,Cuision!$G:$P,9,FALSE),VLOOKUP($A86,Cuision!$G:$P,10,FALSE),VLOOKUP(J$83,Cuision!$G:$P,9,FALSE),VLOOKUP(J$83,Cuision!$G:$P,10,FALSE)))</f>
        <v>9906.4615041233737</v>
      </c>
      <c r="K86" s="33">
        <f>IF($A86=K$83, 0, distance(VLOOKUP($A86,Cuision!$G:$P,9,FALSE),VLOOKUP($A86,Cuision!$G:$P,10,FALSE),VLOOKUP(K$83,Cuision!$G:$P,9,FALSE),VLOOKUP(K$83,Cuision!$G:$P,10,FALSE)))</f>
        <v>4426.2279267410295</v>
      </c>
      <c r="L86" s="33">
        <f>IF($A86=L$83, 0, distance(VLOOKUP($A86,Cuision!$G:$P,9,FALSE),VLOOKUP($A86,Cuision!$G:$P,10,FALSE),VLOOKUP(L$83,Cuision!$G:$P,9,FALSE),VLOOKUP(L$83,Cuision!$G:$P,10,FALSE)))</f>
        <v>8034.9392383876966</v>
      </c>
      <c r="M86" s="33">
        <f>IF($A86=M$83, 0, distance(VLOOKUP($A86,Cuision!$G:$P,9,FALSE),VLOOKUP($A86,Cuision!$G:$P,10,FALSE),VLOOKUP(M$83,Cuision!$G:$P,9,FALSE),VLOOKUP(M$83,Cuision!$G:$P,10,FALSE)))</f>
        <v>-1</v>
      </c>
      <c r="N86" s="33">
        <f>IF($A86=N$83, 0, distance(VLOOKUP($A86,Cuision!$G:$P,9,FALSE),VLOOKUP($A86,Cuision!$G:$P,10,FALSE),VLOOKUP(N$83,Cuision!$G:$P,9,FALSE),VLOOKUP(N$83,Cuision!$G:$P,10,FALSE)))</f>
        <v>3783.2693926891457</v>
      </c>
      <c r="O86" s="33">
        <f>IF($A86=O$83, 0, distance(VLOOKUP($A86,Cuision!$G:$P,9,FALSE),VLOOKUP($A86,Cuision!$G:$P,10,FALSE),VLOOKUP(O$83,Cuision!$G:$P,9,FALSE),VLOOKUP(O$83,Cuision!$G:$P,10,FALSE)))</f>
        <v>3862.5991612505318</v>
      </c>
      <c r="P86" s="33">
        <f>IF($A86=P$83, 0, distance(VLOOKUP($A86,Cuision!$G:$P,9,FALSE),VLOOKUP($A86,Cuision!$G:$P,10,FALSE),VLOOKUP(P$83,Cuision!$G:$P,9,FALSE),VLOOKUP(P$83,Cuision!$G:$P,10,FALSE)))</f>
        <v>4220.2104754152506</v>
      </c>
      <c r="Q86" s="33">
        <f>IF($A86=Q$83, 0, distance(VLOOKUP($A86,Cuision!$G:$P,9,FALSE),VLOOKUP($A86,Cuision!$G:$P,10,FALSE),VLOOKUP(Q$83,Cuision!$G:$P,9,FALSE),VLOOKUP(Q$83,Cuision!$G:$P,10,FALSE)))</f>
        <v>-1</v>
      </c>
      <c r="R86" s="33">
        <f>IF($A86=R$83, 0, distance(VLOOKUP($A86,Cuision!$G:$P,9,FALSE),VLOOKUP($A86,Cuision!$G:$P,10,FALSE),VLOOKUP(R$83,Cuision!$G:$P,9,FALSE),VLOOKUP(R$83,Cuision!$G:$P,10,FALSE)))</f>
        <v>3664.7380839482948</v>
      </c>
      <c r="S86" s="33">
        <f>IF($A86=S$83, 0, distance(VLOOKUP($A86,Cuision!$G:$P,9,FALSE),VLOOKUP($A86,Cuision!$G:$P,10,FALSE),VLOOKUP(S$83,Cuision!$G:$P,9,FALSE),VLOOKUP(S$83,Cuision!$G:$P,10,FALSE)))</f>
        <v>-1</v>
      </c>
      <c r="T86" s="33">
        <f>IF($A86=T$83, 0, distance(VLOOKUP($A86,Cuision!$G:$P,9,FALSE),VLOOKUP($A86,Cuision!$G:$P,10,FALSE),VLOOKUP(T$83,Cuision!$G:$P,9,FALSE),VLOOKUP(T$83,Cuision!$G:$P,10,FALSE)))</f>
        <v>8360.0215036814861</v>
      </c>
      <c r="U86" s="33">
        <f>IF($A86=U$83, 0, distance(VLOOKUP($A86,Cuision!$G:$P,9,FALSE),VLOOKUP($A86,Cuision!$G:$P,10,FALSE),VLOOKUP(U$83,Cuision!$G:$P,9,FALSE),VLOOKUP(U$83,Cuision!$G:$P,10,FALSE)))</f>
        <v>-1</v>
      </c>
      <c r="V86" s="33">
        <f>IF($A86=V$83, 0, distance(VLOOKUP($A86,Cuision!$G:$P,9,FALSE),VLOOKUP($A86,Cuision!$G:$P,10,FALSE),VLOOKUP(V$83,Cuision!$G:$P,9,FALSE),VLOOKUP(V$83,Cuision!$G:$P,10,FALSE)))</f>
        <v>0</v>
      </c>
      <c r="W86" s="33">
        <f>IF($A86=W$83, 0, distance(VLOOKUP($A86,Cuision!$G:$P,9,FALSE),VLOOKUP($A86,Cuision!$G:$P,10,FALSE),VLOOKUP(W$83,Cuision!$G:$P,9,FALSE),VLOOKUP(W$83,Cuision!$G:$P,10,FALSE)))</f>
        <v>8947.6293774193964</v>
      </c>
      <c r="X86" s="33">
        <f>IF($A86=X$83, 0, distance(VLOOKUP($A86,Cuision!$G:$P,9,FALSE),VLOOKUP($A86,Cuision!$G:$P,10,FALSE),VLOOKUP(X$83,Cuision!$G:$P,9,FALSE),VLOOKUP(X$83,Cuision!$G:$P,10,FALSE)))</f>
        <v>3783.2693926891457</v>
      </c>
      <c r="Y86" s="33">
        <f>IF($A86=Y$83, 0, distance(VLOOKUP($A86,Cuision!$G:$P,9,FALSE),VLOOKUP($A86,Cuision!$G:$P,10,FALSE),VLOOKUP(Y$83,Cuision!$G:$P,9,FALSE),VLOOKUP(Y$83,Cuision!$G:$P,10,FALSE)))</f>
        <v>6925.3526153099201</v>
      </c>
      <c r="Z86" s="33">
        <f>IF($A86=Z$83, 0, distance(VLOOKUP($A86,Cuision!$G:$P,9,FALSE),VLOOKUP($A86,Cuision!$G:$P,10,FALSE),VLOOKUP(Z$83,Cuision!$G:$P,9,FALSE),VLOOKUP(Z$83,Cuision!$G:$P,10,FALSE)))</f>
        <v>-1</v>
      </c>
      <c r="AA86" s="33">
        <f>IF($A86=AA$83, 0, distance(VLOOKUP($A86,Cuision!$G:$P,9,FALSE),VLOOKUP($A86,Cuision!$G:$P,10,FALSE),VLOOKUP(AA$83,Cuision!$G:$P,9,FALSE),VLOOKUP(AA$83,Cuision!$G:$P,10,FALSE)))</f>
        <v>1133.9119070339707</v>
      </c>
      <c r="AB86" s="33">
        <f>IF($A86=AB$83, 0, distance(VLOOKUP($A86,Cuision!$G:$P,9,FALSE),VLOOKUP($A86,Cuision!$G:$P,10,FALSE),VLOOKUP(AB$83,Cuision!$G:$P,9,FALSE),VLOOKUP(AB$83,Cuision!$G:$P,10,FALSE)))</f>
        <v>4285.8768769408171</v>
      </c>
      <c r="AC86" s="33">
        <f>IF($A86=AC$83, 0, distance(VLOOKUP($A86,Cuision!$G:$P,9,FALSE),VLOOKUP($A86,Cuision!$G:$P,10,FALSE),VLOOKUP(AC$83,Cuision!$G:$P,9,FALSE),VLOOKUP(AC$83,Cuision!$G:$P,10,FALSE)))</f>
        <v>7161.0334431549763</v>
      </c>
      <c r="AD86" s="33">
        <f>IF($A86=AD$83, 0, distance(VLOOKUP($A86,Cuision!$G:$P,9,FALSE),VLOOKUP($A86,Cuision!$G:$P,10,FALSE),VLOOKUP(AD$83,Cuision!$G:$P,9,FALSE),VLOOKUP(AD$83,Cuision!$G:$P,10,FALSE)))</f>
        <v>8560.9016737059901</v>
      </c>
      <c r="AE86" s="33">
        <f>IF($A86=AE$83, 0, distance(VLOOKUP($A86,Cuision!$G:$P,9,FALSE),VLOOKUP($A86,Cuision!$G:$P,10,FALSE),VLOOKUP(AE$83,Cuision!$G:$P,9,FALSE),VLOOKUP(AE$83,Cuision!$G:$P,10,FALSE)))</f>
        <v>3866.1313323118429</v>
      </c>
      <c r="AF86" s="33">
        <f>IF($A86=AF$83, 0, distance(VLOOKUP($A86,Cuision!$G:$P,9,FALSE),VLOOKUP($A86,Cuision!$G:$P,10,FALSE),VLOOKUP(AF$83,Cuision!$G:$P,9,FALSE),VLOOKUP(AF$83,Cuision!$G:$P,10,FALSE)))</f>
        <v>3830.9664587251614</v>
      </c>
      <c r="AG86" s="33">
        <f>IF($A86=AG$83, 0, distance(VLOOKUP($A86,Cuision!$G:$P,9,FALSE),VLOOKUP($A86,Cuision!$G:$P,10,FALSE),VLOOKUP(AG$83,Cuision!$G:$P,9,FALSE),VLOOKUP(AG$83,Cuision!$G:$P,10,FALSE)))</f>
        <v>4169.9898960172895</v>
      </c>
      <c r="AH86" s="33">
        <f>IF($A86=AH$83, 0, distance(VLOOKUP($A86,Cuision!$G:$P,9,FALSE),VLOOKUP($A86,Cuision!$G:$P,10,FALSE),VLOOKUP(AH$83,Cuision!$G:$P,9,FALSE),VLOOKUP(AH$83,Cuision!$G:$P,10,FALSE)))</f>
        <v>-1</v>
      </c>
      <c r="AI86" s="33">
        <f>IF($A86=AI$83, 0, distance(VLOOKUP($A86,Cuision!$G:$P,9,FALSE),VLOOKUP($A86,Cuision!$G:$P,10,FALSE),VLOOKUP(AI$83,Cuision!$G:$P,9,FALSE),VLOOKUP(AI$83,Cuision!$G:$P,10,FALSE)))</f>
        <v>5127.9802846669618</v>
      </c>
      <c r="AJ86" s="33">
        <f>IF($A86=AJ$83, 0, distance(VLOOKUP($A86,Cuision!$G:$P,9,FALSE),VLOOKUP($A86,Cuision!$G:$P,10,FALSE),VLOOKUP(AJ$83,Cuision!$G:$P,9,FALSE),VLOOKUP(AJ$83,Cuision!$G:$P,10,FALSE)))</f>
        <v>6328.3267379660138</v>
      </c>
      <c r="AK86" s="33">
        <f>IF($A86=AK$83, 0, distance(VLOOKUP($A86,Cuision!$G:$P,9,FALSE),VLOOKUP($A86,Cuision!$G:$P,10,FALSE),VLOOKUP(AK$83,Cuision!$G:$P,9,FALSE),VLOOKUP(AK$83,Cuision!$G:$P,10,FALSE)))</f>
        <v>4764.224348016216</v>
      </c>
      <c r="AL86" s="33">
        <f>IF($A86=AL$83, 0, distance(VLOOKUP($A86,Cuision!$G:$P,9,FALSE),VLOOKUP($A86,Cuision!$G:$P,10,FALSE),VLOOKUP(AL$83,Cuision!$G:$P,9,FALSE),VLOOKUP(AL$83,Cuision!$G:$P,10,FALSE)))</f>
        <v>7696.0794592044522</v>
      </c>
      <c r="AM86" s="33">
        <f>IF($A86=AM$83, 0, distance(VLOOKUP($A86,Cuision!$G:$P,9,FALSE),VLOOKUP($A86,Cuision!$G:$P,10,FALSE),VLOOKUP(AM$83,Cuision!$G:$P,9,FALSE),VLOOKUP(AM$83,Cuision!$G:$P,10,FALSE)))</f>
        <v>-1</v>
      </c>
      <c r="AN86" s="33">
        <f>IF($A86=AN$83, 0, distance(VLOOKUP($A86,Cuision!$G:$P,9,FALSE),VLOOKUP($A86,Cuision!$G:$P,10,FALSE),VLOOKUP(AN$83,Cuision!$G:$P,9,FALSE),VLOOKUP(AN$83,Cuision!$G:$P,10,FALSE)))</f>
        <v>4557.5219504867046</v>
      </c>
      <c r="AO86" s="33">
        <f>IF($A86=AO$83, 0, distance(VLOOKUP($A86,Cuision!$G:$P,9,FALSE),VLOOKUP($A86,Cuision!$G:$P,10,FALSE),VLOOKUP(AO$83,Cuision!$G:$P,9,FALSE),VLOOKUP(AO$83,Cuision!$G:$P,10,FALSE)))</f>
        <v>3783.2693926891457</v>
      </c>
      <c r="AP86" s="33">
        <f>IF($A86=AP$83, 0, distance(VLOOKUP($A86,Cuision!$G:$P,9,FALSE),VLOOKUP($A86,Cuision!$G:$P,10,FALSE),VLOOKUP(AP$83,Cuision!$G:$P,9,FALSE),VLOOKUP(AP$83,Cuision!$G:$P,10,FALSE)))</f>
        <v>7483.5819315311392</v>
      </c>
      <c r="AQ86" s="33">
        <f>IF($A86=AQ$83, 0, distance(VLOOKUP($A86,Cuision!$G:$P,9,FALSE),VLOOKUP($A86,Cuision!$G:$P,10,FALSE),VLOOKUP(AQ$83,Cuision!$G:$P,9,FALSE),VLOOKUP(AQ$83,Cuision!$G:$P,10,FALSE)))</f>
        <v>10164.61701869959</v>
      </c>
      <c r="AR86" s="33">
        <f>IF($A86=AR$83, 0, distance(VLOOKUP($A86,Cuision!$G:$P,9,FALSE),VLOOKUP($A86,Cuision!$G:$P,10,FALSE),VLOOKUP(AR$83,Cuision!$G:$P,9,FALSE),VLOOKUP(AR$83,Cuision!$G:$P,10,FALSE)))</f>
        <v>3664.7380839482948</v>
      </c>
      <c r="AS86" s="33">
        <f>IF($A86=AS$83, 0, distance(VLOOKUP($A86,Cuision!$G:$P,9,FALSE),VLOOKUP($A86,Cuision!$G:$P,10,FALSE),VLOOKUP(AS$83,Cuision!$G:$P,9,FALSE),VLOOKUP(AS$83,Cuision!$G:$P,10,FALSE)))</f>
        <v>4484.1742999085373</v>
      </c>
      <c r="AT86" s="33">
        <f>IF($A86=AT$83, 0, distance(VLOOKUP($A86,Cuision!$G:$P,9,FALSE),VLOOKUP($A86,Cuision!$G:$P,10,FALSE),VLOOKUP(AT$83,Cuision!$G:$P,9,FALSE),VLOOKUP(AT$83,Cuision!$G:$P,10,FALSE)))</f>
        <v>6775.0585510427936</v>
      </c>
      <c r="AU86" s="33">
        <f>IF($A86=AU$83, 0, distance(VLOOKUP($A86,Cuision!$G:$P,9,FALSE),VLOOKUP($A86,Cuision!$G:$P,10,FALSE),VLOOKUP(AU$83,Cuision!$G:$P,9,FALSE),VLOOKUP(AU$83,Cuision!$G:$P,10,FALSE)))</f>
        <v>6936.711935738972</v>
      </c>
      <c r="AV86" s="33">
        <f>IF($A86=AV$83, 0, distance(VLOOKUP($A86,Cuision!$G:$P,9,FALSE),VLOOKUP($A86,Cuision!$G:$P,10,FALSE),VLOOKUP(AV$83,Cuision!$G:$P,9,FALSE),VLOOKUP(AV$83,Cuision!$G:$P,10,FALSE)))</f>
        <v>5592.9141309463548</v>
      </c>
      <c r="AW86" s="33">
        <f>IF($A86=AW$83, 0, distance(VLOOKUP($A86,Cuision!$G:$P,9,FALSE),VLOOKUP($A86,Cuision!$G:$P,10,FALSE),VLOOKUP(AW$83,Cuision!$G:$P,9,FALSE),VLOOKUP(AW$83,Cuision!$G:$P,10,FALSE)))</f>
        <v>8506.9826268567722</v>
      </c>
      <c r="AX86" s="33">
        <f>IF($A86=AX$83, 0, distance(VLOOKUP($A86,Cuision!$G:$P,9,FALSE),VLOOKUP($A86,Cuision!$G:$P,10,FALSE),VLOOKUP(AX$83,Cuision!$G:$P,9,FALSE),VLOOKUP(AX$83,Cuision!$G:$P,10,FALSE)))</f>
        <v>3158.1971248225836</v>
      </c>
      <c r="AY86" s="33">
        <f>IF($A86=AY$83, 0, distance(VLOOKUP($A86,Cuision!$G:$P,9,FALSE),VLOOKUP($A86,Cuision!$G:$P,10,FALSE),VLOOKUP(AY$83,Cuision!$G:$P,9,FALSE),VLOOKUP(AY$83,Cuision!$G:$P,10,FALSE)))</f>
        <v>-1</v>
      </c>
      <c r="AZ86" s="33">
        <f>IF($A86=AZ$83, 0, distance(VLOOKUP($A86,Cuision!$G:$P,9,FALSE),VLOOKUP($A86,Cuision!$G:$P,10,FALSE),VLOOKUP(AZ$83,Cuision!$G:$P,9,FALSE),VLOOKUP(AZ$83,Cuision!$G:$P,10,FALSE)))</f>
        <v>9530.5281664634804</v>
      </c>
      <c r="BA86" s="33">
        <f>IF($A86=BA$83, 0, distance(VLOOKUP($A86,Cuision!$G:$P,9,FALSE),VLOOKUP($A86,Cuision!$G:$P,10,FALSE),VLOOKUP(BA$83,Cuision!$G:$P,9,FALSE),VLOOKUP(BA$83,Cuision!$G:$P,10,FALSE)))</f>
        <v>5014.7853128433189</v>
      </c>
      <c r="BB86" s="33">
        <f>IF($A86=BB$83, 0, distance(VLOOKUP($A86,Cuision!$G:$P,9,FALSE),VLOOKUP($A86,Cuision!$G:$P,10,FALSE),VLOOKUP(BB$83,Cuision!$G:$P,9,FALSE),VLOOKUP(BB$83,Cuision!$G:$P,10,FALSE)))</f>
        <v>1883.3508701719099</v>
      </c>
      <c r="BC86" s="33">
        <f>IF($A86=BC$83, 0, distance(VLOOKUP($A86,Cuision!$G:$P,9,FALSE),VLOOKUP($A86,Cuision!$G:$P,10,FALSE),VLOOKUP(BC$83,Cuision!$G:$P,9,FALSE),VLOOKUP(BC$83,Cuision!$G:$P,10,FALSE)))</f>
        <v>6328.3267379660138</v>
      </c>
      <c r="BD86" s="33">
        <f>IF($A86=BD$83, 0, distance(VLOOKUP($A86,Cuision!$G:$P,9,FALSE),VLOOKUP($A86,Cuision!$G:$P,10,FALSE),VLOOKUP(BD$83,Cuision!$G:$P,9,FALSE),VLOOKUP(BD$83,Cuision!$G:$P,10,FALSE)))</f>
        <v>6433.658644858926</v>
      </c>
      <c r="BE86" s="33">
        <f>IF($A86=BE$83, 0, distance(VLOOKUP($A86,Cuision!$G:$P,9,FALSE),VLOOKUP($A86,Cuision!$G:$P,10,FALSE),VLOOKUP(BE$83,Cuision!$G:$P,9,FALSE),VLOOKUP(BE$83,Cuision!$G:$P,10,FALSE)))</f>
        <v>3818.8305748681173</v>
      </c>
      <c r="BF86" s="33">
        <f>IF($A86=BF$83, 0, distance(VLOOKUP($A86,Cuision!$G:$P,9,FALSE),VLOOKUP($A86,Cuision!$G:$P,10,FALSE),VLOOKUP(BF$83,Cuision!$G:$P,9,FALSE),VLOOKUP(BF$83,Cuision!$G:$P,10,FALSE)))</f>
        <v>7065.4977601354203</v>
      </c>
      <c r="BG86" s="33">
        <f>IF($A86=BG$83, 0, distance(VLOOKUP($A86,Cuision!$G:$P,9,FALSE),VLOOKUP($A86,Cuision!$G:$P,10,FALSE),VLOOKUP(BG$83,Cuision!$G:$P,9,FALSE),VLOOKUP(BG$83,Cuision!$G:$P,10,FALSE)))</f>
        <v>6324.1185508828385</v>
      </c>
      <c r="BH86" s="33">
        <f>IF($A86=BH$83, 0, distance(VLOOKUP($A86,Cuision!$G:$P,9,FALSE),VLOOKUP($A86,Cuision!$G:$P,10,FALSE),VLOOKUP(BH$83,Cuision!$G:$P,9,FALSE),VLOOKUP(BH$83,Cuision!$G:$P,10,FALSE)))</f>
        <v>3519.4446590994971</v>
      </c>
      <c r="BI86" s="33">
        <f>IF($A86=BI$83, 0, distance(VLOOKUP($A86,Cuision!$G:$P,9,FALSE),VLOOKUP($A86,Cuision!$G:$P,10,FALSE),VLOOKUP(BI$83,Cuision!$G:$P,9,FALSE),VLOOKUP(BI$83,Cuision!$G:$P,10,FALSE)))</f>
        <v>4460.1322200226678</v>
      </c>
      <c r="BJ86" s="33">
        <f>IF($A86=BJ$83, 0, distance(VLOOKUP($A86,Cuision!$G:$P,9,FALSE),VLOOKUP($A86,Cuision!$G:$P,10,FALSE),VLOOKUP(BJ$83,Cuision!$G:$P,9,FALSE),VLOOKUP(BJ$83,Cuision!$G:$P,10,FALSE)))</f>
        <v>3565.0654515008168</v>
      </c>
      <c r="BK86" s="33">
        <f>IF($A86=BK$83, 0, distance(VLOOKUP($A86,Cuision!$G:$P,9,FALSE),VLOOKUP($A86,Cuision!$G:$P,10,FALSE),VLOOKUP(BK$83,Cuision!$G:$P,9,FALSE),VLOOKUP(BK$83,Cuision!$G:$P,10,FALSE)))</f>
        <v>4860.2850342260354</v>
      </c>
      <c r="BL86" s="33">
        <f>IF($A86=BL$83, 0, distance(VLOOKUP($A86,Cuision!$G:$P,9,FALSE),VLOOKUP($A86,Cuision!$G:$P,10,FALSE),VLOOKUP(BL$83,Cuision!$G:$P,9,FALSE),VLOOKUP(BL$83,Cuision!$G:$P,10,FALSE)))</f>
        <v>-1</v>
      </c>
      <c r="BM86" s="33">
        <f>IF($A86=BM$83, 0, distance(VLOOKUP($A86,Cuision!$G:$P,9,FALSE),VLOOKUP($A86,Cuision!$G:$P,10,FALSE),VLOOKUP(BM$83,Cuision!$G:$P,9,FALSE),VLOOKUP(BM$83,Cuision!$G:$P,10,FALSE)))</f>
        <v>-1</v>
      </c>
      <c r="BN86" s="33">
        <f>IF($A86=BN$83, 0, distance(VLOOKUP($A86,Cuision!$G:$P,9,FALSE),VLOOKUP($A86,Cuision!$G:$P,10,FALSE),VLOOKUP(BN$83,Cuision!$G:$P,9,FALSE),VLOOKUP(BN$83,Cuision!$G:$P,10,FALSE)))</f>
        <v>3664.7380839482948</v>
      </c>
      <c r="BO86" s="33">
        <f>IF($A86=BO$83, 0, distance(VLOOKUP($A86,Cuision!$G:$P,9,FALSE),VLOOKUP($A86,Cuision!$G:$P,10,FALSE),VLOOKUP(BO$83,Cuision!$G:$P,9,FALSE),VLOOKUP(BO$83,Cuision!$G:$P,10,FALSE)))</f>
        <v>9658.8971636921433</v>
      </c>
      <c r="BP86" s="33">
        <f>IF($A86=BP$83, 0, distance(VLOOKUP($A86,Cuision!$G:$P,9,FALSE),VLOOKUP($A86,Cuision!$G:$P,10,FALSE),VLOOKUP(BP$83,Cuision!$G:$P,9,FALSE),VLOOKUP(BP$83,Cuision!$G:$P,10,FALSE)))</f>
        <v>4457.7115648599465</v>
      </c>
      <c r="BQ86" s="33">
        <f>IF($A86=BQ$83, 0, distance(VLOOKUP($A86,Cuision!$G:$P,9,FALSE),VLOOKUP($A86,Cuision!$G:$P,10,FALSE),VLOOKUP(BQ$83,Cuision!$G:$P,9,FALSE),VLOOKUP(BQ$83,Cuision!$G:$P,10,FALSE)))</f>
        <v>-1</v>
      </c>
      <c r="BR86" s="33">
        <f>IF($A86=BR$83, 0, distance(VLOOKUP($A86,Cuision!$G:$P,9,FALSE),VLOOKUP($A86,Cuision!$G:$P,10,FALSE),VLOOKUP(BR$83,Cuision!$G:$P,9,FALSE),VLOOKUP(BR$83,Cuision!$G:$P,10,FALSE)))</f>
        <v>0</v>
      </c>
      <c r="BS86" s="33">
        <f>IF($A86=BS$83, 0, distance(VLOOKUP($A86,Cuision!$G:$P,9,FALSE),VLOOKUP($A86,Cuision!$G:$P,10,FALSE),VLOOKUP(BS$83,Cuision!$G:$P,9,FALSE),VLOOKUP(BS$83,Cuision!$G:$P,10,FALSE)))</f>
        <v>6925.3526153099201</v>
      </c>
      <c r="BT86" s="33">
        <f>IF($A86=BT$83, 0, distance(VLOOKUP($A86,Cuision!$G:$P,9,FALSE),VLOOKUP($A86,Cuision!$G:$P,10,FALSE),VLOOKUP(BT$83,Cuision!$G:$P,9,FALSE),VLOOKUP(BT$83,Cuision!$G:$P,10,FALSE)))</f>
        <v>3783.2693926891457</v>
      </c>
      <c r="BU86" s="33">
        <f>IF($A86=BU$83, 0, distance(VLOOKUP($A86,Cuision!$G:$P,9,FALSE),VLOOKUP($A86,Cuision!$G:$P,10,FALSE),VLOOKUP(BU$83,Cuision!$G:$P,9,FALSE),VLOOKUP(BU$83,Cuision!$G:$P,10,FALSE)))</f>
        <v>8795.1435587154083</v>
      </c>
      <c r="BV86" s="33">
        <f>IF($A86=BV$83, 0, distance(VLOOKUP($A86,Cuision!$G:$P,9,FALSE),VLOOKUP($A86,Cuision!$G:$P,10,FALSE),VLOOKUP(BV$83,Cuision!$G:$P,9,FALSE),VLOOKUP(BV$83,Cuision!$G:$P,10,FALSE)))</f>
        <v>5421.3689076575865</v>
      </c>
      <c r="BW86" s="33">
        <f>IF($A86=BW$83, 0, distance(VLOOKUP($A86,Cuision!$G:$P,9,FALSE),VLOOKUP($A86,Cuision!$G:$P,10,FALSE),VLOOKUP(BW$83,Cuision!$G:$P,9,FALSE),VLOOKUP(BW$83,Cuision!$G:$P,10,FALSE)))</f>
        <v>4867.1181653717495</v>
      </c>
      <c r="BX86" s="33">
        <f>IF($A86=BX$83, 0, distance(VLOOKUP($A86,Cuision!$G:$P,9,FALSE),VLOOKUP($A86,Cuision!$G:$P,10,FALSE),VLOOKUP(BX$83,Cuision!$G:$P,9,FALSE),VLOOKUP(BX$83,Cuision!$G:$P,10,FALSE)))</f>
        <v>6504.7911484691258</v>
      </c>
      <c r="BY86" s="33">
        <f>IF($A86=BY$83, 0, distance(VLOOKUP($A86,Cuision!$G:$P,9,FALSE),VLOOKUP($A86,Cuision!$G:$P,10,FALSE),VLOOKUP(BY$83,Cuision!$G:$P,9,FALSE),VLOOKUP(BY$83,Cuision!$G:$P,10,FALSE)))</f>
        <v>-1</v>
      </c>
      <c r="BZ86" s="33">
        <f>IF($A86=BZ$83, 0, distance(VLOOKUP($A86,Cuision!$G:$P,9,FALSE),VLOOKUP($A86,Cuision!$G:$P,10,FALSE),VLOOKUP(BZ$83,Cuision!$G:$P,9,FALSE),VLOOKUP(BZ$83,Cuision!$G:$P,10,FALSE)))</f>
        <v>-1</v>
      </c>
      <c r="CA86" s="33">
        <f>IF($A86=CA$83, 0, distance(VLOOKUP($A86,Cuision!$G:$P,9,FALSE),VLOOKUP($A86,Cuision!$G:$P,10,FALSE),VLOOKUP(CA$83,Cuision!$G:$P,9,FALSE),VLOOKUP(CA$83,Cuision!$G:$P,10,FALSE)))</f>
        <v>8292.1310430124922</v>
      </c>
    </row>
    <row r="87" spans="1:79" ht="14.25" x14ac:dyDescent="0.2">
      <c r="A87" s="30" t="s">
        <v>44</v>
      </c>
      <c r="B87" s="33">
        <f>IF($A87=B$83, 0, distance(VLOOKUP($A87,Cuision!$G:$P,9,FALSE),VLOOKUP($A87,Cuision!$G:$P,10,FALSE),VLOOKUP(B$83,Cuision!$G:$P,9,FALSE),VLOOKUP(B$83,Cuision!$G:$P,10,FALSE)))</f>
        <v>6922.0195865768437</v>
      </c>
      <c r="C87" s="33">
        <f>IF($A87=C$83, 0, distance(VLOOKUP($A87,Cuision!$G:$P,9,FALSE),VLOOKUP($A87,Cuision!$G:$P,10,FALSE),VLOOKUP(C$83,Cuision!$G:$P,9,FALSE),VLOOKUP(C$83,Cuision!$G:$P,10,FALSE)))</f>
        <v>7754.1850184220366</v>
      </c>
      <c r="D87" s="33">
        <f>IF($A87=D$83, 0, distance(VLOOKUP($A87,Cuision!$G:$P,9,FALSE),VLOOKUP($A87,Cuision!$G:$P,10,FALSE),VLOOKUP(D$83,Cuision!$G:$P,9,FALSE),VLOOKUP(D$83,Cuision!$G:$P,10,FALSE)))</f>
        <v>0</v>
      </c>
      <c r="E87" s="33">
        <f>IF($A87=E$83, 0, distance(VLOOKUP($A87,Cuision!$G:$P,9,FALSE),VLOOKUP($A87,Cuision!$G:$P,10,FALSE),VLOOKUP(E$83,Cuision!$G:$P,9,FALSE),VLOOKUP(E$83,Cuision!$G:$P,10,FALSE)))</f>
        <v>0</v>
      </c>
      <c r="F87" s="33">
        <f>IF($A87=F$83, 0, distance(VLOOKUP($A87,Cuision!$G:$P,9,FALSE),VLOOKUP($A87,Cuision!$G:$P,10,FALSE),VLOOKUP(F$83,Cuision!$G:$P,9,FALSE),VLOOKUP(F$83,Cuision!$G:$P,10,FALSE)))</f>
        <v>6328.3267379660138</v>
      </c>
      <c r="G87" s="33">
        <f>IF($A87=G$83, 0, distance(VLOOKUP($A87,Cuision!$G:$P,9,FALSE),VLOOKUP($A87,Cuision!$G:$P,10,FALSE),VLOOKUP(G$83,Cuision!$G:$P,9,FALSE),VLOOKUP(G$83,Cuision!$G:$P,10,FALSE)))</f>
        <v>5217.1202018930744</v>
      </c>
      <c r="H87" s="33">
        <f>IF($A87=H$83, 0, distance(VLOOKUP($A87,Cuision!$G:$P,9,FALSE),VLOOKUP($A87,Cuision!$G:$P,10,FALSE),VLOOKUP(H$83,Cuision!$G:$P,9,FALSE),VLOOKUP(H$83,Cuision!$G:$P,10,FALSE)))</f>
        <v>5845.2890180192007</v>
      </c>
      <c r="I87" s="33">
        <f>IF($A87=I$83, 0, distance(VLOOKUP($A87,Cuision!$G:$P,9,FALSE),VLOOKUP($A87,Cuision!$G:$P,10,FALSE),VLOOKUP(I$83,Cuision!$G:$P,9,FALSE),VLOOKUP(I$83,Cuision!$G:$P,10,FALSE)))</f>
        <v>7394.0053664196539</v>
      </c>
      <c r="J87" s="33">
        <f>IF($A87=J$83, 0, distance(VLOOKUP($A87,Cuision!$G:$P,9,FALSE),VLOOKUP($A87,Cuision!$G:$P,10,FALSE),VLOOKUP(J$83,Cuision!$G:$P,9,FALSE),VLOOKUP(J$83,Cuision!$G:$P,10,FALSE)))</f>
        <v>9906.4615041233737</v>
      </c>
      <c r="K87" s="33">
        <f>IF($A87=K$83, 0, distance(VLOOKUP($A87,Cuision!$G:$P,9,FALSE),VLOOKUP($A87,Cuision!$G:$P,10,FALSE),VLOOKUP(K$83,Cuision!$G:$P,9,FALSE),VLOOKUP(K$83,Cuision!$G:$P,10,FALSE)))</f>
        <v>4426.2279267410295</v>
      </c>
      <c r="L87" s="33">
        <f>IF($A87=L$83, 0, distance(VLOOKUP($A87,Cuision!$G:$P,9,FALSE),VLOOKUP($A87,Cuision!$G:$P,10,FALSE),VLOOKUP(L$83,Cuision!$G:$P,9,FALSE),VLOOKUP(L$83,Cuision!$G:$P,10,FALSE)))</f>
        <v>8034.9392383876966</v>
      </c>
      <c r="M87" s="33">
        <f>IF($A87=M$83, 0, distance(VLOOKUP($A87,Cuision!$G:$P,9,FALSE),VLOOKUP($A87,Cuision!$G:$P,10,FALSE),VLOOKUP(M$83,Cuision!$G:$P,9,FALSE),VLOOKUP(M$83,Cuision!$G:$P,10,FALSE)))</f>
        <v>-1</v>
      </c>
      <c r="N87" s="33">
        <f>IF($A87=N$83, 0, distance(VLOOKUP($A87,Cuision!$G:$P,9,FALSE),VLOOKUP($A87,Cuision!$G:$P,10,FALSE),VLOOKUP(N$83,Cuision!$G:$P,9,FALSE),VLOOKUP(N$83,Cuision!$G:$P,10,FALSE)))</f>
        <v>3783.2693926891457</v>
      </c>
      <c r="O87" s="33">
        <f>IF($A87=O$83, 0, distance(VLOOKUP($A87,Cuision!$G:$P,9,FALSE),VLOOKUP($A87,Cuision!$G:$P,10,FALSE),VLOOKUP(O$83,Cuision!$G:$P,9,FALSE),VLOOKUP(O$83,Cuision!$G:$P,10,FALSE)))</f>
        <v>3862.5991612505318</v>
      </c>
      <c r="P87" s="33">
        <f>IF($A87=P$83, 0, distance(VLOOKUP($A87,Cuision!$G:$P,9,FALSE),VLOOKUP($A87,Cuision!$G:$P,10,FALSE),VLOOKUP(P$83,Cuision!$G:$P,9,FALSE),VLOOKUP(P$83,Cuision!$G:$P,10,FALSE)))</f>
        <v>4220.2104754152506</v>
      </c>
      <c r="Q87" s="33">
        <f>IF($A87=Q$83, 0, distance(VLOOKUP($A87,Cuision!$G:$P,9,FALSE),VLOOKUP($A87,Cuision!$G:$P,10,FALSE),VLOOKUP(Q$83,Cuision!$G:$P,9,FALSE),VLOOKUP(Q$83,Cuision!$G:$P,10,FALSE)))</f>
        <v>-1</v>
      </c>
      <c r="R87" s="33">
        <f>IF($A87=R$83, 0, distance(VLOOKUP($A87,Cuision!$G:$P,9,FALSE),VLOOKUP($A87,Cuision!$G:$P,10,FALSE),VLOOKUP(R$83,Cuision!$G:$P,9,FALSE),VLOOKUP(R$83,Cuision!$G:$P,10,FALSE)))</f>
        <v>3664.7380839482948</v>
      </c>
      <c r="S87" s="33">
        <f>IF($A87=S$83, 0, distance(VLOOKUP($A87,Cuision!$G:$P,9,FALSE),VLOOKUP($A87,Cuision!$G:$P,10,FALSE),VLOOKUP(S$83,Cuision!$G:$P,9,FALSE),VLOOKUP(S$83,Cuision!$G:$P,10,FALSE)))</f>
        <v>-1</v>
      </c>
      <c r="T87" s="33">
        <f>IF($A87=T$83, 0, distance(VLOOKUP($A87,Cuision!$G:$P,9,FALSE),VLOOKUP($A87,Cuision!$G:$P,10,FALSE),VLOOKUP(T$83,Cuision!$G:$P,9,FALSE),VLOOKUP(T$83,Cuision!$G:$P,10,FALSE)))</f>
        <v>8360.0215036814861</v>
      </c>
      <c r="U87" s="33">
        <f>IF($A87=U$83, 0, distance(VLOOKUP($A87,Cuision!$G:$P,9,FALSE),VLOOKUP($A87,Cuision!$G:$P,10,FALSE),VLOOKUP(U$83,Cuision!$G:$P,9,FALSE),VLOOKUP(U$83,Cuision!$G:$P,10,FALSE)))</f>
        <v>-1</v>
      </c>
      <c r="V87" s="33">
        <f>IF($A87=V$83, 0, distance(VLOOKUP($A87,Cuision!$G:$P,9,FALSE),VLOOKUP($A87,Cuision!$G:$P,10,FALSE),VLOOKUP(V$83,Cuision!$G:$P,9,FALSE),VLOOKUP(V$83,Cuision!$G:$P,10,FALSE)))</f>
        <v>0</v>
      </c>
      <c r="W87" s="33">
        <f>IF($A87=W$83, 0, distance(VLOOKUP($A87,Cuision!$G:$P,9,FALSE),VLOOKUP($A87,Cuision!$G:$P,10,FALSE),VLOOKUP(W$83,Cuision!$G:$P,9,FALSE),VLOOKUP(W$83,Cuision!$G:$P,10,FALSE)))</f>
        <v>8947.6293774193964</v>
      </c>
      <c r="X87" s="33">
        <f>IF($A87=X$83, 0, distance(VLOOKUP($A87,Cuision!$G:$P,9,FALSE),VLOOKUP($A87,Cuision!$G:$P,10,FALSE),VLOOKUP(X$83,Cuision!$G:$P,9,FALSE),VLOOKUP(X$83,Cuision!$G:$P,10,FALSE)))</f>
        <v>3783.2693926891457</v>
      </c>
      <c r="Y87" s="33">
        <f>IF($A87=Y$83, 0, distance(VLOOKUP($A87,Cuision!$G:$P,9,FALSE),VLOOKUP($A87,Cuision!$G:$P,10,FALSE),VLOOKUP(Y$83,Cuision!$G:$P,9,FALSE),VLOOKUP(Y$83,Cuision!$G:$P,10,FALSE)))</f>
        <v>6925.3526153099201</v>
      </c>
      <c r="Z87" s="33">
        <f>IF($A87=Z$83, 0, distance(VLOOKUP($A87,Cuision!$G:$P,9,FALSE),VLOOKUP($A87,Cuision!$G:$P,10,FALSE),VLOOKUP(Z$83,Cuision!$G:$P,9,FALSE),VLOOKUP(Z$83,Cuision!$G:$P,10,FALSE)))</f>
        <v>-1</v>
      </c>
      <c r="AA87" s="33">
        <f>IF($A87=AA$83, 0, distance(VLOOKUP($A87,Cuision!$G:$P,9,FALSE),VLOOKUP($A87,Cuision!$G:$P,10,FALSE),VLOOKUP(AA$83,Cuision!$G:$P,9,FALSE),VLOOKUP(AA$83,Cuision!$G:$P,10,FALSE)))</f>
        <v>1133.9119070339707</v>
      </c>
      <c r="AB87" s="33">
        <f>IF($A87=AB$83, 0, distance(VLOOKUP($A87,Cuision!$G:$P,9,FALSE),VLOOKUP($A87,Cuision!$G:$P,10,FALSE),VLOOKUP(AB$83,Cuision!$G:$P,9,FALSE),VLOOKUP(AB$83,Cuision!$G:$P,10,FALSE)))</f>
        <v>4285.8768769408171</v>
      </c>
      <c r="AC87" s="33">
        <f>IF($A87=AC$83, 0, distance(VLOOKUP($A87,Cuision!$G:$P,9,FALSE),VLOOKUP($A87,Cuision!$G:$P,10,FALSE),VLOOKUP(AC$83,Cuision!$G:$P,9,FALSE),VLOOKUP(AC$83,Cuision!$G:$P,10,FALSE)))</f>
        <v>7161.0334431549763</v>
      </c>
      <c r="AD87" s="33">
        <f>IF($A87=AD$83, 0, distance(VLOOKUP($A87,Cuision!$G:$P,9,FALSE),VLOOKUP($A87,Cuision!$G:$P,10,FALSE),VLOOKUP(AD$83,Cuision!$G:$P,9,FALSE),VLOOKUP(AD$83,Cuision!$G:$P,10,FALSE)))</f>
        <v>8560.9016737059901</v>
      </c>
      <c r="AE87" s="33">
        <f>IF($A87=AE$83, 0, distance(VLOOKUP($A87,Cuision!$G:$P,9,FALSE),VLOOKUP($A87,Cuision!$G:$P,10,FALSE),VLOOKUP(AE$83,Cuision!$G:$P,9,FALSE),VLOOKUP(AE$83,Cuision!$G:$P,10,FALSE)))</f>
        <v>3866.1313323118429</v>
      </c>
      <c r="AF87" s="33">
        <f>IF($A87=AF$83, 0, distance(VLOOKUP($A87,Cuision!$G:$P,9,FALSE),VLOOKUP($A87,Cuision!$G:$P,10,FALSE),VLOOKUP(AF$83,Cuision!$G:$P,9,FALSE),VLOOKUP(AF$83,Cuision!$G:$P,10,FALSE)))</f>
        <v>3830.9664587251614</v>
      </c>
      <c r="AG87" s="33">
        <f>IF($A87=AG$83, 0, distance(VLOOKUP($A87,Cuision!$G:$P,9,FALSE),VLOOKUP($A87,Cuision!$G:$P,10,FALSE),VLOOKUP(AG$83,Cuision!$G:$P,9,FALSE),VLOOKUP(AG$83,Cuision!$G:$P,10,FALSE)))</f>
        <v>4169.9898960172895</v>
      </c>
      <c r="AH87" s="33">
        <f>IF($A87=AH$83, 0, distance(VLOOKUP($A87,Cuision!$G:$P,9,FALSE),VLOOKUP($A87,Cuision!$G:$P,10,FALSE),VLOOKUP(AH$83,Cuision!$G:$P,9,FALSE),VLOOKUP(AH$83,Cuision!$G:$P,10,FALSE)))</f>
        <v>-1</v>
      </c>
      <c r="AI87" s="33">
        <f>IF($A87=AI$83, 0, distance(VLOOKUP($A87,Cuision!$G:$P,9,FALSE),VLOOKUP($A87,Cuision!$G:$P,10,FALSE),VLOOKUP(AI$83,Cuision!$G:$P,9,FALSE),VLOOKUP(AI$83,Cuision!$G:$P,10,FALSE)))</f>
        <v>5127.9802846669618</v>
      </c>
      <c r="AJ87" s="33">
        <f>IF($A87=AJ$83, 0, distance(VLOOKUP($A87,Cuision!$G:$P,9,FALSE),VLOOKUP($A87,Cuision!$G:$P,10,FALSE),VLOOKUP(AJ$83,Cuision!$G:$P,9,FALSE),VLOOKUP(AJ$83,Cuision!$G:$P,10,FALSE)))</f>
        <v>6328.3267379660138</v>
      </c>
      <c r="AK87" s="33">
        <f>IF($A87=AK$83, 0, distance(VLOOKUP($A87,Cuision!$G:$P,9,FALSE),VLOOKUP($A87,Cuision!$G:$P,10,FALSE),VLOOKUP(AK$83,Cuision!$G:$P,9,FALSE),VLOOKUP(AK$83,Cuision!$G:$P,10,FALSE)))</f>
        <v>4764.224348016216</v>
      </c>
      <c r="AL87" s="33">
        <f>IF($A87=AL$83, 0, distance(VLOOKUP($A87,Cuision!$G:$P,9,FALSE),VLOOKUP($A87,Cuision!$G:$P,10,FALSE),VLOOKUP(AL$83,Cuision!$G:$P,9,FALSE),VLOOKUP(AL$83,Cuision!$G:$P,10,FALSE)))</f>
        <v>7696.0794592044522</v>
      </c>
      <c r="AM87" s="33">
        <f>IF($A87=AM$83, 0, distance(VLOOKUP($A87,Cuision!$G:$P,9,FALSE),VLOOKUP($A87,Cuision!$G:$P,10,FALSE),VLOOKUP(AM$83,Cuision!$G:$P,9,FALSE),VLOOKUP(AM$83,Cuision!$G:$P,10,FALSE)))</f>
        <v>-1</v>
      </c>
      <c r="AN87" s="33">
        <f>IF($A87=AN$83, 0, distance(VLOOKUP($A87,Cuision!$G:$P,9,FALSE),VLOOKUP($A87,Cuision!$G:$P,10,FALSE),VLOOKUP(AN$83,Cuision!$G:$P,9,FALSE),VLOOKUP(AN$83,Cuision!$G:$P,10,FALSE)))</f>
        <v>4557.5219504867046</v>
      </c>
      <c r="AO87" s="33">
        <f>IF($A87=AO$83, 0, distance(VLOOKUP($A87,Cuision!$G:$P,9,FALSE),VLOOKUP($A87,Cuision!$G:$P,10,FALSE),VLOOKUP(AO$83,Cuision!$G:$P,9,FALSE),VLOOKUP(AO$83,Cuision!$G:$P,10,FALSE)))</f>
        <v>3783.2693926891457</v>
      </c>
      <c r="AP87" s="33">
        <f>IF($A87=AP$83, 0, distance(VLOOKUP($A87,Cuision!$G:$P,9,FALSE),VLOOKUP($A87,Cuision!$G:$P,10,FALSE),VLOOKUP(AP$83,Cuision!$G:$P,9,FALSE),VLOOKUP(AP$83,Cuision!$G:$P,10,FALSE)))</f>
        <v>7483.5819315311392</v>
      </c>
      <c r="AQ87" s="33">
        <f>IF($A87=AQ$83, 0, distance(VLOOKUP($A87,Cuision!$G:$P,9,FALSE),VLOOKUP($A87,Cuision!$G:$P,10,FALSE),VLOOKUP(AQ$83,Cuision!$G:$P,9,FALSE),VLOOKUP(AQ$83,Cuision!$G:$P,10,FALSE)))</f>
        <v>10164.61701869959</v>
      </c>
      <c r="AR87" s="33">
        <f>IF($A87=AR$83, 0, distance(VLOOKUP($A87,Cuision!$G:$P,9,FALSE),VLOOKUP($A87,Cuision!$G:$P,10,FALSE),VLOOKUP(AR$83,Cuision!$G:$P,9,FALSE),VLOOKUP(AR$83,Cuision!$G:$P,10,FALSE)))</f>
        <v>3664.7380839482948</v>
      </c>
      <c r="AS87" s="33">
        <f>IF($A87=AS$83, 0, distance(VLOOKUP($A87,Cuision!$G:$P,9,FALSE),VLOOKUP($A87,Cuision!$G:$P,10,FALSE),VLOOKUP(AS$83,Cuision!$G:$P,9,FALSE),VLOOKUP(AS$83,Cuision!$G:$P,10,FALSE)))</f>
        <v>4484.1742999085373</v>
      </c>
      <c r="AT87" s="33">
        <f>IF($A87=AT$83, 0, distance(VLOOKUP($A87,Cuision!$G:$P,9,FALSE),VLOOKUP($A87,Cuision!$G:$P,10,FALSE),VLOOKUP(AT$83,Cuision!$G:$P,9,FALSE),VLOOKUP(AT$83,Cuision!$G:$P,10,FALSE)))</f>
        <v>6775.0585510427936</v>
      </c>
      <c r="AU87" s="33">
        <f>IF($A87=AU$83, 0, distance(VLOOKUP($A87,Cuision!$G:$P,9,FALSE),VLOOKUP($A87,Cuision!$G:$P,10,FALSE),VLOOKUP(AU$83,Cuision!$G:$P,9,FALSE),VLOOKUP(AU$83,Cuision!$G:$P,10,FALSE)))</f>
        <v>6936.711935738972</v>
      </c>
      <c r="AV87" s="33">
        <f>IF($A87=AV$83, 0, distance(VLOOKUP($A87,Cuision!$G:$P,9,FALSE),VLOOKUP($A87,Cuision!$G:$P,10,FALSE),VLOOKUP(AV$83,Cuision!$G:$P,9,FALSE),VLOOKUP(AV$83,Cuision!$G:$P,10,FALSE)))</f>
        <v>5592.9141309463548</v>
      </c>
      <c r="AW87" s="33">
        <f>IF($A87=AW$83, 0, distance(VLOOKUP($A87,Cuision!$G:$P,9,FALSE),VLOOKUP($A87,Cuision!$G:$P,10,FALSE),VLOOKUP(AW$83,Cuision!$G:$P,9,FALSE),VLOOKUP(AW$83,Cuision!$G:$P,10,FALSE)))</f>
        <v>8506.9826268567722</v>
      </c>
      <c r="AX87" s="33">
        <f>IF($A87=AX$83, 0, distance(VLOOKUP($A87,Cuision!$G:$P,9,FALSE),VLOOKUP($A87,Cuision!$G:$P,10,FALSE),VLOOKUP(AX$83,Cuision!$G:$P,9,FALSE),VLOOKUP(AX$83,Cuision!$G:$P,10,FALSE)))</f>
        <v>3158.1971248225836</v>
      </c>
      <c r="AY87" s="33">
        <f>IF($A87=AY$83, 0, distance(VLOOKUP($A87,Cuision!$G:$P,9,FALSE),VLOOKUP($A87,Cuision!$G:$P,10,FALSE),VLOOKUP(AY$83,Cuision!$G:$P,9,FALSE),VLOOKUP(AY$83,Cuision!$G:$P,10,FALSE)))</f>
        <v>-1</v>
      </c>
      <c r="AZ87" s="33">
        <f>IF($A87=AZ$83, 0, distance(VLOOKUP($A87,Cuision!$G:$P,9,FALSE),VLOOKUP($A87,Cuision!$G:$P,10,FALSE),VLOOKUP(AZ$83,Cuision!$G:$P,9,FALSE),VLOOKUP(AZ$83,Cuision!$G:$P,10,FALSE)))</f>
        <v>9530.5281664634804</v>
      </c>
      <c r="BA87" s="33">
        <f>IF($A87=BA$83, 0, distance(VLOOKUP($A87,Cuision!$G:$P,9,FALSE),VLOOKUP($A87,Cuision!$G:$P,10,FALSE),VLOOKUP(BA$83,Cuision!$G:$P,9,FALSE),VLOOKUP(BA$83,Cuision!$G:$P,10,FALSE)))</f>
        <v>5014.7853128433189</v>
      </c>
      <c r="BB87" s="33">
        <f>IF($A87=BB$83, 0, distance(VLOOKUP($A87,Cuision!$G:$P,9,FALSE),VLOOKUP($A87,Cuision!$G:$P,10,FALSE),VLOOKUP(BB$83,Cuision!$G:$P,9,FALSE),VLOOKUP(BB$83,Cuision!$G:$P,10,FALSE)))</f>
        <v>1883.3508701719099</v>
      </c>
      <c r="BC87" s="33">
        <f>IF($A87=BC$83, 0, distance(VLOOKUP($A87,Cuision!$G:$P,9,FALSE),VLOOKUP($A87,Cuision!$G:$P,10,FALSE),VLOOKUP(BC$83,Cuision!$G:$P,9,FALSE),VLOOKUP(BC$83,Cuision!$G:$P,10,FALSE)))</f>
        <v>6328.3267379660138</v>
      </c>
      <c r="BD87" s="33">
        <f>IF($A87=BD$83, 0, distance(VLOOKUP($A87,Cuision!$G:$P,9,FALSE),VLOOKUP($A87,Cuision!$G:$P,10,FALSE),VLOOKUP(BD$83,Cuision!$G:$P,9,FALSE),VLOOKUP(BD$83,Cuision!$G:$P,10,FALSE)))</f>
        <v>6433.658644858926</v>
      </c>
      <c r="BE87" s="33">
        <f>IF($A87=BE$83, 0, distance(VLOOKUP($A87,Cuision!$G:$P,9,FALSE),VLOOKUP($A87,Cuision!$G:$P,10,FALSE),VLOOKUP(BE$83,Cuision!$G:$P,9,FALSE),VLOOKUP(BE$83,Cuision!$G:$P,10,FALSE)))</f>
        <v>3818.8305748681173</v>
      </c>
      <c r="BF87" s="33">
        <f>IF($A87=BF$83, 0, distance(VLOOKUP($A87,Cuision!$G:$P,9,FALSE),VLOOKUP($A87,Cuision!$G:$P,10,FALSE),VLOOKUP(BF$83,Cuision!$G:$P,9,FALSE),VLOOKUP(BF$83,Cuision!$G:$P,10,FALSE)))</f>
        <v>7065.4977601354203</v>
      </c>
      <c r="BG87" s="33">
        <f>IF($A87=BG$83, 0, distance(VLOOKUP($A87,Cuision!$G:$P,9,FALSE),VLOOKUP($A87,Cuision!$G:$P,10,FALSE),VLOOKUP(BG$83,Cuision!$G:$P,9,FALSE),VLOOKUP(BG$83,Cuision!$G:$P,10,FALSE)))</f>
        <v>6324.1185508828385</v>
      </c>
      <c r="BH87" s="33">
        <f>IF($A87=BH$83, 0, distance(VLOOKUP($A87,Cuision!$G:$P,9,FALSE),VLOOKUP($A87,Cuision!$G:$P,10,FALSE),VLOOKUP(BH$83,Cuision!$G:$P,9,FALSE),VLOOKUP(BH$83,Cuision!$G:$P,10,FALSE)))</f>
        <v>3519.4446590994971</v>
      </c>
      <c r="BI87" s="33">
        <f>IF($A87=BI$83, 0, distance(VLOOKUP($A87,Cuision!$G:$P,9,FALSE),VLOOKUP($A87,Cuision!$G:$P,10,FALSE),VLOOKUP(BI$83,Cuision!$G:$P,9,FALSE),VLOOKUP(BI$83,Cuision!$G:$P,10,FALSE)))</f>
        <v>4460.1322200226678</v>
      </c>
      <c r="BJ87" s="33">
        <f>IF($A87=BJ$83, 0, distance(VLOOKUP($A87,Cuision!$G:$P,9,FALSE),VLOOKUP($A87,Cuision!$G:$P,10,FALSE),VLOOKUP(BJ$83,Cuision!$G:$P,9,FALSE),VLOOKUP(BJ$83,Cuision!$G:$P,10,FALSE)))</f>
        <v>3565.0654515008168</v>
      </c>
      <c r="BK87" s="33">
        <f>IF($A87=BK$83, 0, distance(VLOOKUP($A87,Cuision!$G:$P,9,FALSE),VLOOKUP($A87,Cuision!$G:$P,10,FALSE),VLOOKUP(BK$83,Cuision!$G:$P,9,FALSE),VLOOKUP(BK$83,Cuision!$G:$P,10,FALSE)))</f>
        <v>4860.2850342260354</v>
      </c>
      <c r="BL87" s="33">
        <f>IF($A87=BL$83, 0, distance(VLOOKUP($A87,Cuision!$G:$P,9,FALSE),VLOOKUP($A87,Cuision!$G:$P,10,FALSE),VLOOKUP(BL$83,Cuision!$G:$P,9,FALSE),VLOOKUP(BL$83,Cuision!$G:$P,10,FALSE)))</f>
        <v>-1</v>
      </c>
      <c r="BM87" s="33">
        <f>IF($A87=BM$83, 0, distance(VLOOKUP($A87,Cuision!$G:$P,9,FALSE),VLOOKUP($A87,Cuision!$G:$P,10,FALSE),VLOOKUP(BM$83,Cuision!$G:$P,9,FALSE),VLOOKUP(BM$83,Cuision!$G:$P,10,FALSE)))</f>
        <v>-1</v>
      </c>
      <c r="BN87" s="33">
        <f>IF($A87=BN$83, 0, distance(VLOOKUP($A87,Cuision!$G:$P,9,FALSE),VLOOKUP($A87,Cuision!$G:$P,10,FALSE),VLOOKUP(BN$83,Cuision!$G:$P,9,FALSE),VLOOKUP(BN$83,Cuision!$G:$P,10,FALSE)))</f>
        <v>3664.7380839482948</v>
      </c>
      <c r="BO87" s="33">
        <f>IF($A87=BO$83, 0, distance(VLOOKUP($A87,Cuision!$G:$P,9,FALSE),VLOOKUP($A87,Cuision!$G:$P,10,FALSE),VLOOKUP(BO$83,Cuision!$G:$P,9,FALSE),VLOOKUP(BO$83,Cuision!$G:$P,10,FALSE)))</f>
        <v>9658.8971636921433</v>
      </c>
      <c r="BP87" s="33">
        <f>IF($A87=BP$83, 0, distance(VLOOKUP($A87,Cuision!$G:$P,9,FALSE),VLOOKUP($A87,Cuision!$G:$P,10,FALSE),VLOOKUP(BP$83,Cuision!$G:$P,9,FALSE),VLOOKUP(BP$83,Cuision!$G:$P,10,FALSE)))</f>
        <v>4457.7115648599465</v>
      </c>
      <c r="BQ87" s="33">
        <f>IF($A87=BQ$83, 0, distance(VLOOKUP($A87,Cuision!$G:$P,9,FALSE),VLOOKUP($A87,Cuision!$G:$P,10,FALSE),VLOOKUP(BQ$83,Cuision!$G:$P,9,FALSE),VLOOKUP(BQ$83,Cuision!$G:$P,10,FALSE)))</f>
        <v>-1</v>
      </c>
      <c r="BR87" s="33">
        <f>IF($A87=BR$83, 0, distance(VLOOKUP($A87,Cuision!$G:$P,9,FALSE),VLOOKUP($A87,Cuision!$G:$P,10,FALSE),VLOOKUP(BR$83,Cuision!$G:$P,9,FALSE),VLOOKUP(BR$83,Cuision!$G:$P,10,FALSE)))</f>
        <v>0</v>
      </c>
      <c r="BS87" s="33">
        <f>IF($A87=BS$83, 0, distance(VLOOKUP($A87,Cuision!$G:$P,9,FALSE),VLOOKUP($A87,Cuision!$G:$P,10,FALSE),VLOOKUP(BS$83,Cuision!$G:$P,9,FALSE),VLOOKUP(BS$83,Cuision!$G:$P,10,FALSE)))</f>
        <v>6925.3526153099201</v>
      </c>
      <c r="BT87" s="33">
        <f>IF($A87=BT$83, 0, distance(VLOOKUP($A87,Cuision!$G:$P,9,FALSE),VLOOKUP($A87,Cuision!$G:$P,10,FALSE),VLOOKUP(BT$83,Cuision!$G:$P,9,FALSE),VLOOKUP(BT$83,Cuision!$G:$P,10,FALSE)))</f>
        <v>3783.2693926891457</v>
      </c>
      <c r="BU87" s="33">
        <f>IF($A87=BU$83, 0, distance(VLOOKUP($A87,Cuision!$G:$P,9,FALSE),VLOOKUP($A87,Cuision!$G:$P,10,FALSE),VLOOKUP(BU$83,Cuision!$G:$P,9,FALSE),VLOOKUP(BU$83,Cuision!$G:$P,10,FALSE)))</f>
        <v>8795.1435587154083</v>
      </c>
      <c r="BV87" s="33">
        <f>IF($A87=BV$83, 0, distance(VLOOKUP($A87,Cuision!$G:$P,9,FALSE),VLOOKUP($A87,Cuision!$G:$P,10,FALSE),VLOOKUP(BV$83,Cuision!$G:$P,9,FALSE),VLOOKUP(BV$83,Cuision!$G:$P,10,FALSE)))</f>
        <v>5421.3689076575865</v>
      </c>
      <c r="BW87" s="33">
        <f>IF($A87=BW$83, 0, distance(VLOOKUP($A87,Cuision!$G:$P,9,FALSE),VLOOKUP($A87,Cuision!$G:$P,10,FALSE),VLOOKUP(BW$83,Cuision!$G:$P,9,FALSE),VLOOKUP(BW$83,Cuision!$G:$P,10,FALSE)))</f>
        <v>4867.1181653717495</v>
      </c>
      <c r="BX87" s="33">
        <f>IF($A87=BX$83, 0, distance(VLOOKUP($A87,Cuision!$G:$P,9,FALSE),VLOOKUP($A87,Cuision!$G:$P,10,FALSE),VLOOKUP(BX$83,Cuision!$G:$P,9,FALSE),VLOOKUP(BX$83,Cuision!$G:$P,10,FALSE)))</f>
        <v>6504.7911484691258</v>
      </c>
      <c r="BY87" s="33">
        <f>IF($A87=BY$83, 0, distance(VLOOKUP($A87,Cuision!$G:$P,9,FALSE),VLOOKUP($A87,Cuision!$G:$P,10,FALSE),VLOOKUP(BY$83,Cuision!$G:$P,9,FALSE),VLOOKUP(BY$83,Cuision!$G:$P,10,FALSE)))</f>
        <v>-1</v>
      </c>
      <c r="BZ87" s="33">
        <f>IF($A87=BZ$83, 0, distance(VLOOKUP($A87,Cuision!$G:$P,9,FALSE),VLOOKUP($A87,Cuision!$G:$P,10,FALSE),VLOOKUP(BZ$83,Cuision!$G:$P,9,FALSE),VLOOKUP(BZ$83,Cuision!$G:$P,10,FALSE)))</f>
        <v>-1</v>
      </c>
      <c r="CA87" s="33">
        <f>IF($A87=CA$83, 0, distance(VLOOKUP($A87,Cuision!$G:$P,9,FALSE),VLOOKUP($A87,Cuision!$G:$P,10,FALSE),VLOOKUP(CA$83,Cuision!$G:$P,9,FALSE),VLOOKUP(CA$83,Cuision!$G:$P,10,FALSE)))</f>
        <v>8292.1310430124922</v>
      </c>
    </row>
    <row r="88" spans="1:79" ht="14.25" x14ac:dyDescent="0.2">
      <c r="A88" s="30" t="s">
        <v>45</v>
      </c>
      <c r="B88" s="33">
        <f>IF($A88=B$83, 0, distance(VLOOKUP($A88,Cuision!$G:$P,9,FALSE),VLOOKUP($A88,Cuision!$G:$P,10,FALSE),VLOOKUP(B$83,Cuision!$G:$P,9,FALSE),VLOOKUP(B$83,Cuision!$G:$P,10,FALSE)))</f>
        <v>1597.3737268087282</v>
      </c>
      <c r="C88" s="33">
        <f>IF($A88=C$83, 0, distance(VLOOKUP($A88,Cuision!$G:$P,9,FALSE),VLOOKUP($A88,Cuision!$G:$P,10,FALSE),VLOOKUP(C$83,Cuision!$G:$P,9,FALSE),VLOOKUP(C$83,Cuision!$G:$P,10,FALSE)))</f>
        <v>2685.0028308407723</v>
      </c>
      <c r="D88" s="33">
        <f>IF($A88=D$83, 0, distance(VLOOKUP($A88,Cuision!$G:$P,9,FALSE),VLOOKUP($A88,Cuision!$G:$P,10,FALSE),VLOOKUP(D$83,Cuision!$G:$P,9,FALSE),VLOOKUP(D$83,Cuision!$G:$P,10,FALSE)))</f>
        <v>6328.3267379660138</v>
      </c>
      <c r="E88" s="33">
        <f>IF($A88=E$83, 0, distance(VLOOKUP($A88,Cuision!$G:$P,9,FALSE),VLOOKUP($A88,Cuision!$G:$P,10,FALSE),VLOOKUP(E$83,Cuision!$G:$P,9,FALSE),VLOOKUP(E$83,Cuision!$G:$P,10,FALSE)))</f>
        <v>6328.3267379660138</v>
      </c>
      <c r="F88" s="33">
        <f>IF($A88=F$83, 0, distance(VLOOKUP($A88,Cuision!$G:$P,9,FALSE),VLOOKUP($A88,Cuision!$G:$P,10,FALSE),VLOOKUP(F$83,Cuision!$G:$P,9,FALSE),VLOOKUP(F$83,Cuision!$G:$P,10,FALSE)))</f>
        <v>0</v>
      </c>
      <c r="G88" s="33">
        <f>IF($A88=G$83, 0, distance(VLOOKUP($A88,Cuision!$G:$P,9,FALSE),VLOOKUP($A88,Cuision!$G:$P,10,FALSE),VLOOKUP(G$83,Cuision!$G:$P,9,FALSE),VLOOKUP(G$83,Cuision!$G:$P,10,FALSE)))</f>
        <v>7908.0333479105602</v>
      </c>
      <c r="H88" s="33">
        <f>IF($A88=H$83, 0, distance(VLOOKUP($A88,Cuision!$G:$P,9,FALSE),VLOOKUP($A88,Cuision!$G:$P,10,FALSE),VLOOKUP(H$83,Cuision!$G:$P,9,FALSE),VLOOKUP(H$83,Cuision!$G:$P,10,FALSE)))</f>
        <v>759.92339397339265</v>
      </c>
      <c r="I88" s="33">
        <f>IF($A88=I$83, 0, distance(VLOOKUP($A88,Cuision!$G:$P,9,FALSE),VLOOKUP($A88,Cuision!$G:$P,10,FALSE),VLOOKUP(I$83,Cuision!$G:$P,9,FALSE),VLOOKUP(I$83,Cuision!$G:$P,10,FALSE)))</f>
        <v>3384.8801832287927</v>
      </c>
      <c r="J88" s="33">
        <f>IF($A88=J$83, 0, distance(VLOOKUP($A88,Cuision!$G:$P,9,FALSE),VLOOKUP($A88,Cuision!$G:$P,10,FALSE),VLOOKUP(J$83,Cuision!$G:$P,9,FALSE),VLOOKUP(J$83,Cuision!$G:$P,10,FALSE)))</f>
        <v>8226.0882390100815</v>
      </c>
      <c r="K88" s="33">
        <f>IF($A88=K$83, 0, distance(VLOOKUP($A88,Cuision!$G:$P,9,FALSE),VLOOKUP($A88,Cuision!$G:$P,10,FALSE),VLOOKUP(K$83,Cuision!$G:$P,9,FALSE),VLOOKUP(K$83,Cuision!$G:$P,10,FALSE)))</f>
        <v>1905.2350973761031</v>
      </c>
      <c r="L88" s="33">
        <f>IF($A88=L$83, 0, distance(VLOOKUP($A88,Cuision!$G:$P,9,FALSE),VLOOKUP($A88,Cuision!$G:$P,10,FALSE),VLOOKUP(L$83,Cuision!$G:$P,9,FALSE),VLOOKUP(L$83,Cuision!$G:$P,10,FALSE)))</f>
        <v>2964.1187882805129</v>
      </c>
      <c r="M88" s="33">
        <f>IF($A88=M$83, 0, distance(VLOOKUP($A88,Cuision!$G:$P,9,FALSE),VLOOKUP($A88,Cuision!$G:$P,10,FALSE),VLOOKUP(M$83,Cuision!$G:$P,9,FALSE),VLOOKUP(M$83,Cuision!$G:$P,10,FALSE)))</f>
        <v>-1</v>
      </c>
      <c r="N88" s="33">
        <f>IF($A88=N$83, 0, distance(VLOOKUP($A88,Cuision!$G:$P,9,FALSE),VLOOKUP($A88,Cuision!$G:$P,10,FALSE),VLOOKUP(N$83,Cuision!$G:$P,9,FALSE),VLOOKUP(N$83,Cuision!$G:$P,10,FALSE)))</f>
        <v>2699.2022856792228</v>
      </c>
      <c r="O88" s="33">
        <f>IF($A88=O$83, 0, distance(VLOOKUP($A88,Cuision!$G:$P,9,FALSE),VLOOKUP($A88,Cuision!$G:$P,10,FALSE),VLOOKUP(O$83,Cuision!$G:$P,9,FALSE),VLOOKUP(O$83,Cuision!$G:$P,10,FALSE)))</f>
        <v>2465.8810927133145</v>
      </c>
      <c r="P88" s="33">
        <f>IF($A88=P$83, 0, distance(VLOOKUP($A88,Cuision!$G:$P,9,FALSE),VLOOKUP($A88,Cuision!$G:$P,10,FALSE),VLOOKUP(P$83,Cuision!$G:$P,9,FALSE),VLOOKUP(P$83,Cuision!$G:$P,10,FALSE)))</f>
        <v>6774.6208964587368</v>
      </c>
      <c r="Q88" s="33">
        <f>IF($A88=Q$83, 0, distance(VLOOKUP($A88,Cuision!$G:$P,9,FALSE),VLOOKUP($A88,Cuision!$G:$P,10,FALSE),VLOOKUP(Q$83,Cuision!$G:$P,9,FALSE),VLOOKUP(Q$83,Cuision!$G:$P,10,FALSE)))</f>
        <v>-1</v>
      </c>
      <c r="R88" s="33">
        <f>IF($A88=R$83, 0, distance(VLOOKUP($A88,Cuision!$G:$P,9,FALSE),VLOOKUP($A88,Cuision!$G:$P,10,FALSE),VLOOKUP(R$83,Cuision!$G:$P,9,FALSE),VLOOKUP(R$83,Cuision!$G:$P,10,FALSE)))</f>
        <v>2663.5886544931418</v>
      </c>
      <c r="S88" s="33">
        <f>IF($A88=S$83, 0, distance(VLOOKUP($A88,Cuision!$G:$P,9,FALSE),VLOOKUP($A88,Cuision!$G:$P,10,FALSE),VLOOKUP(S$83,Cuision!$G:$P,9,FALSE),VLOOKUP(S$83,Cuision!$G:$P,10,FALSE)))</f>
        <v>-1</v>
      </c>
      <c r="T88" s="33">
        <f>IF($A88=T$83, 0, distance(VLOOKUP($A88,Cuision!$G:$P,9,FALSE),VLOOKUP($A88,Cuision!$G:$P,10,FALSE),VLOOKUP(T$83,Cuision!$G:$P,9,FALSE),VLOOKUP(T$83,Cuision!$G:$P,10,FALSE)))</f>
        <v>3403.1363502407648</v>
      </c>
      <c r="U88" s="33">
        <f>IF($A88=U$83, 0, distance(VLOOKUP($A88,Cuision!$G:$P,9,FALSE),VLOOKUP($A88,Cuision!$G:$P,10,FALSE),VLOOKUP(U$83,Cuision!$G:$P,9,FALSE),VLOOKUP(U$83,Cuision!$G:$P,10,FALSE)))</f>
        <v>-1</v>
      </c>
      <c r="V88" s="33">
        <f>IF($A88=V$83, 0, distance(VLOOKUP($A88,Cuision!$G:$P,9,FALSE),VLOOKUP($A88,Cuision!$G:$P,10,FALSE),VLOOKUP(V$83,Cuision!$G:$P,9,FALSE),VLOOKUP(V$83,Cuision!$G:$P,10,FALSE)))</f>
        <v>6328.3267379660138</v>
      </c>
      <c r="W88" s="33">
        <f>IF($A88=W$83, 0, distance(VLOOKUP($A88,Cuision!$G:$P,9,FALSE),VLOOKUP($A88,Cuision!$G:$P,10,FALSE),VLOOKUP(W$83,Cuision!$G:$P,9,FALSE),VLOOKUP(W$83,Cuision!$G:$P,10,FALSE)))</f>
        <v>4171.3559054885782</v>
      </c>
      <c r="X88" s="33">
        <f>IF($A88=X$83, 0, distance(VLOOKUP($A88,Cuision!$G:$P,9,FALSE),VLOOKUP($A88,Cuision!$G:$P,10,FALSE),VLOOKUP(X$83,Cuision!$G:$P,9,FALSE),VLOOKUP(X$83,Cuision!$G:$P,10,FALSE)))</f>
        <v>2699.2022856792228</v>
      </c>
      <c r="Y88" s="33">
        <f>IF($A88=Y$83, 0, distance(VLOOKUP($A88,Cuision!$G:$P,9,FALSE),VLOOKUP($A88,Cuision!$G:$P,10,FALSE),VLOOKUP(Y$83,Cuision!$G:$P,9,FALSE),VLOOKUP(Y$83,Cuision!$G:$P,10,FALSE)))</f>
        <v>4145.2066021845849</v>
      </c>
      <c r="Z88" s="33">
        <f>IF($A88=Z$83, 0, distance(VLOOKUP($A88,Cuision!$G:$P,9,FALSE),VLOOKUP($A88,Cuision!$G:$P,10,FALSE),VLOOKUP(Z$83,Cuision!$G:$P,9,FALSE),VLOOKUP(Z$83,Cuision!$G:$P,10,FALSE)))</f>
        <v>-1</v>
      </c>
      <c r="AA88" s="33">
        <f>IF($A88=AA$83, 0, distance(VLOOKUP($A88,Cuision!$G:$P,9,FALSE),VLOOKUP($A88,Cuision!$G:$P,10,FALSE),VLOOKUP(AA$83,Cuision!$G:$P,9,FALSE),VLOOKUP(AA$83,Cuision!$G:$P,10,FALSE)))</f>
        <v>7287.916379619799</v>
      </c>
      <c r="AB88" s="33">
        <f>IF($A88=AB$83, 0, distance(VLOOKUP($A88,Cuision!$G:$P,9,FALSE),VLOOKUP($A88,Cuision!$G:$P,10,FALSE),VLOOKUP(AB$83,Cuision!$G:$P,9,FALSE),VLOOKUP(AB$83,Cuision!$G:$P,10,FALSE)))</f>
        <v>2050.7521954723848</v>
      </c>
      <c r="AC88" s="33">
        <f>IF($A88=AC$83, 0, distance(VLOOKUP($A88,Cuision!$G:$P,9,FALSE),VLOOKUP($A88,Cuision!$G:$P,10,FALSE),VLOOKUP(AC$83,Cuision!$G:$P,9,FALSE),VLOOKUP(AC$83,Cuision!$G:$P,10,FALSE)))</f>
        <v>1422.5251673874473</v>
      </c>
      <c r="AD88" s="33">
        <f>IF($A88=AD$83, 0, distance(VLOOKUP($A88,Cuision!$G:$P,9,FALSE),VLOOKUP($A88,Cuision!$G:$P,10,FALSE),VLOOKUP(AD$83,Cuision!$G:$P,9,FALSE),VLOOKUP(AD$83,Cuision!$G:$P,10,FALSE)))</f>
        <v>5042.5080887338581</v>
      </c>
      <c r="AE88" s="33">
        <f>IF($A88=AE$83, 0, distance(VLOOKUP($A88,Cuision!$G:$P,9,FALSE),VLOOKUP($A88,Cuision!$G:$P,10,FALSE),VLOOKUP(AE$83,Cuision!$G:$P,9,FALSE),VLOOKUP(AE$83,Cuision!$G:$P,10,FALSE)))</f>
        <v>2652.6220509166424</v>
      </c>
      <c r="AF88" s="33">
        <f>IF($A88=AF$83, 0, distance(VLOOKUP($A88,Cuision!$G:$P,9,FALSE),VLOOKUP($A88,Cuision!$G:$P,10,FALSE),VLOOKUP(AF$83,Cuision!$G:$P,9,FALSE),VLOOKUP(AF$83,Cuision!$G:$P,10,FALSE)))</f>
        <v>2502.2183139621284</v>
      </c>
      <c r="AG88" s="33">
        <f>IF($A88=AG$83, 0, distance(VLOOKUP($A88,Cuision!$G:$P,9,FALSE),VLOOKUP($A88,Cuision!$G:$P,10,FALSE),VLOOKUP(AG$83,Cuision!$G:$P,9,FALSE),VLOOKUP(AG$83,Cuision!$G:$P,10,FALSE)))</f>
        <v>2182.5385348179407</v>
      </c>
      <c r="AH88" s="33">
        <f>IF($A88=AH$83, 0, distance(VLOOKUP($A88,Cuision!$G:$P,9,FALSE),VLOOKUP($A88,Cuision!$G:$P,10,FALSE),VLOOKUP(AH$83,Cuision!$G:$P,9,FALSE),VLOOKUP(AH$83,Cuision!$G:$P,10,FALSE)))</f>
        <v>-1</v>
      </c>
      <c r="AI88" s="33">
        <f>IF($A88=AI$83, 0, distance(VLOOKUP($A88,Cuision!$G:$P,9,FALSE),VLOOKUP($A88,Cuision!$G:$P,10,FALSE),VLOOKUP(AI$83,Cuision!$G:$P,9,FALSE),VLOOKUP(AI$83,Cuision!$G:$P,10,FALSE)))</f>
        <v>1234.7100129660098</v>
      </c>
      <c r="AJ88" s="33">
        <f>IF($A88=AJ$83, 0, distance(VLOOKUP($A88,Cuision!$G:$P,9,FALSE),VLOOKUP($A88,Cuision!$G:$P,10,FALSE),VLOOKUP(AJ$83,Cuision!$G:$P,9,FALSE),VLOOKUP(AJ$83,Cuision!$G:$P,10,FALSE)))</f>
        <v>0</v>
      </c>
      <c r="AK88" s="33">
        <f>IF($A88=AK$83, 0, distance(VLOOKUP($A88,Cuision!$G:$P,9,FALSE),VLOOKUP($A88,Cuision!$G:$P,10,FALSE),VLOOKUP(AK$83,Cuision!$G:$P,9,FALSE),VLOOKUP(AK$83,Cuision!$G:$P,10,FALSE)))</f>
        <v>8828.9357682627578</v>
      </c>
      <c r="AL88" s="33">
        <f>IF($A88=AL$83, 0, distance(VLOOKUP($A88,Cuision!$G:$P,9,FALSE),VLOOKUP($A88,Cuision!$G:$P,10,FALSE),VLOOKUP(AL$83,Cuision!$G:$P,9,FALSE),VLOOKUP(AL$83,Cuision!$G:$P,10,FALSE)))</f>
        <v>2584.7265178800044</v>
      </c>
      <c r="AM88" s="33">
        <f>IF($A88=AM$83, 0, distance(VLOOKUP($A88,Cuision!$G:$P,9,FALSE),VLOOKUP($A88,Cuision!$G:$P,10,FALSE),VLOOKUP(AM$83,Cuision!$G:$P,9,FALSE),VLOOKUP(AM$83,Cuision!$G:$P,10,FALSE)))</f>
        <v>-1</v>
      </c>
      <c r="AN88" s="33">
        <f>IF($A88=AN$83, 0, distance(VLOOKUP($A88,Cuision!$G:$P,9,FALSE),VLOOKUP($A88,Cuision!$G:$P,10,FALSE),VLOOKUP(AN$83,Cuision!$G:$P,9,FALSE),VLOOKUP(AN$83,Cuision!$G:$P,10,FALSE)))</f>
        <v>1775.8304240609064</v>
      </c>
      <c r="AO88" s="33">
        <f>IF($A88=AO$83, 0, distance(VLOOKUP($A88,Cuision!$G:$P,9,FALSE),VLOOKUP($A88,Cuision!$G:$P,10,FALSE),VLOOKUP(AO$83,Cuision!$G:$P,9,FALSE),VLOOKUP(AO$83,Cuision!$G:$P,10,FALSE)))</f>
        <v>2699.2022856792228</v>
      </c>
      <c r="AP88" s="33">
        <f>IF($A88=AP$83, 0, distance(VLOOKUP($A88,Cuision!$G:$P,9,FALSE),VLOOKUP($A88,Cuision!$G:$P,10,FALSE),VLOOKUP(AP$83,Cuision!$G:$P,9,FALSE),VLOOKUP(AP$83,Cuision!$G:$P,10,FALSE)))</f>
        <v>2088.3496191523295</v>
      </c>
      <c r="AQ88" s="33">
        <f>IF($A88=AQ$83, 0, distance(VLOOKUP($A88,Cuision!$G:$P,9,FALSE),VLOOKUP($A88,Cuision!$G:$P,10,FALSE),VLOOKUP(AQ$83,Cuision!$G:$P,9,FALSE),VLOOKUP(AQ$83,Cuision!$G:$P,10,FALSE)))</f>
        <v>4915.9478722838057</v>
      </c>
      <c r="AR88" s="33">
        <f>IF($A88=AR$83, 0, distance(VLOOKUP($A88,Cuision!$G:$P,9,FALSE),VLOOKUP($A88,Cuision!$G:$P,10,FALSE),VLOOKUP(AR$83,Cuision!$G:$P,9,FALSE),VLOOKUP(AR$83,Cuision!$G:$P,10,FALSE)))</f>
        <v>2663.5886544931418</v>
      </c>
      <c r="AS88" s="33">
        <f>IF($A88=AS$83, 0, distance(VLOOKUP($A88,Cuision!$G:$P,9,FALSE),VLOOKUP($A88,Cuision!$G:$P,10,FALSE),VLOOKUP(AS$83,Cuision!$G:$P,9,FALSE),VLOOKUP(AS$83,Cuision!$G:$P,10,FALSE)))</f>
        <v>1886.5651214829372</v>
      </c>
      <c r="AT88" s="33">
        <f>IF($A88=AT$83, 0, distance(VLOOKUP($A88,Cuision!$G:$P,9,FALSE),VLOOKUP($A88,Cuision!$G:$P,10,FALSE),VLOOKUP(AT$83,Cuision!$G:$P,9,FALSE),VLOOKUP(AT$83,Cuision!$G:$P,10,FALSE)))</f>
        <v>5431.2384318717377</v>
      </c>
      <c r="AU88" s="33">
        <f>IF($A88=AU$83, 0, distance(VLOOKUP($A88,Cuision!$G:$P,9,FALSE),VLOOKUP($A88,Cuision!$G:$P,10,FALSE),VLOOKUP(AU$83,Cuision!$G:$P,9,FALSE),VLOOKUP(AU$83,Cuision!$G:$P,10,FALSE)))</f>
        <v>4737.0061527829203</v>
      </c>
      <c r="AV88" s="33">
        <f>IF($A88=AV$83, 0, distance(VLOOKUP($A88,Cuision!$G:$P,9,FALSE),VLOOKUP($A88,Cuision!$G:$P,10,FALSE),VLOOKUP(AV$83,Cuision!$G:$P,9,FALSE),VLOOKUP(AV$83,Cuision!$G:$P,10,FALSE)))</f>
        <v>750.69136448203346</v>
      </c>
      <c r="AW88" s="33">
        <f>IF($A88=AW$83, 0, distance(VLOOKUP($A88,Cuision!$G:$P,9,FALSE),VLOOKUP($A88,Cuision!$G:$P,10,FALSE),VLOOKUP(AW$83,Cuision!$G:$P,9,FALSE),VLOOKUP(AW$83,Cuision!$G:$P,10,FALSE)))</f>
        <v>3840.6105326694137</v>
      </c>
      <c r="AX88" s="33">
        <f>IF($A88=AX$83, 0, distance(VLOOKUP($A88,Cuision!$G:$P,9,FALSE),VLOOKUP($A88,Cuision!$G:$P,10,FALSE),VLOOKUP(AX$83,Cuision!$G:$P,9,FALSE),VLOOKUP(AX$83,Cuision!$G:$P,10,FALSE)))</f>
        <v>7203.8206176159465</v>
      </c>
      <c r="AY88" s="33">
        <f>IF($A88=AY$83, 0, distance(VLOOKUP($A88,Cuision!$G:$P,9,FALSE),VLOOKUP($A88,Cuision!$G:$P,10,FALSE),VLOOKUP(AY$83,Cuision!$G:$P,9,FALSE),VLOOKUP(AY$83,Cuision!$G:$P,10,FALSE)))</f>
        <v>-1</v>
      </c>
      <c r="AZ88" s="33">
        <f>IF($A88=AZ$83, 0, distance(VLOOKUP($A88,Cuision!$G:$P,9,FALSE),VLOOKUP($A88,Cuision!$G:$P,10,FALSE),VLOOKUP(AZ$83,Cuision!$G:$P,9,FALSE),VLOOKUP(AZ$83,Cuision!$G:$P,10,FALSE)))</f>
        <v>4265.6135520296511</v>
      </c>
      <c r="BA88" s="33">
        <f>IF($A88=BA$83, 0, distance(VLOOKUP($A88,Cuision!$G:$P,9,FALSE),VLOOKUP($A88,Cuision!$G:$P,10,FALSE),VLOOKUP(BA$83,Cuision!$G:$P,9,FALSE),VLOOKUP(BA$83,Cuision!$G:$P,10,FALSE)))</f>
        <v>1477.9165770989318</v>
      </c>
      <c r="BB88" s="33">
        <f>IF($A88=BB$83, 0, distance(VLOOKUP($A88,Cuision!$G:$P,9,FALSE),VLOOKUP($A88,Cuision!$G:$P,10,FALSE),VLOOKUP(BB$83,Cuision!$G:$P,9,FALSE),VLOOKUP(BB$83,Cuision!$G:$P,10,FALSE)))</f>
        <v>8211.061713138346</v>
      </c>
      <c r="BC88" s="33">
        <f>IF($A88=BC$83, 0, distance(VLOOKUP($A88,Cuision!$G:$P,9,FALSE),VLOOKUP($A88,Cuision!$G:$P,10,FALSE),VLOOKUP(BC$83,Cuision!$G:$P,9,FALSE),VLOOKUP(BC$83,Cuision!$G:$P,10,FALSE)))</f>
        <v>0</v>
      </c>
      <c r="BD88" s="33">
        <f>IF($A88=BD$83, 0, distance(VLOOKUP($A88,Cuision!$G:$P,9,FALSE),VLOOKUP($A88,Cuision!$G:$P,10,FALSE),VLOOKUP(BD$83,Cuision!$G:$P,9,FALSE),VLOOKUP(BD$83,Cuision!$G:$P,10,FALSE)))</f>
        <v>3589.0637776768831</v>
      </c>
      <c r="BE88" s="33">
        <f>IF($A88=BE$83, 0, distance(VLOOKUP($A88,Cuision!$G:$P,9,FALSE),VLOOKUP($A88,Cuision!$G:$P,10,FALSE),VLOOKUP(BE$83,Cuision!$G:$P,9,FALSE),VLOOKUP(BE$83,Cuision!$G:$P,10,FALSE)))</f>
        <v>2894.6643241480492</v>
      </c>
      <c r="BF88" s="33">
        <f>IF($A88=BF$83, 0, distance(VLOOKUP($A88,Cuision!$G:$P,9,FALSE),VLOOKUP($A88,Cuision!$G:$P,10,FALSE),VLOOKUP(BF$83,Cuision!$G:$P,9,FALSE),VLOOKUP(BF$83,Cuision!$G:$P,10,FALSE)))</f>
        <v>1814.9299588358174</v>
      </c>
      <c r="BG88" s="33">
        <f>IF($A88=BG$83, 0, distance(VLOOKUP($A88,Cuision!$G:$P,9,FALSE),VLOOKUP($A88,Cuision!$G:$P,10,FALSE),VLOOKUP(BG$83,Cuision!$G:$P,9,FALSE),VLOOKUP(BG$83,Cuision!$G:$P,10,FALSE)))</f>
        <v>679.22167101187461</v>
      </c>
      <c r="BH88" s="33">
        <f>IF($A88=BH$83, 0, distance(VLOOKUP($A88,Cuision!$G:$P,9,FALSE),VLOOKUP($A88,Cuision!$G:$P,10,FALSE),VLOOKUP(BH$83,Cuision!$G:$P,9,FALSE),VLOOKUP(BH$83,Cuision!$G:$P,10,FALSE)))</f>
        <v>8397.292438003582</v>
      </c>
      <c r="BI88" s="33">
        <f>IF($A88=BI$83, 0, distance(VLOOKUP($A88,Cuision!$G:$P,9,FALSE),VLOOKUP($A88,Cuision!$G:$P,10,FALSE),VLOOKUP(BI$83,Cuision!$G:$P,9,FALSE),VLOOKUP(BI$83,Cuision!$G:$P,10,FALSE)))</f>
        <v>1928.4684225148196</v>
      </c>
      <c r="BJ88" s="33">
        <f>IF($A88=BJ$83, 0, distance(VLOOKUP($A88,Cuision!$G:$P,9,FALSE),VLOOKUP($A88,Cuision!$G:$P,10,FALSE),VLOOKUP(BJ$83,Cuision!$G:$P,9,FALSE),VLOOKUP(BJ$83,Cuision!$G:$P,10,FALSE)))</f>
        <v>2990.3877013395577</v>
      </c>
      <c r="BK88" s="33">
        <f>IF($A88=BK$83, 0, distance(VLOOKUP($A88,Cuision!$G:$P,9,FALSE),VLOOKUP($A88,Cuision!$G:$P,10,FALSE),VLOOKUP(BK$83,Cuision!$G:$P,9,FALSE),VLOOKUP(BK$83,Cuision!$G:$P,10,FALSE)))</f>
        <v>1843.6098621288322</v>
      </c>
      <c r="BL88" s="33">
        <f>IF($A88=BL$83, 0, distance(VLOOKUP($A88,Cuision!$G:$P,9,FALSE),VLOOKUP($A88,Cuision!$G:$P,10,FALSE),VLOOKUP(BL$83,Cuision!$G:$P,9,FALSE),VLOOKUP(BL$83,Cuision!$G:$P,10,FALSE)))</f>
        <v>-1</v>
      </c>
      <c r="BM88" s="33">
        <f>IF($A88=BM$83, 0, distance(VLOOKUP($A88,Cuision!$G:$P,9,FALSE),VLOOKUP($A88,Cuision!$G:$P,10,FALSE),VLOOKUP(BM$83,Cuision!$G:$P,9,FALSE),VLOOKUP(BM$83,Cuision!$G:$P,10,FALSE)))</f>
        <v>-1</v>
      </c>
      <c r="BN88" s="33">
        <f>IF($A88=BN$83, 0, distance(VLOOKUP($A88,Cuision!$G:$P,9,FALSE),VLOOKUP($A88,Cuision!$G:$P,10,FALSE),VLOOKUP(BN$83,Cuision!$G:$P,9,FALSE),VLOOKUP(BN$83,Cuision!$G:$P,10,FALSE)))</f>
        <v>2663.5886544931418</v>
      </c>
      <c r="BO88" s="33">
        <f>IF($A88=BO$83, 0, distance(VLOOKUP($A88,Cuision!$G:$P,9,FALSE),VLOOKUP($A88,Cuision!$G:$P,10,FALSE),VLOOKUP(BO$83,Cuision!$G:$P,9,FALSE),VLOOKUP(BO$83,Cuision!$G:$P,10,FALSE)))</f>
        <v>4459.7813872301176</v>
      </c>
      <c r="BP88" s="33">
        <f>IF($A88=BP$83, 0, distance(VLOOKUP($A88,Cuision!$G:$P,9,FALSE),VLOOKUP($A88,Cuision!$G:$P,10,FALSE),VLOOKUP(BP$83,Cuision!$G:$P,9,FALSE),VLOOKUP(BP$83,Cuision!$G:$P,10,FALSE)))</f>
        <v>1874.7303697421555</v>
      </c>
      <c r="BQ88" s="33">
        <f>IF($A88=BQ$83, 0, distance(VLOOKUP($A88,Cuision!$G:$P,9,FALSE),VLOOKUP($A88,Cuision!$G:$P,10,FALSE),VLOOKUP(BQ$83,Cuision!$G:$P,9,FALSE),VLOOKUP(BQ$83,Cuision!$G:$P,10,FALSE)))</f>
        <v>-1</v>
      </c>
      <c r="BR88" s="33">
        <f>IF($A88=BR$83, 0, distance(VLOOKUP($A88,Cuision!$G:$P,9,FALSE),VLOOKUP($A88,Cuision!$G:$P,10,FALSE),VLOOKUP(BR$83,Cuision!$G:$P,9,FALSE),VLOOKUP(BR$83,Cuision!$G:$P,10,FALSE)))</f>
        <v>6328.3267379660138</v>
      </c>
      <c r="BS88" s="33">
        <f>IF($A88=BS$83, 0, distance(VLOOKUP($A88,Cuision!$G:$P,9,FALSE),VLOOKUP($A88,Cuision!$G:$P,10,FALSE),VLOOKUP(BS$83,Cuision!$G:$P,9,FALSE),VLOOKUP(BS$83,Cuision!$G:$P,10,FALSE)))</f>
        <v>4145.2066021845849</v>
      </c>
      <c r="BT88" s="33">
        <f>IF($A88=BT$83, 0, distance(VLOOKUP($A88,Cuision!$G:$P,9,FALSE),VLOOKUP($A88,Cuision!$G:$P,10,FALSE),VLOOKUP(BT$83,Cuision!$G:$P,9,FALSE),VLOOKUP(BT$83,Cuision!$G:$P,10,FALSE)))</f>
        <v>2699.2022856792228</v>
      </c>
      <c r="BU88" s="33">
        <f>IF($A88=BU$83, 0, distance(VLOOKUP($A88,Cuision!$G:$P,9,FALSE),VLOOKUP($A88,Cuision!$G:$P,10,FALSE),VLOOKUP(BU$83,Cuision!$G:$P,9,FALSE),VLOOKUP(BU$83,Cuision!$G:$P,10,FALSE)))</f>
        <v>3837.2025088645214</v>
      </c>
      <c r="BV88" s="33">
        <f>IF($A88=BV$83, 0, distance(VLOOKUP($A88,Cuision!$G:$P,9,FALSE),VLOOKUP($A88,Cuision!$G:$P,10,FALSE),VLOOKUP(BV$83,Cuision!$G:$P,9,FALSE),VLOOKUP(BV$83,Cuision!$G:$P,10,FALSE)))</f>
        <v>916.76987693497176</v>
      </c>
      <c r="BW88" s="33">
        <f>IF($A88=BW$83, 0, distance(VLOOKUP($A88,Cuision!$G:$P,9,FALSE),VLOOKUP($A88,Cuision!$G:$P,10,FALSE),VLOOKUP(BW$83,Cuision!$G:$P,9,FALSE),VLOOKUP(BW$83,Cuision!$G:$P,10,FALSE)))</f>
        <v>1589.8019982023834</v>
      </c>
      <c r="BX88" s="33">
        <f>IF($A88=BX$83, 0, distance(VLOOKUP($A88,Cuision!$G:$P,9,FALSE),VLOOKUP($A88,Cuision!$G:$P,10,FALSE),VLOOKUP(BX$83,Cuision!$G:$P,9,FALSE),VLOOKUP(BX$83,Cuision!$G:$P,10,FALSE)))</f>
        <v>1706.1794779189991</v>
      </c>
      <c r="BY88" s="33">
        <f>IF($A88=BY$83, 0, distance(VLOOKUP($A88,Cuision!$G:$P,9,FALSE),VLOOKUP($A88,Cuision!$G:$P,10,FALSE),VLOOKUP(BY$83,Cuision!$G:$P,9,FALSE),VLOOKUP(BY$83,Cuision!$G:$P,10,FALSE)))</f>
        <v>-1</v>
      </c>
      <c r="BZ88" s="33">
        <f>IF($A88=BZ$83, 0, distance(VLOOKUP($A88,Cuision!$G:$P,9,FALSE),VLOOKUP($A88,Cuision!$G:$P,10,FALSE),VLOOKUP(BZ$83,Cuision!$G:$P,9,FALSE),VLOOKUP(BZ$83,Cuision!$G:$P,10,FALSE)))</f>
        <v>-1</v>
      </c>
      <c r="CA88" s="33">
        <f>IF($A88=CA$83, 0, distance(VLOOKUP($A88,Cuision!$G:$P,9,FALSE),VLOOKUP($A88,Cuision!$G:$P,10,FALSE),VLOOKUP(CA$83,Cuision!$G:$P,9,FALSE),VLOOKUP(CA$83,Cuision!$G:$P,10,FALSE)))</f>
        <v>3953.220892070327</v>
      </c>
    </row>
    <row r="89" spans="1:79" ht="14.25" x14ac:dyDescent="0.2">
      <c r="A89" s="30" t="s">
        <v>46</v>
      </c>
      <c r="B89" s="33">
        <f>IF($A89=B$83, 0, distance(VLOOKUP($A89,Cuision!$G:$P,9,FALSE),VLOOKUP($A89,Cuision!$G:$P,10,FALSE),VLOOKUP(B$83,Cuision!$G:$P,9,FALSE),VLOOKUP(B$83,Cuision!$G:$P,10,FALSE)))</f>
        <v>9487.6764570485284</v>
      </c>
      <c r="C89" s="33">
        <f>IF($A89=C$83, 0, distance(VLOOKUP($A89,Cuision!$G:$P,9,FALSE),VLOOKUP($A89,Cuision!$G:$P,10,FALSE),VLOOKUP(C$83,Cuision!$G:$P,9,FALSE),VLOOKUP(C$83,Cuision!$G:$P,10,FALSE)))</f>
        <v>6036.9698707560456</v>
      </c>
      <c r="D89" s="33">
        <f>IF($A89=D$83, 0, distance(VLOOKUP($A89,Cuision!$G:$P,9,FALSE),VLOOKUP($A89,Cuision!$G:$P,10,FALSE),VLOOKUP(D$83,Cuision!$G:$P,9,FALSE),VLOOKUP(D$83,Cuision!$G:$P,10,FALSE)))</f>
        <v>5217.1202018930744</v>
      </c>
      <c r="E89" s="33">
        <f>IF($A89=E$83, 0, distance(VLOOKUP($A89,Cuision!$G:$P,9,FALSE),VLOOKUP($A89,Cuision!$G:$P,10,FALSE),VLOOKUP(E$83,Cuision!$G:$P,9,FALSE),VLOOKUP(E$83,Cuision!$G:$P,10,FALSE)))</f>
        <v>5217.1202018930744</v>
      </c>
      <c r="F89" s="33">
        <f>IF($A89=F$83, 0, distance(VLOOKUP($A89,Cuision!$G:$P,9,FALSE),VLOOKUP($A89,Cuision!$G:$P,10,FALSE),VLOOKUP(F$83,Cuision!$G:$P,9,FALSE),VLOOKUP(F$83,Cuision!$G:$P,10,FALSE)))</f>
        <v>7908.0333479105602</v>
      </c>
      <c r="G89" s="33">
        <f>IF($A89=G$83, 0, distance(VLOOKUP($A89,Cuision!$G:$P,9,FALSE),VLOOKUP($A89,Cuision!$G:$P,10,FALSE),VLOOKUP(G$83,Cuision!$G:$P,9,FALSE),VLOOKUP(G$83,Cuision!$G:$P,10,FALSE)))</f>
        <v>0</v>
      </c>
      <c r="H89" s="33">
        <f>IF($A89=H$83, 0, distance(VLOOKUP($A89,Cuision!$G:$P,9,FALSE),VLOOKUP($A89,Cuision!$G:$P,10,FALSE),VLOOKUP(H$83,Cuision!$G:$P,9,FALSE),VLOOKUP(H$83,Cuision!$G:$P,10,FALSE)))</f>
        <v>8321.6647044324982</v>
      </c>
      <c r="I89" s="33">
        <f>IF($A89=I$83, 0, distance(VLOOKUP($A89,Cuision!$G:$P,9,FALSE),VLOOKUP($A89,Cuision!$G:$P,10,FALSE),VLOOKUP(I$83,Cuision!$G:$P,9,FALSE),VLOOKUP(I$83,Cuision!$G:$P,10,FALSE)))</f>
        <v>11239.55079452049</v>
      </c>
      <c r="J89" s="33">
        <f>IF($A89=J$83, 0, distance(VLOOKUP($A89,Cuision!$G:$P,9,FALSE),VLOOKUP($A89,Cuision!$G:$P,10,FALSE),VLOOKUP(J$83,Cuision!$G:$P,9,FALSE),VLOOKUP(J$83,Cuision!$G:$P,10,FALSE)))</f>
        <v>7291.5264277192118</v>
      </c>
      <c r="K89" s="33">
        <f>IF($A89=K$83, 0, distance(VLOOKUP($A89,Cuision!$G:$P,9,FALSE),VLOOKUP($A89,Cuision!$G:$P,10,FALSE),VLOOKUP(K$83,Cuision!$G:$P,9,FALSE),VLOOKUP(K$83,Cuision!$G:$P,10,FALSE)))</f>
        <v>7338.3068379799888</v>
      </c>
      <c r="L89" s="33">
        <f>IF($A89=L$83, 0, distance(VLOOKUP($A89,Cuision!$G:$P,9,FALSE),VLOOKUP($A89,Cuision!$G:$P,10,FALSE),VLOOKUP(L$83,Cuision!$G:$P,9,FALSE),VLOOKUP(L$83,Cuision!$G:$P,10,FALSE)))</f>
        <v>10418.575812935869</v>
      </c>
      <c r="M89" s="33">
        <f>IF($A89=M$83, 0, distance(VLOOKUP($A89,Cuision!$G:$P,9,FALSE),VLOOKUP($A89,Cuision!$G:$P,10,FALSE),VLOOKUP(M$83,Cuision!$G:$P,9,FALSE),VLOOKUP(M$83,Cuision!$G:$P,10,FALSE)))</f>
        <v>-1</v>
      </c>
      <c r="N89" s="33">
        <f>IF($A89=N$83, 0, distance(VLOOKUP($A89,Cuision!$G:$P,9,FALSE),VLOOKUP($A89,Cuision!$G:$P,10,FALSE),VLOOKUP(N$83,Cuision!$G:$P,9,FALSE),VLOOKUP(N$83,Cuision!$G:$P,10,FALSE)))</f>
        <v>6241.9215071578274</v>
      </c>
      <c r="O89" s="33">
        <f>IF($A89=O$83, 0, distance(VLOOKUP($A89,Cuision!$G:$P,9,FALSE),VLOOKUP($A89,Cuision!$G:$P,10,FALSE),VLOOKUP(O$83,Cuision!$G:$P,9,FALSE),VLOOKUP(O$83,Cuision!$G:$P,10,FALSE)))</f>
        <v>7024.8347873324255</v>
      </c>
      <c r="P89" s="33">
        <f>IF($A89=P$83, 0, distance(VLOOKUP($A89,Cuision!$G:$P,9,FALSE),VLOOKUP($A89,Cuision!$G:$P,10,FALSE),VLOOKUP(P$83,Cuision!$G:$P,9,FALSE),VLOOKUP(P$83,Cuision!$G:$P,10,FALSE)))</f>
        <v>1453.5036202845822</v>
      </c>
      <c r="Q89" s="33">
        <f>IF($A89=Q$83, 0, distance(VLOOKUP($A89,Cuision!$G:$P,9,FALSE),VLOOKUP($A89,Cuision!$G:$P,10,FALSE),VLOOKUP(Q$83,Cuision!$G:$P,9,FALSE),VLOOKUP(Q$83,Cuision!$G:$P,10,FALSE)))</f>
        <v>-1</v>
      </c>
      <c r="R89" s="33">
        <f>IF($A89=R$83, 0, distance(VLOOKUP($A89,Cuision!$G:$P,9,FALSE),VLOOKUP($A89,Cuision!$G:$P,10,FALSE),VLOOKUP(R$83,Cuision!$G:$P,9,FALSE),VLOOKUP(R$83,Cuision!$G:$P,10,FALSE)))</f>
        <v>6914.536194099418</v>
      </c>
      <c r="S89" s="33">
        <f>IF($A89=S$83, 0, distance(VLOOKUP($A89,Cuision!$G:$P,9,FALSE),VLOOKUP($A89,Cuision!$G:$P,10,FALSE),VLOOKUP(S$83,Cuision!$G:$P,9,FALSE),VLOOKUP(S$83,Cuision!$G:$P,10,FALSE)))</f>
        <v>-1</v>
      </c>
      <c r="T89" s="33">
        <f>IF($A89=T$83, 0, distance(VLOOKUP($A89,Cuision!$G:$P,9,FALSE),VLOOKUP($A89,Cuision!$G:$P,10,FALSE),VLOOKUP(T$83,Cuision!$G:$P,9,FALSE),VLOOKUP(T$83,Cuision!$G:$P,10,FALSE)))</f>
        <v>10572.055262272017</v>
      </c>
      <c r="U89" s="33">
        <f>IF($A89=U$83, 0, distance(VLOOKUP($A89,Cuision!$G:$P,9,FALSE),VLOOKUP($A89,Cuision!$G:$P,10,FALSE),VLOOKUP(U$83,Cuision!$G:$P,9,FALSE),VLOOKUP(U$83,Cuision!$G:$P,10,FALSE)))</f>
        <v>-1</v>
      </c>
      <c r="V89" s="33">
        <f>IF($A89=V$83, 0, distance(VLOOKUP($A89,Cuision!$G:$P,9,FALSE),VLOOKUP($A89,Cuision!$G:$P,10,FALSE),VLOOKUP(V$83,Cuision!$G:$P,9,FALSE),VLOOKUP(V$83,Cuision!$G:$P,10,FALSE)))</f>
        <v>5217.1202018930744</v>
      </c>
      <c r="W89" s="33">
        <f>IF($A89=W$83, 0, distance(VLOOKUP($A89,Cuision!$G:$P,9,FALSE),VLOOKUP($A89,Cuision!$G:$P,10,FALSE),VLOOKUP(W$83,Cuision!$G:$P,9,FALSE),VLOOKUP(W$83,Cuision!$G:$P,10,FALSE)))</f>
        <v>10528.89260009835</v>
      </c>
      <c r="X89" s="33">
        <f>IF($A89=X$83, 0, distance(VLOOKUP($A89,Cuision!$G:$P,9,FALSE),VLOOKUP($A89,Cuision!$G:$P,10,FALSE),VLOOKUP(X$83,Cuision!$G:$P,9,FALSE),VLOOKUP(X$83,Cuision!$G:$P,10,FALSE)))</f>
        <v>6241.9215071578274</v>
      </c>
      <c r="Y89" s="33">
        <f>IF($A89=Y$83, 0, distance(VLOOKUP($A89,Cuision!$G:$P,9,FALSE),VLOOKUP($A89,Cuision!$G:$P,10,FALSE),VLOOKUP(Y$83,Cuision!$G:$P,9,FALSE),VLOOKUP(Y$83,Cuision!$G:$P,10,FALSE)))</f>
        <v>11971.123932631619</v>
      </c>
      <c r="Z89" s="33">
        <f>IF($A89=Z$83, 0, distance(VLOOKUP($A89,Cuision!$G:$P,9,FALSE),VLOOKUP($A89,Cuision!$G:$P,10,FALSE),VLOOKUP(Z$83,Cuision!$G:$P,9,FALSE),VLOOKUP(Z$83,Cuision!$G:$P,10,FALSE)))</f>
        <v>-1</v>
      </c>
      <c r="AA89" s="33">
        <f>IF($A89=AA$83, 0, distance(VLOOKUP($A89,Cuision!$G:$P,9,FALSE),VLOOKUP($A89,Cuision!$G:$P,10,FALSE),VLOOKUP(AA$83,Cuision!$G:$P,9,FALSE),VLOOKUP(AA$83,Cuision!$G:$P,10,FALSE)))</f>
        <v>4288.7116895334784</v>
      </c>
      <c r="AB89" s="33">
        <f>IF($A89=AB$83, 0, distance(VLOOKUP($A89,Cuision!$G:$P,9,FALSE),VLOOKUP($A89,Cuision!$G:$P,10,FALSE),VLOOKUP(AB$83,Cuision!$G:$P,9,FALSE),VLOOKUP(AB$83,Cuision!$G:$P,10,FALSE)))</f>
        <v>7339.5745109120608</v>
      </c>
      <c r="AC89" s="33">
        <f>IF($A89=AC$83, 0, distance(VLOOKUP($A89,Cuision!$G:$P,9,FALSE),VLOOKUP($A89,Cuision!$G:$P,10,FALSE),VLOOKUP(AC$83,Cuision!$G:$P,9,FALSE),VLOOKUP(AC$83,Cuision!$G:$P,10,FALSE)))</f>
        <v>6974.5922657412248</v>
      </c>
      <c r="AD89" s="33">
        <f>IF($A89=AD$83, 0, distance(VLOOKUP($A89,Cuision!$G:$P,9,FALSE),VLOOKUP($A89,Cuision!$G:$P,10,FALSE),VLOOKUP(AD$83,Cuision!$G:$P,9,FALSE),VLOOKUP(AD$83,Cuision!$G:$P,10,FALSE)))</f>
        <v>11053.134407003683</v>
      </c>
      <c r="AE89" s="33">
        <f>IF($A89=AE$83, 0, distance(VLOOKUP($A89,Cuision!$G:$P,9,FALSE),VLOOKUP($A89,Cuision!$G:$P,10,FALSE),VLOOKUP(AE$83,Cuision!$G:$P,9,FALSE),VLOOKUP(AE$83,Cuision!$G:$P,10,FALSE)))</f>
        <v>7745.6651053001069</v>
      </c>
      <c r="AF89" s="33">
        <f>IF($A89=AF$83, 0, distance(VLOOKUP($A89,Cuision!$G:$P,9,FALSE),VLOOKUP($A89,Cuision!$G:$P,10,FALSE),VLOOKUP(AF$83,Cuision!$G:$P,9,FALSE),VLOOKUP(AF$83,Cuision!$G:$P,10,FALSE)))</f>
        <v>6865.8107606360536</v>
      </c>
      <c r="AG89" s="33">
        <f>IF($A89=AG$83, 0, distance(VLOOKUP($A89,Cuision!$G:$P,9,FALSE),VLOOKUP($A89,Cuision!$G:$P,10,FALSE),VLOOKUP(AG$83,Cuision!$G:$P,9,FALSE),VLOOKUP(AG$83,Cuision!$G:$P,10,FALSE)))</f>
        <v>7400.3383939840141</v>
      </c>
      <c r="AH89" s="33">
        <f>IF($A89=AH$83, 0, distance(VLOOKUP($A89,Cuision!$G:$P,9,FALSE),VLOOKUP($A89,Cuision!$G:$P,10,FALSE),VLOOKUP(AH$83,Cuision!$G:$P,9,FALSE),VLOOKUP(AH$83,Cuision!$G:$P,10,FALSE)))</f>
        <v>-1</v>
      </c>
      <c r="AI89" s="33">
        <f>IF($A89=AI$83, 0, distance(VLOOKUP($A89,Cuision!$G:$P,9,FALSE),VLOOKUP($A89,Cuision!$G:$P,10,FALSE),VLOOKUP(AI$83,Cuision!$G:$P,9,FALSE),VLOOKUP(AI$83,Cuision!$G:$P,10,FALSE)))</f>
        <v>7260.7913621934986</v>
      </c>
      <c r="AJ89" s="33">
        <f>IF($A89=AJ$83, 0, distance(VLOOKUP($A89,Cuision!$G:$P,9,FALSE),VLOOKUP($A89,Cuision!$G:$P,10,FALSE),VLOOKUP(AJ$83,Cuision!$G:$P,9,FALSE),VLOOKUP(AJ$83,Cuision!$G:$P,10,FALSE)))</f>
        <v>7908.0333479105602</v>
      </c>
      <c r="AK89" s="33">
        <f>IF($A89=AK$83, 0, distance(VLOOKUP($A89,Cuision!$G:$P,9,FALSE),VLOOKUP($A89,Cuision!$G:$P,10,FALSE),VLOOKUP(AK$83,Cuision!$G:$P,9,FALSE),VLOOKUP(AK$83,Cuision!$G:$P,10,FALSE)))</f>
        <v>7384.2011722502721</v>
      </c>
      <c r="AL89" s="33">
        <f>IF($A89=AL$83, 0, distance(VLOOKUP($A89,Cuision!$G:$P,9,FALSE),VLOOKUP($A89,Cuision!$G:$P,10,FALSE),VLOOKUP(AL$83,Cuision!$G:$P,9,FALSE),VLOOKUP(AL$83,Cuision!$G:$P,10,FALSE)))</f>
        <v>10249.838260672603</v>
      </c>
      <c r="AM89" s="33">
        <f>IF($A89=AM$83, 0, distance(VLOOKUP($A89,Cuision!$G:$P,9,FALSE),VLOOKUP($A89,Cuision!$G:$P,10,FALSE),VLOOKUP(AM$83,Cuision!$G:$P,9,FALSE),VLOOKUP(AM$83,Cuision!$G:$P,10,FALSE)))</f>
        <v>-1</v>
      </c>
      <c r="AN89" s="33">
        <f>IF($A89=AN$83, 0, distance(VLOOKUP($A89,Cuision!$G:$P,9,FALSE),VLOOKUP($A89,Cuision!$G:$P,10,FALSE),VLOOKUP(AN$83,Cuision!$G:$P,9,FALSE),VLOOKUP(AN$83,Cuision!$G:$P,10,FALSE)))</f>
        <v>7414.5317180095135</v>
      </c>
      <c r="AO89" s="33">
        <f>IF($A89=AO$83, 0, distance(VLOOKUP($A89,Cuision!$G:$P,9,FALSE),VLOOKUP($A89,Cuision!$G:$P,10,FALSE),VLOOKUP(AO$83,Cuision!$G:$P,9,FALSE),VLOOKUP(AO$83,Cuision!$G:$P,10,FALSE)))</f>
        <v>6241.9215071578274</v>
      </c>
      <c r="AP89" s="33">
        <f>IF($A89=AP$83, 0, distance(VLOOKUP($A89,Cuision!$G:$P,9,FALSE),VLOOKUP($A89,Cuision!$G:$P,10,FALSE),VLOOKUP(AP$83,Cuision!$G:$P,9,FALSE),VLOOKUP(AP$83,Cuision!$G:$P,10,FALSE)))</f>
        <v>9812.829562549452</v>
      </c>
      <c r="AQ89" s="33">
        <f>IF($A89=AQ$83, 0, distance(VLOOKUP($A89,Cuision!$G:$P,9,FALSE),VLOOKUP($A89,Cuision!$G:$P,10,FALSE),VLOOKUP(AQ$83,Cuision!$G:$P,9,FALSE),VLOOKUP(AQ$83,Cuision!$G:$P,10,FALSE)))</f>
        <v>9455.9225918860575</v>
      </c>
      <c r="AR89" s="33">
        <f>IF($A89=AR$83, 0, distance(VLOOKUP($A89,Cuision!$G:$P,9,FALSE),VLOOKUP($A89,Cuision!$G:$P,10,FALSE),VLOOKUP(AR$83,Cuision!$G:$P,9,FALSE),VLOOKUP(AR$83,Cuision!$G:$P,10,FALSE)))</f>
        <v>6914.536194099418</v>
      </c>
      <c r="AS89" s="33">
        <f>IF($A89=AS$83, 0, distance(VLOOKUP($A89,Cuision!$G:$P,9,FALSE),VLOOKUP($A89,Cuision!$G:$P,10,FALSE),VLOOKUP(AS$83,Cuision!$G:$P,9,FALSE),VLOOKUP(AS$83,Cuision!$G:$P,10,FALSE)))</f>
        <v>6927.9427840472435</v>
      </c>
      <c r="AT89" s="33">
        <f>IF($A89=AT$83, 0, distance(VLOOKUP($A89,Cuision!$G:$P,9,FALSE),VLOOKUP($A89,Cuision!$G:$P,10,FALSE),VLOOKUP(AT$83,Cuision!$G:$P,9,FALSE),VLOOKUP(AT$83,Cuision!$G:$P,10,FALSE)))</f>
        <v>11414.124009302497</v>
      </c>
      <c r="AU89" s="33">
        <f>IF($A89=AU$83, 0, distance(VLOOKUP($A89,Cuision!$G:$P,9,FALSE),VLOOKUP($A89,Cuision!$G:$P,10,FALSE),VLOOKUP(AU$83,Cuision!$G:$P,9,FALSE),VLOOKUP(AU$83,Cuision!$G:$P,10,FALSE)))</f>
        <v>12073.843865295305</v>
      </c>
      <c r="AV89" s="33">
        <f>IF($A89=AV$83, 0, distance(VLOOKUP($A89,Cuision!$G:$P,9,FALSE),VLOOKUP($A89,Cuision!$G:$P,10,FALSE),VLOOKUP(AV$83,Cuision!$G:$P,9,FALSE),VLOOKUP(AV$83,Cuision!$G:$P,10,FALSE)))</f>
        <v>7546.9029635868119</v>
      </c>
      <c r="AW89" s="33">
        <f>IF($A89=AW$83, 0, distance(VLOOKUP($A89,Cuision!$G:$P,9,FALSE),VLOOKUP($A89,Cuision!$G:$P,10,FALSE),VLOOKUP(AW$83,Cuision!$G:$P,9,FALSE),VLOOKUP(AW$83,Cuision!$G:$P,10,FALSE)))</f>
        <v>10795.996178475225</v>
      </c>
      <c r="AX89" s="33">
        <f>IF($A89=AX$83, 0, distance(VLOOKUP($A89,Cuision!$G:$P,9,FALSE),VLOOKUP($A89,Cuision!$G:$P,10,FALSE),VLOOKUP(AX$83,Cuision!$G:$P,9,FALSE),VLOOKUP(AX$83,Cuision!$G:$P,10,FALSE)))</f>
        <v>2092.835993014593</v>
      </c>
      <c r="AY89" s="33">
        <f>IF($A89=AY$83, 0, distance(VLOOKUP($A89,Cuision!$G:$P,9,FALSE),VLOOKUP($A89,Cuision!$G:$P,10,FALSE),VLOOKUP(AY$83,Cuision!$G:$P,9,FALSE),VLOOKUP(AY$83,Cuision!$G:$P,10,FALSE)))</f>
        <v>-1</v>
      </c>
      <c r="AZ89" s="33">
        <f>IF($A89=AZ$83, 0, distance(VLOOKUP($A89,Cuision!$G:$P,9,FALSE),VLOOKUP($A89,Cuision!$G:$P,10,FALSE),VLOOKUP(AZ$83,Cuision!$G:$P,9,FALSE),VLOOKUP(AZ$83,Cuision!$G:$P,10,FALSE)))</f>
        <v>9913.3429662705639</v>
      </c>
      <c r="BA89" s="33">
        <f>IF($A89=BA$83, 0, distance(VLOOKUP($A89,Cuision!$G:$P,9,FALSE),VLOOKUP($A89,Cuision!$G:$P,10,FALSE),VLOOKUP(BA$83,Cuision!$G:$P,9,FALSE),VLOOKUP(BA$83,Cuision!$G:$P,10,FALSE)))</f>
        <v>6866.5414955052211</v>
      </c>
      <c r="BB89" s="33">
        <f>IF($A89=BB$83, 0, distance(VLOOKUP($A89,Cuision!$G:$P,9,FALSE),VLOOKUP($A89,Cuision!$G:$P,10,FALSE),VLOOKUP(BB$83,Cuision!$G:$P,9,FALSE),VLOOKUP(BB$83,Cuision!$G:$P,10,FALSE)))</f>
        <v>4593.1818336358529</v>
      </c>
      <c r="BC89" s="33">
        <f>IF($A89=BC$83, 0, distance(VLOOKUP($A89,Cuision!$G:$P,9,FALSE),VLOOKUP($A89,Cuision!$G:$P,10,FALSE),VLOOKUP(BC$83,Cuision!$G:$P,9,FALSE),VLOOKUP(BC$83,Cuision!$G:$P,10,FALSE)))</f>
        <v>7908.0333479105602</v>
      </c>
      <c r="BD89" s="33">
        <f>IF($A89=BD$83, 0, distance(VLOOKUP($A89,Cuision!$G:$P,9,FALSE),VLOOKUP($A89,Cuision!$G:$P,10,FALSE),VLOOKUP(BD$83,Cuision!$G:$P,9,FALSE),VLOOKUP(BD$83,Cuision!$G:$P,10,FALSE)))</f>
        <v>11244.442290873927</v>
      </c>
      <c r="BE89" s="33">
        <f>IF($A89=BE$83, 0, distance(VLOOKUP($A89,Cuision!$G:$P,9,FALSE),VLOOKUP($A89,Cuision!$G:$P,10,FALSE),VLOOKUP(BE$83,Cuision!$G:$P,9,FALSE),VLOOKUP(BE$83,Cuision!$G:$P,10,FALSE)))</f>
        <v>5795.5252267638125</v>
      </c>
      <c r="BF89" s="33">
        <f>IF($A89=BF$83, 0, distance(VLOOKUP($A89,Cuision!$G:$P,9,FALSE),VLOOKUP($A89,Cuision!$G:$P,10,FALSE),VLOOKUP(BF$83,Cuision!$G:$P,9,FALSE),VLOOKUP(BF$83,Cuision!$G:$P,10,FALSE)))</f>
        <v>9685.919529601626</v>
      </c>
      <c r="BG89" s="33">
        <f>IF($A89=BG$83, 0, distance(VLOOKUP($A89,Cuision!$G:$P,9,FALSE),VLOOKUP($A89,Cuision!$G:$P,10,FALSE),VLOOKUP(BG$83,Cuision!$G:$P,9,FALSE),VLOOKUP(BG$83,Cuision!$G:$P,10,FALSE)))</f>
        <v>8560.4932060312567</v>
      </c>
      <c r="BH89" s="33">
        <f>IF($A89=BH$83, 0, distance(VLOOKUP($A89,Cuision!$G:$P,9,FALSE),VLOOKUP($A89,Cuision!$G:$P,10,FALSE),VLOOKUP(BH$83,Cuision!$G:$P,9,FALSE),VLOOKUP(BH$83,Cuision!$G:$P,10,FALSE)))</f>
        <v>1949.6726685500655</v>
      </c>
      <c r="BI89" s="33">
        <f>IF($A89=BI$83, 0, distance(VLOOKUP($A89,Cuision!$G:$P,9,FALSE),VLOOKUP($A89,Cuision!$G:$P,10,FALSE),VLOOKUP(BI$83,Cuision!$G:$P,9,FALSE),VLOOKUP(BI$83,Cuision!$G:$P,10,FALSE)))</f>
        <v>7659.6451282334619</v>
      </c>
      <c r="BJ89" s="33">
        <f>IF($A89=BJ$83, 0, distance(VLOOKUP($A89,Cuision!$G:$P,9,FALSE),VLOOKUP($A89,Cuision!$G:$P,10,FALSE),VLOOKUP(BJ$83,Cuision!$G:$P,9,FALSE),VLOOKUP(BJ$83,Cuision!$G:$P,10,FALSE)))</f>
        <v>5965.0511577783336</v>
      </c>
      <c r="BK89" s="33">
        <f>IF($A89=BK$83, 0, distance(VLOOKUP($A89,Cuision!$G:$P,9,FALSE),VLOOKUP($A89,Cuision!$G:$P,10,FALSE),VLOOKUP(BK$83,Cuision!$G:$P,9,FALSE),VLOOKUP(BK$83,Cuision!$G:$P,10,FALSE)))</f>
        <v>8373.1717491996897</v>
      </c>
      <c r="BL89" s="33">
        <f>IF($A89=BL$83, 0, distance(VLOOKUP($A89,Cuision!$G:$P,9,FALSE),VLOOKUP($A89,Cuision!$G:$P,10,FALSE),VLOOKUP(BL$83,Cuision!$G:$P,9,FALSE),VLOOKUP(BL$83,Cuision!$G:$P,10,FALSE)))</f>
        <v>-1</v>
      </c>
      <c r="BM89" s="33">
        <f>IF($A89=BM$83, 0, distance(VLOOKUP($A89,Cuision!$G:$P,9,FALSE),VLOOKUP($A89,Cuision!$G:$P,10,FALSE),VLOOKUP(BM$83,Cuision!$G:$P,9,FALSE),VLOOKUP(BM$83,Cuision!$G:$P,10,FALSE)))</f>
        <v>-1</v>
      </c>
      <c r="BN89" s="33">
        <f>IF($A89=BN$83, 0, distance(VLOOKUP($A89,Cuision!$G:$P,9,FALSE),VLOOKUP($A89,Cuision!$G:$P,10,FALSE),VLOOKUP(BN$83,Cuision!$G:$P,9,FALSE),VLOOKUP(BN$83,Cuision!$G:$P,10,FALSE)))</f>
        <v>6914.536194099418</v>
      </c>
      <c r="BO89" s="33">
        <f>IF($A89=BO$83, 0, distance(VLOOKUP($A89,Cuision!$G:$P,9,FALSE),VLOOKUP($A89,Cuision!$G:$P,10,FALSE),VLOOKUP(BO$83,Cuision!$G:$P,9,FALSE),VLOOKUP(BO$83,Cuision!$G:$P,10,FALSE)))</f>
        <v>9864.9262898381676</v>
      </c>
      <c r="BP89" s="33">
        <f>IF($A89=BP$83, 0, distance(VLOOKUP($A89,Cuision!$G:$P,9,FALSE),VLOOKUP($A89,Cuision!$G:$P,10,FALSE),VLOOKUP(BP$83,Cuision!$G:$P,9,FALSE),VLOOKUP(BP$83,Cuision!$G:$P,10,FALSE)))</f>
        <v>7364.2569093644652</v>
      </c>
      <c r="BQ89" s="33">
        <f>IF($A89=BQ$83, 0, distance(VLOOKUP($A89,Cuision!$G:$P,9,FALSE),VLOOKUP($A89,Cuision!$G:$P,10,FALSE),VLOOKUP(BQ$83,Cuision!$G:$P,9,FALSE),VLOOKUP(BQ$83,Cuision!$G:$P,10,FALSE)))</f>
        <v>-1</v>
      </c>
      <c r="BR89" s="33">
        <f>IF($A89=BR$83, 0, distance(VLOOKUP($A89,Cuision!$G:$P,9,FALSE),VLOOKUP($A89,Cuision!$G:$P,10,FALSE),VLOOKUP(BR$83,Cuision!$G:$P,9,FALSE),VLOOKUP(BR$83,Cuision!$G:$P,10,FALSE)))</f>
        <v>5217.1202018930744</v>
      </c>
      <c r="BS89" s="33">
        <f>IF($A89=BS$83, 0, distance(VLOOKUP($A89,Cuision!$G:$P,9,FALSE),VLOOKUP($A89,Cuision!$G:$P,10,FALSE),VLOOKUP(BS$83,Cuision!$G:$P,9,FALSE),VLOOKUP(BS$83,Cuision!$G:$P,10,FALSE)))</f>
        <v>11971.123932631619</v>
      </c>
      <c r="BT89" s="33">
        <f>IF($A89=BT$83, 0, distance(VLOOKUP($A89,Cuision!$G:$P,9,FALSE),VLOOKUP($A89,Cuision!$G:$P,10,FALSE),VLOOKUP(BT$83,Cuision!$G:$P,9,FALSE),VLOOKUP(BT$83,Cuision!$G:$P,10,FALSE)))</f>
        <v>6241.9215071578274</v>
      </c>
      <c r="BU89" s="33">
        <f>IF($A89=BU$83, 0, distance(VLOOKUP($A89,Cuision!$G:$P,9,FALSE),VLOOKUP($A89,Cuision!$G:$P,10,FALSE),VLOOKUP(BU$83,Cuision!$G:$P,9,FALSE),VLOOKUP(BU$83,Cuision!$G:$P,10,FALSE)))</f>
        <v>10483.251223833626</v>
      </c>
      <c r="BV89" s="33">
        <f>IF($A89=BV$83, 0, distance(VLOOKUP($A89,Cuision!$G:$P,9,FALSE),VLOOKUP($A89,Cuision!$G:$P,10,FALSE),VLOOKUP(BV$83,Cuision!$G:$P,9,FALSE),VLOOKUP(BV$83,Cuision!$G:$P,10,FALSE)))</f>
        <v>7752.7374597956914</v>
      </c>
      <c r="BW89" s="33">
        <f>IF($A89=BW$83, 0, distance(VLOOKUP($A89,Cuision!$G:$P,9,FALSE),VLOOKUP($A89,Cuision!$G:$P,10,FALSE),VLOOKUP(BW$83,Cuision!$G:$P,9,FALSE),VLOOKUP(BW$83,Cuision!$G:$P,10,FALSE)))</f>
        <v>7968.4370441669626</v>
      </c>
      <c r="BX89" s="33">
        <f>IF($A89=BX$83, 0, distance(VLOOKUP($A89,Cuision!$G:$P,9,FALSE),VLOOKUP($A89,Cuision!$G:$P,10,FALSE),VLOOKUP(BX$83,Cuision!$G:$P,9,FALSE),VLOOKUP(BX$83,Cuision!$G:$P,10,FALSE)))</f>
        <v>9587.6191701887328</v>
      </c>
      <c r="BY89" s="33">
        <f>IF($A89=BY$83, 0, distance(VLOOKUP($A89,Cuision!$G:$P,9,FALSE),VLOOKUP($A89,Cuision!$G:$P,10,FALSE),VLOOKUP(BY$83,Cuision!$G:$P,9,FALSE),VLOOKUP(BY$83,Cuision!$G:$P,10,FALSE)))</f>
        <v>-1</v>
      </c>
      <c r="BZ89" s="33">
        <f>IF($A89=BZ$83, 0, distance(VLOOKUP($A89,Cuision!$G:$P,9,FALSE),VLOOKUP($A89,Cuision!$G:$P,10,FALSE),VLOOKUP(BZ$83,Cuision!$G:$P,9,FALSE),VLOOKUP(BZ$83,Cuision!$G:$P,10,FALSE)))</f>
        <v>-1</v>
      </c>
      <c r="CA89" s="33">
        <f>IF($A89=CA$83, 0, distance(VLOOKUP($A89,Cuision!$G:$P,9,FALSE),VLOOKUP($A89,Cuision!$G:$P,10,FALSE),VLOOKUP(CA$83,Cuision!$G:$P,9,FALSE),VLOOKUP(CA$83,Cuision!$G:$P,10,FALSE)))</f>
        <v>11093.777330095552</v>
      </c>
    </row>
    <row r="90" spans="1:79" ht="14.25" x14ac:dyDescent="0.2">
      <c r="A90" s="30" t="s">
        <v>47</v>
      </c>
      <c r="B90" s="33">
        <f>IF($A90=B$83, 0, distance(VLOOKUP($A90,Cuision!$G:$P,9,FALSE),VLOOKUP($A90,Cuision!$G:$P,10,FALSE),VLOOKUP(B$83,Cuision!$G:$P,9,FALSE),VLOOKUP(B$83,Cuision!$G:$P,10,FALSE)))</f>
        <v>1404.2451942483176</v>
      </c>
      <c r="C90" s="33">
        <f>IF($A90=C$83, 0, distance(VLOOKUP($A90,Cuision!$G:$P,9,FALSE),VLOOKUP($A90,Cuision!$G:$P,10,FALSE),VLOOKUP(C$83,Cuision!$G:$P,9,FALSE),VLOOKUP(C$83,Cuision!$G:$P,10,FALSE)))</f>
        <v>3442.6948472879476</v>
      </c>
      <c r="D90" s="33">
        <f>IF($A90=D$83, 0, distance(VLOOKUP($A90,Cuision!$G:$P,9,FALSE),VLOOKUP($A90,Cuision!$G:$P,10,FALSE),VLOOKUP(D$83,Cuision!$G:$P,9,FALSE),VLOOKUP(D$83,Cuision!$G:$P,10,FALSE)))</f>
        <v>5845.2890180192007</v>
      </c>
      <c r="E90" s="33">
        <f>IF($A90=E$83, 0, distance(VLOOKUP($A90,Cuision!$G:$P,9,FALSE),VLOOKUP($A90,Cuision!$G:$P,10,FALSE),VLOOKUP(E$83,Cuision!$G:$P,9,FALSE),VLOOKUP(E$83,Cuision!$G:$P,10,FALSE)))</f>
        <v>5845.2890180192007</v>
      </c>
      <c r="F90" s="33">
        <f>IF($A90=F$83, 0, distance(VLOOKUP($A90,Cuision!$G:$P,9,FALSE),VLOOKUP($A90,Cuision!$G:$P,10,FALSE),VLOOKUP(F$83,Cuision!$G:$P,9,FALSE),VLOOKUP(F$83,Cuision!$G:$P,10,FALSE)))</f>
        <v>759.92339397339265</v>
      </c>
      <c r="G90" s="33">
        <f>IF($A90=G$83, 0, distance(VLOOKUP($A90,Cuision!$G:$P,9,FALSE),VLOOKUP($A90,Cuision!$G:$P,10,FALSE),VLOOKUP(G$83,Cuision!$G:$P,9,FALSE),VLOOKUP(G$83,Cuision!$G:$P,10,FALSE)))</f>
        <v>8321.6647044324982</v>
      </c>
      <c r="H90" s="33">
        <f>IF($A90=H$83, 0, distance(VLOOKUP($A90,Cuision!$G:$P,9,FALSE),VLOOKUP($A90,Cuision!$G:$P,10,FALSE),VLOOKUP(H$83,Cuision!$G:$P,9,FALSE),VLOOKUP(H$83,Cuision!$G:$P,10,FALSE)))</f>
        <v>0</v>
      </c>
      <c r="I90" s="33">
        <f>IF($A90=I$83, 0, distance(VLOOKUP($A90,Cuision!$G:$P,9,FALSE),VLOOKUP($A90,Cuision!$G:$P,10,FALSE),VLOOKUP(I$83,Cuision!$G:$P,9,FALSE),VLOOKUP(I$83,Cuision!$G:$P,10,FALSE)))</f>
        <v>3069.0147571284028</v>
      </c>
      <c r="J90" s="33">
        <f>IF($A90=J$83, 0, distance(VLOOKUP($A90,Cuision!$G:$P,9,FALSE),VLOOKUP($A90,Cuision!$G:$P,10,FALSE),VLOOKUP(J$83,Cuision!$G:$P,9,FALSE),VLOOKUP(J$83,Cuision!$G:$P,10,FALSE)))</f>
        <v>8429.6892716306465</v>
      </c>
      <c r="K90" s="33">
        <f>IF($A90=K$83, 0, distance(VLOOKUP($A90,Cuision!$G:$P,9,FALSE),VLOOKUP($A90,Cuision!$G:$P,10,FALSE),VLOOKUP(K$83,Cuision!$G:$P,9,FALSE),VLOOKUP(K$83,Cuision!$G:$P,10,FALSE)))</f>
        <v>1489.7992027757507</v>
      </c>
      <c r="L90" s="33">
        <f>IF($A90=L$83, 0, distance(VLOOKUP($A90,Cuision!$G:$P,9,FALSE),VLOOKUP($A90,Cuision!$G:$P,10,FALSE),VLOOKUP(L$83,Cuision!$G:$P,9,FALSE),VLOOKUP(L$83,Cuision!$G:$P,10,FALSE)))</f>
        <v>2883.3648542755545</v>
      </c>
      <c r="M90" s="33">
        <f>IF($A90=M$83, 0, distance(VLOOKUP($A90,Cuision!$G:$P,9,FALSE),VLOOKUP($A90,Cuision!$G:$P,10,FALSE),VLOOKUP(M$83,Cuision!$G:$P,9,FALSE),VLOOKUP(M$83,Cuision!$G:$P,10,FALSE)))</f>
        <v>-1</v>
      </c>
      <c r="N90" s="33">
        <f>IF($A90=N$83, 0, distance(VLOOKUP($A90,Cuision!$G:$P,9,FALSE),VLOOKUP($A90,Cuision!$G:$P,10,FALSE),VLOOKUP(N$83,Cuision!$G:$P,9,FALSE),VLOOKUP(N$83,Cuision!$G:$P,10,FALSE)))</f>
        <v>2507.8131736189293</v>
      </c>
      <c r="O90" s="33">
        <f>IF($A90=O$83, 0, distance(VLOOKUP($A90,Cuision!$G:$P,9,FALSE),VLOOKUP($A90,Cuision!$G:$P,10,FALSE),VLOOKUP(O$83,Cuision!$G:$P,9,FALSE),VLOOKUP(O$83,Cuision!$G:$P,10,FALSE)))</f>
        <v>2049.1057667061218</v>
      </c>
      <c r="P90" s="33">
        <f>IF($A90=P$83, 0, distance(VLOOKUP($A90,Cuision!$G:$P,9,FALSE),VLOOKUP($A90,Cuision!$G:$P,10,FALSE),VLOOKUP(P$83,Cuision!$G:$P,9,FALSE),VLOOKUP(P$83,Cuision!$G:$P,10,FALSE)))</f>
        <v>7042.5076400557073</v>
      </c>
      <c r="Q90" s="33">
        <f>IF($A90=Q$83, 0, distance(VLOOKUP($A90,Cuision!$G:$P,9,FALSE),VLOOKUP($A90,Cuision!$G:$P,10,FALSE),VLOOKUP(Q$83,Cuision!$G:$P,9,FALSE),VLOOKUP(Q$83,Cuision!$G:$P,10,FALSE)))</f>
        <v>-1</v>
      </c>
      <c r="R90" s="33">
        <f>IF($A90=R$83, 0, distance(VLOOKUP($A90,Cuision!$G:$P,9,FALSE),VLOOKUP($A90,Cuision!$G:$P,10,FALSE),VLOOKUP(R$83,Cuision!$G:$P,9,FALSE),VLOOKUP(R$83,Cuision!$G:$P,10,FALSE)))</f>
        <v>2245.7727898826438</v>
      </c>
      <c r="S90" s="33">
        <f>IF($A90=S$83, 0, distance(VLOOKUP($A90,Cuision!$G:$P,9,FALSE),VLOOKUP($A90,Cuision!$G:$P,10,FALSE),VLOOKUP(S$83,Cuision!$G:$P,9,FALSE),VLOOKUP(S$83,Cuision!$G:$P,10,FALSE)))</f>
        <v>-1</v>
      </c>
      <c r="T90" s="33">
        <f>IF($A90=T$83, 0, distance(VLOOKUP($A90,Cuision!$G:$P,9,FALSE),VLOOKUP($A90,Cuision!$G:$P,10,FALSE),VLOOKUP(T$83,Cuision!$G:$P,9,FALSE),VLOOKUP(T$83,Cuision!$G:$P,10,FALSE)))</f>
        <v>3341.0334510840466</v>
      </c>
      <c r="U90" s="33">
        <f>IF($A90=U$83, 0, distance(VLOOKUP($A90,Cuision!$G:$P,9,FALSE),VLOOKUP($A90,Cuision!$G:$P,10,FALSE),VLOOKUP(U$83,Cuision!$G:$P,9,FALSE),VLOOKUP(U$83,Cuision!$G:$P,10,FALSE)))</f>
        <v>-1</v>
      </c>
      <c r="V90" s="33">
        <f>IF($A90=V$83, 0, distance(VLOOKUP($A90,Cuision!$G:$P,9,FALSE),VLOOKUP($A90,Cuision!$G:$P,10,FALSE),VLOOKUP(V$83,Cuision!$G:$P,9,FALSE),VLOOKUP(V$83,Cuision!$G:$P,10,FALSE)))</f>
        <v>5845.2890180192007</v>
      </c>
      <c r="W90" s="33">
        <f>IF($A90=W$83, 0, distance(VLOOKUP($A90,Cuision!$G:$P,9,FALSE),VLOOKUP($A90,Cuision!$G:$P,10,FALSE),VLOOKUP(W$83,Cuision!$G:$P,9,FALSE),VLOOKUP(W$83,Cuision!$G:$P,10,FALSE)))</f>
        <v>4150.3994167216024</v>
      </c>
      <c r="X90" s="33">
        <f>IF($A90=X$83, 0, distance(VLOOKUP($A90,Cuision!$G:$P,9,FALSE),VLOOKUP($A90,Cuision!$G:$P,10,FALSE),VLOOKUP(X$83,Cuision!$G:$P,9,FALSE),VLOOKUP(X$83,Cuision!$G:$P,10,FALSE)))</f>
        <v>2507.8131736189293</v>
      </c>
      <c r="Y90" s="33">
        <f>IF($A90=Y$83, 0, distance(VLOOKUP($A90,Cuision!$G:$P,9,FALSE),VLOOKUP($A90,Cuision!$G:$P,10,FALSE),VLOOKUP(Y$83,Cuision!$G:$P,9,FALSE),VLOOKUP(Y$83,Cuision!$G:$P,10,FALSE)))</f>
        <v>3689.9649577281907</v>
      </c>
      <c r="Z90" s="33">
        <f>IF($A90=Z$83, 0, distance(VLOOKUP($A90,Cuision!$G:$P,9,FALSE),VLOOKUP($A90,Cuision!$G:$P,10,FALSE),VLOOKUP(Z$83,Cuision!$G:$P,9,FALSE),VLOOKUP(Z$83,Cuision!$G:$P,10,FALSE)))</f>
        <v>-1</v>
      </c>
      <c r="AA90" s="33">
        <f>IF($A90=AA$83, 0, distance(VLOOKUP($A90,Cuision!$G:$P,9,FALSE),VLOOKUP($A90,Cuision!$G:$P,10,FALSE),VLOOKUP(AA$83,Cuision!$G:$P,9,FALSE),VLOOKUP(AA$83,Cuision!$G:$P,10,FALSE)))</f>
        <v>6887.5839026734366</v>
      </c>
      <c r="AB90" s="33">
        <f>IF($A90=AB$83, 0, distance(VLOOKUP($A90,Cuision!$G:$P,9,FALSE),VLOOKUP($A90,Cuision!$G:$P,10,FALSE),VLOOKUP(AB$83,Cuision!$G:$P,9,FALSE),VLOOKUP(AB$83,Cuision!$G:$P,10,FALSE)))</f>
        <v>1604.0299417748781</v>
      </c>
      <c r="AC90" s="33">
        <f>IF($A90=AC$83, 0, distance(VLOOKUP($A90,Cuision!$G:$P,9,FALSE),VLOOKUP($A90,Cuision!$G:$P,10,FALSE),VLOOKUP(AC$83,Cuision!$G:$P,9,FALSE),VLOOKUP(AC$83,Cuision!$G:$P,10,FALSE)))</f>
        <v>2181.8161811754185</v>
      </c>
      <c r="AD90" s="33">
        <f>IF($A90=AD$83, 0, distance(VLOOKUP($A90,Cuision!$G:$P,9,FALSE),VLOOKUP($A90,Cuision!$G:$P,10,FALSE),VLOOKUP(AD$83,Cuision!$G:$P,9,FALSE),VLOOKUP(AD$83,Cuision!$G:$P,10,FALSE)))</f>
        <v>4863.2819410283682</v>
      </c>
      <c r="AE90" s="33">
        <f>IF($A90=AE$83, 0, distance(VLOOKUP($A90,Cuision!$G:$P,9,FALSE),VLOOKUP($A90,Cuision!$G:$P,10,FALSE),VLOOKUP(AE$83,Cuision!$G:$P,9,FALSE),VLOOKUP(AE$83,Cuision!$G:$P,10,FALSE)))</f>
        <v>2025.1071350857458</v>
      </c>
      <c r="AF90" s="33">
        <f>IF($A90=AF$83, 0, distance(VLOOKUP($A90,Cuision!$G:$P,9,FALSE),VLOOKUP($A90,Cuision!$G:$P,10,FALSE),VLOOKUP(AF$83,Cuision!$G:$P,9,FALSE),VLOOKUP(AF$83,Cuision!$G:$P,10,FALSE)))</f>
        <v>2131.5409805490704</v>
      </c>
      <c r="AG90" s="33">
        <f>IF($A90=AG$83, 0, distance(VLOOKUP($A90,Cuision!$G:$P,9,FALSE),VLOOKUP($A90,Cuision!$G:$P,10,FALSE),VLOOKUP(AG$83,Cuision!$G:$P,9,FALSE),VLOOKUP(AG$83,Cuision!$G:$P,10,FALSE)))</f>
        <v>1691.6105623513615</v>
      </c>
      <c r="AH90" s="33">
        <f>IF($A90=AH$83, 0, distance(VLOOKUP($A90,Cuision!$G:$P,9,FALSE),VLOOKUP($A90,Cuision!$G:$P,10,FALSE),VLOOKUP(AH$83,Cuision!$G:$P,9,FALSE),VLOOKUP(AH$83,Cuision!$G:$P,10,FALSE)))</f>
        <v>-1</v>
      </c>
      <c r="AI90" s="33">
        <f>IF($A90=AI$83, 0, distance(VLOOKUP($A90,Cuision!$G:$P,9,FALSE),VLOOKUP($A90,Cuision!$G:$P,10,FALSE),VLOOKUP(AI$83,Cuision!$G:$P,9,FALSE),VLOOKUP(AI$83,Cuision!$G:$P,10,FALSE)))</f>
        <v>1122.6980448376191</v>
      </c>
      <c r="AJ90" s="33">
        <f>IF($A90=AJ$83, 0, distance(VLOOKUP($A90,Cuision!$G:$P,9,FALSE),VLOOKUP($A90,Cuision!$G:$P,10,FALSE),VLOOKUP(AJ$83,Cuision!$G:$P,9,FALSE),VLOOKUP(AJ$83,Cuision!$G:$P,10,FALSE)))</f>
        <v>759.92339397339265</v>
      </c>
      <c r="AK90" s="33">
        <f>IF($A90=AK$83, 0, distance(VLOOKUP($A90,Cuision!$G:$P,9,FALSE),VLOOKUP($A90,Cuision!$G:$P,10,FALSE),VLOOKUP(AK$83,Cuision!$G:$P,9,FALSE),VLOOKUP(AK$83,Cuision!$G:$P,10,FALSE)))</f>
        <v>8088.5263803054877</v>
      </c>
      <c r="AL90" s="33">
        <f>IF($A90=AL$83, 0, distance(VLOOKUP($A90,Cuision!$G:$P,9,FALSE),VLOOKUP($A90,Cuision!$G:$P,10,FALSE),VLOOKUP(AL$83,Cuision!$G:$P,9,FALSE),VLOOKUP(AL$83,Cuision!$G:$P,10,FALSE)))</f>
        <v>2467.6809369210878</v>
      </c>
      <c r="AM90" s="33">
        <f>IF($A90=AM$83, 0, distance(VLOOKUP($A90,Cuision!$G:$P,9,FALSE),VLOOKUP($A90,Cuision!$G:$P,10,FALSE),VLOOKUP(AM$83,Cuision!$G:$P,9,FALSE),VLOOKUP(AM$83,Cuision!$G:$P,10,FALSE)))</f>
        <v>-1</v>
      </c>
      <c r="AN90" s="33">
        <f>IF($A90=AN$83, 0, distance(VLOOKUP($A90,Cuision!$G:$P,9,FALSE),VLOOKUP($A90,Cuision!$G:$P,10,FALSE),VLOOKUP(AN$83,Cuision!$G:$P,9,FALSE),VLOOKUP(AN$83,Cuision!$G:$P,10,FALSE)))</f>
        <v>1358.5615546556053</v>
      </c>
      <c r="AO90" s="33">
        <f>IF($A90=AO$83, 0, distance(VLOOKUP($A90,Cuision!$G:$P,9,FALSE),VLOOKUP($A90,Cuision!$G:$P,10,FALSE),VLOOKUP(AO$83,Cuision!$G:$P,9,FALSE),VLOOKUP(AO$83,Cuision!$G:$P,10,FALSE)))</f>
        <v>2507.8131736189293</v>
      </c>
      <c r="AP90" s="33">
        <f>IF($A90=AP$83, 0, distance(VLOOKUP($A90,Cuision!$G:$P,9,FALSE),VLOOKUP($A90,Cuision!$G:$P,10,FALSE),VLOOKUP(AP$83,Cuision!$G:$P,9,FALSE),VLOOKUP(AP$83,Cuision!$G:$P,10,FALSE)))</f>
        <v>2013.1537043081175</v>
      </c>
      <c r="AQ90" s="33">
        <f>IF($A90=AQ$83, 0, distance(VLOOKUP($A90,Cuision!$G:$P,9,FALSE),VLOOKUP($A90,Cuision!$G:$P,10,FALSE),VLOOKUP(AQ$83,Cuision!$G:$P,9,FALSE),VLOOKUP(AQ$83,Cuision!$G:$P,10,FALSE)))</f>
        <v>5083.1172531919447</v>
      </c>
      <c r="AR90" s="33">
        <f>IF($A90=AR$83, 0, distance(VLOOKUP($A90,Cuision!$G:$P,9,FALSE),VLOOKUP($A90,Cuision!$G:$P,10,FALSE),VLOOKUP(AR$83,Cuision!$G:$P,9,FALSE),VLOOKUP(AR$83,Cuision!$G:$P,10,FALSE)))</f>
        <v>2245.7727898826438</v>
      </c>
      <c r="AS90" s="33">
        <f>IF($A90=AS$83, 0, distance(VLOOKUP($A90,Cuision!$G:$P,9,FALSE),VLOOKUP($A90,Cuision!$G:$P,10,FALSE),VLOOKUP(AS$83,Cuision!$G:$P,9,FALSE),VLOOKUP(AS$83,Cuision!$G:$P,10,FALSE)))</f>
        <v>1663.7246983624052</v>
      </c>
      <c r="AT90" s="33">
        <f>IF($A90=AT$83, 0, distance(VLOOKUP($A90,Cuision!$G:$P,9,FALSE),VLOOKUP($A90,Cuision!$G:$P,10,FALSE),VLOOKUP(AT$83,Cuision!$G:$P,9,FALSE),VLOOKUP(AT$83,Cuision!$G:$P,10,FALSE)))</f>
        <v>4927.0912253371271</v>
      </c>
      <c r="AU90" s="33">
        <f>IF($A90=AU$83, 0, distance(VLOOKUP($A90,Cuision!$G:$P,9,FALSE),VLOOKUP($A90,Cuision!$G:$P,10,FALSE),VLOOKUP(AU$83,Cuision!$G:$P,9,FALSE),VLOOKUP(AU$83,Cuision!$G:$P,10,FALSE)))</f>
        <v>4268.8688291791887</v>
      </c>
      <c r="AV90" s="33">
        <f>IF($A90=AV$83, 0, distance(VLOOKUP($A90,Cuision!$G:$P,9,FALSE),VLOOKUP($A90,Cuision!$G:$P,10,FALSE),VLOOKUP(AV$83,Cuision!$G:$P,9,FALSE),VLOOKUP(AV$83,Cuision!$G:$P,10,FALSE)))</f>
        <v>774.81103345195777</v>
      </c>
      <c r="AW90" s="33">
        <f>IF($A90=AW$83, 0, distance(VLOOKUP($A90,Cuision!$G:$P,9,FALSE),VLOOKUP($A90,Cuision!$G:$P,10,FALSE),VLOOKUP(AW$83,Cuision!$G:$P,9,FALSE),VLOOKUP(AW$83,Cuision!$G:$P,10,FALSE)))</f>
        <v>3753.2284798108935</v>
      </c>
      <c r="AX90" s="33">
        <f>IF($A90=AX$83, 0, distance(VLOOKUP($A90,Cuision!$G:$P,9,FALSE),VLOOKUP($A90,Cuision!$G:$P,10,FALSE),VLOOKUP(AX$83,Cuision!$G:$P,9,FALSE),VLOOKUP(AX$83,Cuision!$G:$P,10,FALSE)))</f>
        <v>7250.4580186094754</v>
      </c>
      <c r="AY90" s="33">
        <f>IF($A90=AY$83, 0, distance(VLOOKUP($A90,Cuision!$G:$P,9,FALSE),VLOOKUP($A90,Cuision!$G:$P,10,FALSE),VLOOKUP(AY$83,Cuision!$G:$P,9,FALSE),VLOOKUP(AY$83,Cuision!$G:$P,10,FALSE)))</f>
        <v>-1</v>
      </c>
      <c r="AZ90" s="33">
        <f>IF($A90=AZ$83, 0, distance(VLOOKUP($A90,Cuision!$G:$P,9,FALSE),VLOOKUP($A90,Cuision!$G:$P,10,FALSE),VLOOKUP(AZ$83,Cuision!$G:$P,9,FALSE),VLOOKUP(AZ$83,Cuision!$G:$P,10,FALSE)))</f>
        <v>4375.6078657466105</v>
      </c>
      <c r="BA90" s="33">
        <f>IF($A90=BA$83, 0, distance(VLOOKUP($A90,Cuision!$G:$P,9,FALSE),VLOOKUP($A90,Cuision!$G:$P,10,FALSE),VLOOKUP(BA$83,Cuision!$G:$P,9,FALSE),VLOOKUP(BA$83,Cuision!$G:$P,10,FALSE)))</f>
        <v>1497.9387111948806</v>
      </c>
      <c r="BB90" s="33">
        <f>IF($A90=BB$83, 0, distance(VLOOKUP($A90,Cuision!$G:$P,9,FALSE),VLOOKUP($A90,Cuision!$G:$P,10,FALSE),VLOOKUP(BB$83,Cuision!$G:$P,9,FALSE),VLOOKUP(BB$83,Cuision!$G:$P,10,FALSE)))</f>
        <v>7699.7258455889569</v>
      </c>
      <c r="BC90" s="33">
        <f>IF($A90=BC$83, 0, distance(VLOOKUP($A90,Cuision!$G:$P,9,FALSE),VLOOKUP($A90,Cuision!$G:$P,10,FALSE),VLOOKUP(BC$83,Cuision!$G:$P,9,FALSE),VLOOKUP(BC$83,Cuision!$G:$P,10,FALSE)))</f>
        <v>759.92339397339265</v>
      </c>
      <c r="BD90" s="33">
        <f>IF($A90=BD$83, 0, distance(VLOOKUP($A90,Cuision!$G:$P,9,FALSE),VLOOKUP($A90,Cuision!$G:$P,10,FALSE),VLOOKUP(BD$83,Cuision!$G:$P,9,FALSE),VLOOKUP(BD$83,Cuision!$G:$P,10,FALSE)))</f>
        <v>3057.2832549983627</v>
      </c>
      <c r="BE90" s="33">
        <f>IF($A90=BE$83, 0, distance(VLOOKUP($A90,Cuision!$G:$P,9,FALSE),VLOOKUP($A90,Cuision!$G:$P,10,FALSE),VLOOKUP(BE$83,Cuision!$G:$P,9,FALSE),VLOOKUP(BE$83,Cuision!$G:$P,10,FALSE)))</f>
        <v>2821.7610130336552</v>
      </c>
      <c r="BF90" s="33">
        <f>IF($A90=BF$83, 0, distance(VLOOKUP($A90,Cuision!$G:$P,9,FALSE),VLOOKUP($A90,Cuision!$G:$P,10,FALSE),VLOOKUP(BF$83,Cuision!$G:$P,9,FALSE),VLOOKUP(BF$83,Cuision!$G:$P,10,FALSE)))</f>
        <v>1629.3425288133901</v>
      </c>
      <c r="BG90" s="33">
        <f>IF($A90=BG$83, 0, distance(VLOOKUP($A90,Cuision!$G:$P,9,FALSE),VLOOKUP($A90,Cuision!$G:$P,10,FALSE),VLOOKUP(BG$83,Cuision!$G:$P,9,FALSE),VLOOKUP(BG$83,Cuision!$G:$P,10,FALSE)))</f>
        <v>487.59045027888993</v>
      </c>
      <c r="BH90" s="33">
        <f>IF($A90=BH$83, 0, distance(VLOOKUP($A90,Cuision!$G:$P,9,FALSE),VLOOKUP($A90,Cuision!$G:$P,10,FALSE),VLOOKUP(BH$83,Cuision!$G:$P,9,FALSE),VLOOKUP(BH$83,Cuision!$G:$P,10,FALSE)))</f>
        <v>8408.1360233452251</v>
      </c>
      <c r="BI90" s="33">
        <f>IF($A90=BI$83, 0, distance(VLOOKUP($A90,Cuision!$G:$P,9,FALSE),VLOOKUP($A90,Cuision!$G:$P,10,FALSE),VLOOKUP(BI$83,Cuision!$G:$P,9,FALSE),VLOOKUP(BI$83,Cuision!$G:$P,10,FALSE)))</f>
        <v>1388.0275300993678</v>
      </c>
      <c r="BJ90" s="33">
        <f>IF($A90=BJ$83, 0, distance(VLOOKUP($A90,Cuision!$G:$P,9,FALSE),VLOOKUP($A90,Cuision!$G:$P,10,FALSE),VLOOKUP(BJ$83,Cuision!$G:$P,9,FALSE),VLOOKUP(BJ$83,Cuision!$G:$P,10,FALSE)))</f>
        <v>2818.9762230506462</v>
      </c>
      <c r="BK90" s="33">
        <f>IF($A90=BK$83, 0, distance(VLOOKUP($A90,Cuision!$G:$P,9,FALSE),VLOOKUP($A90,Cuision!$G:$P,10,FALSE),VLOOKUP(BK$83,Cuision!$G:$P,9,FALSE),VLOOKUP(BK$83,Cuision!$G:$P,10,FALSE)))</f>
        <v>1120.6156631860385</v>
      </c>
      <c r="BL90" s="33">
        <f>IF($A90=BL$83, 0, distance(VLOOKUP($A90,Cuision!$G:$P,9,FALSE),VLOOKUP($A90,Cuision!$G:$P,10,FALSE),VLOOKUP(BL$83,Cuision!$G:$P,9,FALSE),VLOOKUP(BL$83,Cuision!$G:$P,10,FALSE)))</f>
        <v>-1</v>
      </c>
      <c r="BM90" s="33">
        <f>IF($A90=BM$83, 0, distance(VLOOKUP($A90,Cuision!$G:$P,9,FALSE),VLOOKUP($A90,Cuision!$G:$P,10,FALSE),VLOOKUP(BM$83,Cuision!$G:$P,9,FALSE),VLOOKUP(BM$83,Cuision!$G:$P,10,FALSE)))</f>
        <v>-1</v>
      </c>
      <c r="BN90" s="33">
        <f>IF($A90=BN$83, 0, distance(VLOOKUP($A90,Cuision!$G:$P,9,FALSE),VLOOKUP($A90,Cuision!$G:$P,10,FALSE),VLOOKUP(BN$83,Cuision!$G:$P,9,FALSE),VLOOKUP(BN$83,Cuision!$G:$P,10,FALSE)))</f>
        <v>2245.7727898826438</v>
      </c>
      <c r="BO90" s="33">
        <f>IF($A90=BO$83, 0, distance(VLOOKUP($A90,Cuision!$G:$P,9,FALSE),VLOOKUP($A90,Cuision!$G:$P,10,FALSE),VLOOKUP(BO$83,Cuision!$G:$P,9,FALSE),VLOOKUP(BO$83,Cuision!$G:$P,10,FALSE)))</f>
        <v>4571.646535797021</v>
      </c>
      <c r="BP90" s="33">
        <f>IF($A90=BP$83, 0, distance(VLOOKUP($A90,Cuision!$G:$P,9,FALSE),VLOOKUP($A90,Cuision!$G:$P,10,FALSE),VLOOKUP(BP$83,Cuision!$G:$P,9,FALSE),VLOOKUP(BP$83,Cuision!$G:$P,10,FALSE)))</f>
        <v>1455.5753167577611</v>
      </c>
      <c r="BQ90" s="33">
        <f>IF($A90=BQ$83, 0, distance(VLOOKUP($A90,Cuision!$G:$P,9,FALSE),VLOOKUP($A90,Cuision!$G:$P,10,FALSE),VLOOKUP(BQ$83,Cuision!$G:$P,9,FALSE),VLOOKUP(BQ$83,Cuision!$G:$P,10,FALSE)))</f>
        <v>-1</v>
      </c>
      <c r="BR90" s="33">
        <f>IF($A90=BR$83, 0, distance(VLOOKUP($A90,Cuision!$G:$P,9,FALSE),VLOOKUP($A90,Cuision!$G:$P,10,FALSE),VLOOKUP(BR$83,Cuision!$G:$P,9,FALSE),VLOOKUP(BR$83,Cuision!$G:$P,10,FALSE)))</f>
        <v>5845.2890180192007</v>
      </c>
      <c r="BS90" s="33">
        <f>IF($A90=BS$83, 0, distance(VLOOKUP($A90,Cuision!$G:$P,9,FALSE),VLOOKUP($A90,Cuision!$G:$P,10,FALSE),VLOOKUP(BS$83,Cuision!$G:$P,9,FALSE),VLOOKUP(BS$83,Cuision!$G:$P,10,FALSE)))</f>
        <v>3689.9649577281907</v>
      </c>
      <c r="BT90" s="33">
        <f>IF($A90=BT$83, 0, distance(VLOOKUP($A90,Cuision!$G:$P,9,FALSE),VLOOKUP($A90,Cuision!$G:$P,10,FALSE),VLOOKUP(BT$83,Cuision!$G:$P,9,FALSE),VLOOKUP(BT$83,Cuision!$G:$P,10,FALSE)))</f>
        <v>2507.8131736189293</v>
      </c>
      <c r="BU90" s="33">
        <f>IF($A90=BU$83, 0, distance(VLOOKUP($A90,Cuision!$G:$P,9,FALSE),VLOOKUP($A90,Cuision!$G:$P,10,FALSE),VLOOKUP(BU$83,Cuision!$G:$P,9,FALSE),VLOOKUP(BU$83,Cuision!$G:$P,10,FALSE)))</f>
        <v>3824.661110686447</v>
      </c>
      <c r="BV90" s="33">
        <f>IF($A90=BV$83, 0, distance(VLOOKUP($A90,Cuision!$G:$P,9,FALSE),VLOOKUP($A90,Cuision!$G:$P,10,FALSE),VLOOKUP(BV$83,Cuision!$G:$P,9,FALSE),VLOOKUP(BV$83,Cuision!$G:$P,10,FALSE)))</f>
        <v>616.4837203936155</v>
      </c>
      <c r="BW90" s="33">
        <f>IF($A90=BW$83, 0, distance(VLOOKUP($A90,Cuision!$G:$P,9,FALSE),VLOOKUP($A90,Cuision!$G:$P,10,FALSE),VLOOKUP(BW$83,Cuision!$G:$P,9,FALSE),VLOOKUP(BW$83,Cuision!$G:$P,10,FALSE)))</f>
        <v>979.4172600811612</v>
      </c>
      <c r="BX90" s="33">
        <f>IF($A90=BX$83, 0, distance(VLOOKUP($A90,Cuision!$G:$P,9,FALSE),VLOOKUP($A90,Cuision!$G:$P,10,FALSE),VLOOKUP(BX$83,Cuision!$G:$P,9,FALSE),VLOOKUP(BX$83,Cuision!$G:$P,10,FALSE)))</f>
        <v>1291.6947468143164</v>
      </c>
      <c r="BY90" s="33">
        <f>IF($A90=BY$83, 0, distance(VLOOKUP($A90,Cuision!$G:$P,9,FALSE),VLOOKUP($A90,Cuision!$G:$P,10,FALSE),VLOOKUP(BY$83,Cuision!$G:$P,9,FALSE),VLOOKUP(BY$83,Cuision!$G:$P,10,FALSE)))</f>
        <v>-1</v>
      </c>
      <c r="BZ90" s="33">
        <f>IF($A90=BZ$83, 0, distance(VLOOKUP($A90,Cuision!$G:$P,9,FALSE),VLOOKUP($A90,Cuision!$G:$P,10,FALSE),VLOOKUP(BZ$83,Cuision!$G:$P,9,FALSE),VLOOKUP(BZ$83,Cuision!$G:$P,10,FALSE)))</f>
        <v>-1</v>
      </c>
      <c r="CA90" s="33">
        <f>IF($A90=CA$83, 0, distance(VLOOKUP($A90,Cuision!$G:$P,9,FALSE),VLOOKUP($A90,Cuision!$G:$P,10,FALSE),VLOOKUP(CA$83,Cuision!$G:$P,9,FALSE),VLOOKUP(CA$83,Cuision!$G:$P,10,FALSE)))</f>
        <v>3799.9130153601809</v>
      </c>
    </row>
    <row r="91" spans="1:79" ht="14.25" x14ac:dyDescent="0.2">
      <c r="A91" s="30" t="s">
        <v>48</v>
      </c>
      <c r="B91" s="33">
        <f>IF($A91=B$83, 0, distance(VLOOKUP($A91,Cuision!$G:$P,9,FALSE),VLOOKUP($A91,Cuision!$G:$P,10,FALSE),VLOOKUP(B$83,Cuision!$G:$P,9,FALSE),VLOOKUP(B$83,Cuision!$G:$P,10,FALSE)))</f>
        <v>1788.2361881412367</v>
      </c>
      <c r="C91" s="33">
        <f>IF($A91=C$83, 0, distance(VLOOKUP($A91,Cuision!$G:$P,9,FALSE),VLOOKUP($A91,Cuision!$G:$P,10,FALSE),VLOOKUP(C$83,Cuision!$G:$P,9,FALSE),VLOOKUP(C$83,Cuision!$G:$P,10,FALSE)))</f>
        <v>5233.7304109176312</v>
      </c>
      <c r="D91" s="33">
        <f>IF($A91=D$83, 0, distance(VLOOKUP($A91,Cuision!$G:$P,9,FALSE),VLOOKUP($A91,Cuision!$G:$P,10,FALSE),VLOOKUP(D$83,Cuision!$G:$P,9,FALSE),VLOOKUP(D$83,Cuision!$G:$P,10,FALSE)))</f>
        <v>7394.0053664196539</v>
      </c>
      <c r="E91" s="33">
        <f>IF($A91=E$83, 0, distance(VLOOKUP($A91,Cuision!$G:$P,9,FALSE),VLOOKUP($A91,Cuision!$G:$P,10,FALSE),VLOOKUP(E$83,Cuision!$G:$P,9,FALSE),VLOOKUP(E$83,Cuision!$G:$P,10,FALSE)))</f>
        <v>7394.0053664196539</v>
      </c>
      <c r="F91" s="33">
        <f>IF($A91=F$83, 0, distance(VLOOKUP($A91,Cuision!$G:$P,9,FALSE),VLOOKUP($A91,Cuision!$G:$P,10,FALSE),VLOOKUP(F$83,Cuision!$G:$P,9,FALSE),VLOOKUP(F$83,Cuision!$G:$P,10,FALSE)))</f>
        <v>3384.8801832287927</v>
      </c>
      <c r="G91" s="33">
        <f>IF($A91=G$83, 0, distance(VLOOKUP($A91,Cuision!$G:$P,9,FALSE),VLOOKUP($A91,Cuision!$G:$P,10,FALSE),VLOOKUP(G$83,Cuision!$G:$P,9,FALSE),VLOOKUP(G$83,Cuision!$G:$P,10,FALSE)))</f>
        <v>11239.55079452049</v>
      </c>
      <c r="H91" s="33">
        <f>IF($A91=H$83, 0, distance(VLOOKUP($A91,Cuision!$G:$P,9,FALSE),VLOOKUP($A91,Cuision!$G:$P,10,FALSE),VLOOKUP(H$83,Cuision!$G:$P,9,FALSE),VLOOKUP(H$83,Cuision!$G:$P,10,FALSE)))</f>
        <v>3069.0147571284028</v>
      </c>
      <c r="I91" s="33">
        <f>IF($A91=I$83, 0, distance(VLOOKUP($A91,Cuision!$G:$P,9,FALSE),VLOOKUP($A91,Cuision!$G:$P,10,FALSE),VLOOKUP(I$83,Cuision!$G:$P,9,FALSE),VLOOKUP(I$83,Cuision!$G:$P,10,FALSE)))</f>
        <v>0</v>
      </c>
      <c r="J91" s="33">
        <f>IF($A91=J$83, 0, distance(VLOOKUP($A91,Cuision!$G:$P,9,FALSE),VLOOKUP($A91,Cuision!$G:$P,10,FALSE),VLOOKUP(J$83,Cuision!$G:$P,9,FALSE),VLOOKUP(J$83,Cuision!$G:$P,10,FALSE)))</f>
        <v>5723.0710771961431</v>
      </c>
      <c r="K91" s="33">
        <f>IF($A91=K$83, 0, distance(VLOOKUP($A91,Cuision!$G:$P,9,FALSE),VLOOKUP($A91,Cuision!$G:$P,10,FALSE),VLOOKUP(K$83,Cuision!$G:$P,9,FALSE),VLOOKUP(K$83,Cuision!$G:$P,10,FALSE)))</f>
        <v>4268.7817936624597</v>
      </c>
      <c r="L91" s="33">
        <f>IF($A91=L$83, 0, distance(VLOOKUP($A91,Cuision!$G:$P,9,FALSE),VLOOKUP($A91,Cuision!$G:$P,10,FALSE),VLOOKUP(L$83,Cuision!$G:$P,9,FALSE),VLOOKUP(L$83,Cuision!$G:$P,10,FALSE)))</f>
        <v>943.0994094505545</v>
      </c>
      <c r="M91" s="33">
        <f>IF($A91=M$83, 0, distance(VLOOKUP($A91,Cuision!$G:$P,9,FALSE),VLOOKUP($A91,Cuision!$G:$P,10,FALSE),VLOOKUP(M$83,Cuision!$G:$P,9,FALSE),VLOOKUP(M$83,Cuision!$G:$P,10,FALSE)))</f>
        <v>-1</v>
      </c>
      <c r="N91" s="33">
        <f>IF($A91=N$83, 0, distance(VLOOKUP($A91,Cuision!$G:$P,9,FALSE),VLOOKUP($A91,Cuision!$G:$P,10,FALSE),VLOOKUP(N$83,Cuision!$G:$P,9,FALSE),VLOOKUP(N$83,Cuision!$G:$P,10,FALSE)))</f>
        <v>5392.6916510897654</v>
      </c>
      <c r="O91" s="33">
        <f>IF($A91=O$83, 0, distance(VLOOKUP($A91,Cuision!$G:$P,9,FALSE),VLOOKUP($A91,Cuision!$G:$P,10,FALSE),VLOOKUP(O$83,Cuision!$G:$P,9,FALSE),VLOOKUP(O$83,Cuision!$G:$P,10,FALSE)))</f>
        <v>4687.642272737221</v>
      </c>
      <c r="P91" s="33">
        <f>IF($A91=P$83, 0, distance(VLOOKUP($A91,Cuision!$G:$P,9,FALSE),VLOOKUP($A91,Cuision!$G:$P,10,FALSE),VLOOKUP(P$83,Cuision!$G:$P,9,FALSE),VLOOKUP(P$83,Cuision!$G:$P,10,FALSE)))</f>
        <v>10111.522384843647</v>
      </c>
      <c r="Q91" s="33">
        <f>IF($A91=Q$83, 0, distance(VLOOKUP($A91,Cuision!$G:$P,9,FALSE),VLOOKUP($A91,Cuision!$G:$P,10,FALSE),VLOOKUP(Q$83,Cuision!$G:$P,9,FALSE),VLOOKUP(Q$83,Cuision!$G:$P,10,FALSE)))</f>
        <v>-1</v>
      </c>
      <c r="R91" s="33">
        <f>IF($A91=R$83, 0, distance(VLOOKUP($A91,Cuision!$G:$P,9,FALSE),VLOOKUP($A91,Cuision!$G:$P,10,FALSE),VLOOKUP(R$83,Cuision!$G:$P,9,FALSE),VLOOKUP(R$83,Cuision!$G:$P,10,FALSE)))</f>
        <v>4836.1876543609851</v>
      </c>
      <c r="S91" s="33">
        <f>IF($A91=S$83, 0, distance(VLOOKUP($A91,Cuision!$G:$P,9,FALSE),VLOOKUP($A91,Cuision!$G:$P,10,FALSE),VLOOKUP(S$83,Cuision!$G:$P,9,FALSE),VLOOKUP(S$83,Cuision!$G:$P,10,FALSE)))</f>
        <v>-1</v>
      </c>
      <c r="T91" s="33">
        <f>IF($A91=T$83, 0, distance(VLOOKUP($A91,Cuision!$G:$P,9,FALSE),VLOOKUP($A91,Cuision!$G:$P,10,FALSE),VLOOKUP(T$83,Cuision!$G:$P,9,FALSE),VLOOKUP(T$83,Cuision!$G:$P,10,FALSE)))</f>
        <v>1025.4941143807514</v>
      </c>
      <c r="U91" s="33">
        <f>IF($A91=U$83, 0, distance(VLOOKUP($A91,Cuision!$G:$P,9,FALSE),VLOOKUP($A91,Cuision!$G:$P,10,FALSE),VLOOKUP(U$83,Cuision!$G:$P,9,FALSE),VLOOKUP(U$83,Cuision!$G:$P,10,FALSE)))</f>
        <v>-1</v>
      </c>
      <c r="V91" s="33">
        <f>IF($A91=V$83, 0, distance(VLOOKUP($A91,Cuision!$G:$P,9,FALSE),VLOOKUP($A91,Cuision!$G:$P,10,FALSE),VLOOKUP(V$83,Cuision!$G:$P,9,FALSE),VLOOKUP(V$83,Cuision!$G:$P,10,FALSE)))</f>
        <v>7394.0053664196539</v>
      </c>
      <c r="W91" s="33">
        <f>IF($A91=W$83, 0, distance(VLOOKUP($A91,Cuision!$G:$P,9,FALSE),VLOOKUP($A91,Cuision!$G:$P,10,FALSE),VLOOKUP(W$83,Cuision!$G:$P,9,FALSE),VLOOKUP(W$83,Cuision!$G:$P,10,FALSE)))</f>
        <v>1577.1703249377435</v>
      </c>
      <c r="X91" s="33">
        <f>IF($A91=X$83, 0, distance(VLOOKUP($A91,Cuision!$G:$P,9,FALSE),VLOOKUP($A91,Cuision!$G:$P,10,FALSE),VLOOKUP(X$83,Cuision!$G:$P,9,FALSE),VLOOKUP(X$83,Cuision!$G:$P,10,FALSE)))</f>
        <v>5392.6916510897654</v>
      </c>
      <c r="Y91" s="33">
        <f>IF($A91=Y$83, 0, distance(VLOOKUP($A91,Cuision!$G:$P,9,FALSE),VLOOKUP($A91,Cuision!$G:$P,10,FALSE),VLOOKUP(Y$83,Cuision!$G:$P,9,FALSE),VLOOKUP(Y$83,Cuision!$G:$P,10,FALSE)))</f>
        <v>958.68728598068651</v>
      </c>
      <c r="Z91" s="33">
        <f>IF($A91=Z$83, 0, distance(VLOOKUP($A91,Cuision!$G:$P,9,FALSE),VLOOKUP($A91,Cuision!$G:$P,10,FALSE),VLOOKUP(Z$83,Cuision!$G:$P,9,FALSE),VLOOKUP(Z$83,Cuision!$G:$P,10,FALSE)))</f>
        <v>-1</v>
      </c>
      <c r="AA91" s="33">
        <f>IF($A91=AA$83, 0, distance(VLOOKUP($A91,Cuision!$G:$P,9,FALSE),VLOOKUP($A91,Cuision!$G:$P,10,FALSE),VLOOKUP(AA$83,Cuision!$G:$P,9,FALSE),VLOOKUP(AA$83,Cuision!$G:$P,10,FALSE)))</f>
        <v>8480.8653868021829</v>
      </c>
      <c r="AB91" s="33">
        <f>IF($A91=AB$83, 0, distance(VLOOKUP($A91,Cuision!$G:$P,9,FALSE),VLOOKUP($A91,Cuision!$G:$P,10,FALSE),VLOOKUP(AB$83,Cuision!$G:$P,9,FALSE),VLOOKUP(AB$83,Cuision!$G:$P,10,FALSE)))</f>
        <v>4304.9619381914426</v>
      </c>
      <c r="AC91" s="33">
        <f>IF($A91=AC$83, 0, distance(VLOOKUP($A91,Cuision!$G:$P,9,FALSE),VLOOKUP($A91,Cuision!$G:$P,10,FALSE),VLOOKUP(AC$83,Cuision!$G:$P,9,FALSE),VLOOKUP(AC$83,Cuision!$G:$P,10,FALSE)))</f>
        <v>4265.0463018382698</v>
      </c>
      <c r="AD91" s="33">
        <f>IF($A91=AD$83, 0, distance(VLOOKUP($A91,Cuision!$G:$P,9,FALSE),VLOOKUP($A91,Cuision!$G:$P,10,FALSE),VLOOKUP(AD$83,Cuision!$G:$P,9,FALSE),VLOOKUP(AD$83,Cuision!$G:$P,10,FALSE)))</f>
        <v>1849.290410860461</v>
      </c>
      <c r="AE91" s="33">
        <f>IF($A91=AE$83, 0, distance(VLOOKUP($A91,Cuision!$G:$P,9,FALSE),VLOOKUP($A91,Cuision!$G:$P,10,FALSE),VLOOKUP(AE$83,Cuision!$G:$P,9,FALSE),VLOOKUP(AE$83,Cuision!$G:$P,10,FALSE)))</f>
        <v>4112.4385095469606</v>
      </c>
      <c r="AF91" s="33">
        <f>IF($A91=AF$83, 0, distance(VLOOKUP($A91,Cuision!$G:$P,9,FALSE),VLOOKUP($A91,Cuision!$G:$P,10,FALSE),VLOOKUP(AF$83,Cuision!$G:$P,9,FALSE),VLOOKUP(AF$83,Cuision!$G:$P,10,FALSE)))</f>
        <v>4831.4708925326522</v>
      </c>
      <c r="AG91" s="33">
        <f>IF($A91=AG$83, 0, distance(VLOOKUP($A91,Cuision!$G:$P,9,FALSE),VLOOKUP($A91,Cuision!$G:$P,10,FALSE),VLOOKUP(AG$83,Cuision!$G:$P,9,FALSE),VLOOKUP(AG$83,Cuision!$G:$P,10,FALSE)))</f>
        <v>4286.3696440003469</v>
      </c>
      <c r="AH91" s="33">
        <f>IF($A91=AH$83, 0, distance(VLOOKUP($A91,Cuision!$G:$P,9,FALSE),VLOOKUP($A91,Cuision!$G:$P,10,FALSE),VLOOKUP(AH$83,Cuision!$G:$P,9,FALSE),VLOOKUP(AH$83,Cuision!$G:$P,10,FALSE)))</f>
        <v>-1</v>
      </c>
      <c r="AI91" s="33">
        <f>IF($A91=AI$83, 0, distance(VLOOKUP($A91,Cuision!$G:$P,9,FALSE),VLOOKUP($A91,Cuision!$G:$P,10,FALSE),VLOOKUP(AI$83,Cuision!$G:$P,9,FALSE),VLOOKUP(AI$83,Cuision!$G:$P,10,FALSE)))</f>
        <v>4179.2557050913974</v>
      </c>
      <c r="AJ91" s="33">
        <f>IF($A91=AJ$83, 0, distance(VLOOKUP($A91,Cuision!$G:$P,9,FALSE),VLOOKUP($A91,Cuision!$G:$P,10,FALSE),VLOOKUP(AJ$83,Cuision!$G:$P,9,FALSE),VLOOKUP(AJ$83,Cuision!$G:$P,10,FALSE)))</f>
        <v>3384.8801832287927</v>
      </c>
      <c r="AK91" s="33">
        <f>IF($A91=AK$83, 0, distance(VLOOKUP($A91,Cuision!$G:$P,9,FALSE),VLOOKUP($A91,Cuision!$G:$P,10,FALSE),VLOOKUP(AK$83,Cuision!$G:$P,9,FALSE),VLOOKUP(AK$83,Cuision!$G:$P,10,FALSE)))</f>
        <v>6199.3655852235488</v>
      </c>
      <c r="AL91" s="33">
        <f>IF($A91=AL$83, 0, distance(VLOOKUP($A91,Cuision!$G:$P,9,FALSE),VLOOKUP($A91,Cuision!$G:$P,10,FALSE),VLOOKUP(AL$83,Cuision!$G:$P,9,FALSE),VLOOKUP(AL$83,Cuision!$G:$P,10,FALSE)))</f>
        <v>1006.2025741025151</v>
      </c>
      <c r="AM91" s="33">
        <f>IF($A91=AM$83, 0, distance(VLOOKUP($A91,Cuision!$G:$P,9,FALSE),VLOOKUP($A91,Cuision!$G:$P,10,FALSE),VLOOKUP(AM$83,Cuision!$G:$P,9,FALSE),VLOOKUP(AM$83,Cuision!$G:$P,10,FALSE)))</f>
        <v>-1</v>
      </c>
      <c r="AN91" s="33">
        <f>IF($A91=AN$83, 0, distance(VLOOKUP($A91,Cuision!$G:$P,9,FALSE),VLOOKUP($A91,Cuision!$G:$P,10,FALSE),VLOOKUP(AN$83,Cuision!$G:$P,9,FALSE),VLOOKUP(AN$83,Cuision!$G:$P,10,FALSE)))</f>
        <v>4169.3085752934694</v>
      </c>
      <c r="AO91" s="33">
        <f>IF($A91=AO$83, 0, distance(VLOOKUP($A91,Cuision!$G:$P,9,FALSE),VLOOKUP($A91,Cuision!$G:$P,10,FALSE),VLOOKUP(AO$83,Cuision!$G:$P,9,FALSE),VLOOKUP(AO$83,Cuision!$G:$P,10,FALSE)))</f>
        <v>5392.6916510897654</v>
      </c>
      <c r="AP91" s="33">
        <f>IF($A91=AP$83, 0, distance(VLOOKUP($A91,Cuision!$G:$P,9,FALSE),VLOOKUP($A91,Cuision!$G:$P,10,FALSE),VLOOKUP(AP$83,Cuision!$G:$P,9,FALSE),VLOOKUP(AP$83,Cuision!$G:$P,10,FALSE)))</f>
        <v>1426.8194140854409</v>
      </c>
      <c r="AQ91" s="33">
        <f>IF($A91=AQ$83, 0, distance(VLOOKUP($A91,Cuision!$G:$P,9,FALSE),VLOOKUP($A91,Cuision!$G:$P,10,FALSE),VLOOKUP(AQ$83,Cuision!$G:$P,9,FALSE),VLOOKUP(AQ$83,Cuision!$G:$P,10,FALSE)))</f>
        <v>2811.0863250031775</v>
      </c>
      <c r="AR91" s="33">
        <f>IF($A91=AR$83, 0, distance(VLOOKUP($A91,Cuision!$G:$P,9,FALSE),VLOOKUP($A91,Cuision!$G:$P,10,FALSE),VLOOKUP(AR$83,Cuision!$G:$P,9,FALSE),VLOOKUP(AR$83,Cuision!$G:$P,10,FALSE)))</f>
        <v>4836.1876543609851</v>
      </c>
      <c r="AS91" s="33">
        <f>IF($A91=AS$83, 0, distance(VLOOKUP($A91,Cuision!$G:$P,9,FALSE),VLOOKUP($A91,Cuision!$G:$P,10,FALSE),VLOOKUP(AS$83,Cuision!$G:$P,9,FALSE),VLOOKUP(AS$83,Cuision!$G:$P,10,FALSE)))</f>
        <v>4615.5639702902399</v>
      </c>
      <c r="AT91" s="33">
        <f>IF($A91=AT$83, 0, distance(VLOOKUP($A91,Cuision!$G:$P,9,FALSE),VLOOKUP($A91,Cuision!$G:$P,10,FALSE),VLOOKUP(AT$83,Cuision!$G:$P,9,FALSE),VLOOKUP(AT$83,Cuision!$G:$P,10,FALSE)))</f>
        <v>2203.0163615976403</v>
      </c>
      <c r="AU91" s="33">
        <f>IF($A91=AU$83, 0, distance(VLOOKUP($A91,Cuision!$G:$P,9,FALSE),VLOOKUP($A91,Cuision!$G:$P,10,FALSE),VLOOKUP(AU$83,Cuision!$G:$P,9,FALSE),VLOOKUP(AU$83,Cuision!$G:$P,10,FALSE)))</f>
        <v>1491.8342274911881</v>
      </c>
      <c r="AV91" s="33">
        <f>IF($A91=AV$83, 0, distance(VLOOKUP($A91,Cuision!$G:$P,9,FALSE),VLOOKUP($A91,Cuision!$G:$P,10,FALSE),VLOOKUP(AV$83,Cuision!$G:$P,9,FALSE),VLOOKUP(AV$83,Cuision!$G:$P,10,FALSE)))</f>
        <v>3830.7783134555043</v>
      </c>
      <c r="AW91" s="33">
        <f>IF($A91=AW$83, 0, distance(VLOOKUP($A91,Cuision!$G:$P,9,FALSE),VLOOKUP($A91,Cuision!$G:$P,10,FALSE),VLOOKUP(AW$83,Cuision!$G:$P,9,FALSE),VLOOKUP(AW$83,Cuision!$G:$P,10,FALSE)))</f>
        <v>1117.5280475397178</v>
      </c>
      <c r="AX91" s="33">
        <f>IF($A91=AX$83, 0, distance(VLOOKUP($A91,Cuision!$G:$P,9,FALSE),VLOOKUP($A91,Cuision!$G:$P,10,FALSE),VLOOKUP(AX$83,Cuision!$G:$P,9,FALSE),VLOOKUP(AX$83,Cuision!$G:$P,10,FALSE)))</f>
        <v>10085.281518508336</v>
      </c>
      <c r="AY91" s="33">
        <f>IF($A91=AY$83, 0, distance(VLOOKUP($A91,Cuision!$G:$P,9,FALSE),VLOOKUP($A91,Cuision!$G:$P,10,FALSE),VLOOKUP(AY$83,Cuision!$G:$P,9,FALSE),VLOOKUP(AY$83,Cuision!$G:$P,10,FALSE)))</f>
        <v>-1</v>
      </c>
      <c r="AZ91" s="33">
        <f>IF($A91=AZ$83, 0, distance(VLOOKUP($A91,Cuision!$G:$P,9,FALSE),VLOOKUP($A91,Cuision!$G:$P,10,FALSE),VLOOKUP(AZ$83,Cuision!$G:$P,9,FALSE),VLOOKUP(AZ$83,Cuision!$G:$P,10,FALSE)))</f>
        <v>2136.5363985395461</v>
      </c>
      <c r="BA91" s="33">
        <f>IF($A91=BA$83, 0, distance(VLOOKUP($A91,Cuision!$G:$P,9,FALSE),VLOOKUP($A91,Cuision!$G:$P,10,FALSE),VLOOKUP(BA$83,Cuision!$G:$P,9,FALSE),VLOOKUP(BA$83,Cuision!$G:$P,10,FALSE)))</f>
        <v>4564.1011950466163</v>
      </c>
      <c r="BB91" s="33">
        <f>IF($A91=BB$83, 0, distance(VLOOKUP($A91,Cuision!$G:$P,9,FALSE),VLOOKUP($A91,Cuision!$G:$P,10,FALSE),VLOOKUP(BB$83,Cuision!$G:$P,9,FALSE),VLOOKUP(BB$83,Cuision!$G:$P,10,FALSE)))</f>
        <v>8519.4974757545224</v>
      </c>
      <c r="BC91" s="33">
        <f>IF($A91=BC$83, 0, distance(VLOOKUP($A91,Cuision!$G:$P,9,FALSE),VLOOKUP($A91,Cuision!$G:$P,10,FALSE),VLOOKUP(BC$83,Cuision!$G:$P,9,FALSE),VLOOKUP(BC$83,Cuision!$G:$P,10,FALSE)))</f>
        <v>3384.8801832287927</v>
      </c>
      <c r="BD91" s="33">
        <f>IF($A91=BD$83, 0, distance(VLOOKUP($A91,Cuision!$G:$P,9,FALSE),VLOOKUP($A91,Cuision!$G:$P,10,FALSE),VLOOKUP(BD$83,Cuision!$G:$P,9,FALSE),VLOOKUP(BD$83,Cuision!$G:$P,10,FALSE)))</f>
        <v>1011.0053433161585</v>
      </c>
      <c r="BE91" s="33">
        <f>IF($A91=BE$83, 0, distance(VLOOKUP($A91,Cuision!$G:$P,9,FALSE),VLOOKUP($A91,Cuision!$G:$P,10,FALSE),VLOOKUP(BE$83,Cuision!$G:$P,9,FALSE),VLOOKUP(BE$83,Cuision!$G:$P,10,FALSE)))</f>
        <v>5792.9057687975146</v>
      </c>
      <c r="BF91" s="33">
        <f>IF($A91=BF$83, 0, distance(VLOOKUP($A91,Cuision!$G:$P,9,FALSE),VLOOKUP($A91,Cuision!$G:$P,10,FALSE),VLOOKUP(BF$83,Cuision!$G:$P,9,FALSE),VLOOKUP(BF$83,Cuision!$G:$P,10,FALSE)))</f>
        <v>1577.2093681748613</v>
      </c>
      <c r="BG91" s="33">
        <f>IF($A91=BG$83, 0, distance(VLOOKUP($A91,Cuision!$G:$P,9,FALSE),VLOOKUP($A91,Cuision!$G:$P,10,FALSE),VLOOKUP(BG$83,Cuision!$G:$P,9,FALSE),VLOOKUP(BG$83,Cuision!$G:$P,10,FALSE)))</f>
        <v>2761.6530765825264</v>
      </c>
      <c r="BH91" s="33">
        <f>IF($A91=BH$83, 0, distance(VLOOKUP($A91,Cuision!$G:$P,9,FALSE),VLOOKUP($A91,Cuision!$G:$P,10,FALSE),VLOOKUP(BH$83,Cuision!$G:$P,9,FALSE),VLOOKUP(BH$83,Cuision!$G:$P,10,FALSE)))</f>
        <v>10908.491845794124</v>
      </c>
      <c r="BI91" s="33">
        <f>IF($A91=BI$83, 0, distance(VLOOKUP($A91,Cuision!$G:$P,9,FALSE),VLOOKUP($A91,Cuision!$G:$P,10,FALSE),VLOOKUP(BI$83,Cuision!$G:$P,9,FALSE),VLOOKUP(BI$83,Cuision!$G:$P,10,FALSE)))</f>
        <v>3987.6579961973844</v>
      </c>
      <c r="BJ91" s="33">
        <f>IF($A91=BJ$83, 0, distance(VLOOKUP($A91,Cuision!$G:$P,9,FALSE),VLOOKUP($A91,Cuision!$G:$P,10,FALSE),VLOOKUP(BJ$83,Cuision!$G:$P,9,FALSE),VLOOKUP(BJ$83,Cuision!$G:$P,10,FALSE)))</f>
        <v>5694.9582605596634</v>
      </c>
      <c r="BK91" s="33">
        <f>IF($A91=BK$83, 0, distance(VLOOKUP($A91,Cuision!$G:$P,9,FALSE),VLOOKUP($A91,Cuision!$G:$P,10,FALSE),VLOOKUP(BK$83,Cuision!$G:$P,9,FALSE),VLOOKUP(BK$83,Cuision!$G:$P,10,FALSE)))</f>
        <v>3287.6032701656195</v>
      </c>
      <c r="BL91" s="33">
        <f>IF($A91=BL$83, 0, distance(VLOOKUP($A91,Cuision!$G:$P,9,FALSE),VLOOKUP($A91,Cuision!$G:$P,10,FALSE),VLOOKUP(BL$83,Cuision!$G:$P,9,FALSE),VLOOKUP(BL$83,Cuision!$G:$P,10,FALSE)))</f>
        <v>-1</v>
      </c>
      <c r="BM91" s="33">
        <f>IF($A91=BM$83, 0, distance(VLOOKUP($A91,Cuision!$G:$P,9,FALSE),VLOOKUP($A91,Cuision!$G:$P,10,FALSE),VLOOKUP(BM$83,Cuision!$G:$P,9,FALSE),VLOOKUP(BM$83,Cuision!$G:$P,10,FALSE)))</f>
        <v>-1</v>
      </c>
      <c r="BN91" s="33">
        <f>IF($A91=BN$83, 0, distance(VLOOKUP($A91,Cuision!$G:$P,9,FALSE),VLOOKUP($A91,Cuision!$G:$P,10,FALSE),VLOOKUP(BN$83,Cuision!$G:$P,9,FALSE),VLOOKUP(BN$83,Cuision!$G:$P,10,FALSE)))</f>
        <v>4836.1876543609851</v>
      </c>
      <c r="BO91" s="33">
        <f>IF($A91=BO$83, 0, distance(VLOOKUP($A91,Cuision!$G:$P,9,FALSE),VLOOKUP($A91,Cuision!$G:$P,10,FALSE),VLOOKUP(BO$83,Cuision!$G:$P,9,FALSE),VLOOKUP(BO$83,Cuision!$G:$P,10,FALSE)))</f>
        <v>2272.8516717764592</v>
      </c>
      <c r="BP91" s="33">
        <f>IF($A91=BP$83, 0, distance(VLOOKUP($A91,Cuision!$G:$P,9,FALSE),VLOOKUP($A91,Cuision!$G:$P,10,FALSE),VLOOKUP(BP$83,Cuision!$G:$P,9,FALSE),VLOOKUP(BP$83,Cuision!$G:$P,10,FALSE)))</f>
        <v>4238.2927375783129</v>
      </c>
      <c r="BQ91" s="33">
        <f>IF($A91=BQ$83, 0, distance(VLOOKUP($A91,Cuision!$G:$P,9,FALSE),VLOOKUP($A91,Cuision!$G:$P,10,FALSE),VLOOKUP(BQ$83,Cuision!$G:$P,9,FALSE),VLOOKUP(BQ$83,Cuision!$G:$P,10,FALSE)))</f>
        <v>-1</v>
      </c>
      <c r="BR91" s="33">
        <f>IF($A91=BR$83, 0, distance(VLOOKUP($A91,Cuision!$G:$P,9,FALSE),VLOOKUP($A91,Cuision!$G:$P,10,FALSE),VLOOKUP(BR$83,Cuision!$G:$P,9,FALSE),VLOOKUP(BR$83,Cuision!$G:$P,10,FALSE)))</f>
        <v>7394.0053664196539</v>
      </c>
      <c r="BS91" s="33">
        <f>IF($A91=BS$83, 0, distance(VLOOKUP($A91,Cuision!$G:$P,9,FALSE),VLOOKUP($A91,Cuision!$G:$P,10,FALSE),VLOOKUP(BS$83,Cuision!$G:$P,9,FALSE),VLOOKUP(BS$83,Cuision!$G:$P,10,FALSE)))</f>
        <v>958.68728598068651</v>
      </c>
      <c r="BT91" s="33">
        <f>IF($A91=BT$83, 0, distance(VLOOKUP($A91,Cuision!$G:$P,9,FALSE),VLOOKUP($A91,Cuision!$G:$P,10,FALSE),VLOOKUP(BT$83,Cuision!$G:$P,9,FALSE),VLOOKUP(BT$83,Cuision!$G:$P,10,FALSE)))</f>
        <v>5392.6916510897654</v>
      </c>
      <c r="BU91" s="33">
        <f>IF($A91=BU$83, 0, distance(VLOOKUP($A91,Cuision!$G:$P,9,FALSE),VLOOKUP($A91,Cuision!$G:$P,10,FALSE),VLOOKUP(BU$83,Cuision!$G:$P,9,FALSE),VLOOKUP(BU$83,Cuision!$G:$P,10,FALSE)))</f>
        <v>1402.3993968094455</v>
      </c>
      <c r="BV91" s="33">
        <f>IF($A91=BV$83, 0, distance(VLOOKUP($A91,Cuision!$G:$P,9,FALSE),VLOOKUP($A91,Cuision!$G:$P,10,FALSE),VLOOKUP(BV$83,Cuision!$G:$P,9,FALSE),VLOOKUP(BV$83,Cuision!$G:$P,10,FALSE)))</f>
        <v>3672.2249568076977</v>
      </c>
      <c r="BW91" s="33">
        <f>IF($A91=BW$83, 0, distance(VLOOKUP($A91,Cuision!$G:$P,9,FALSE),VLOOKUP($A91,Cuision!$G:$P,10,FALSE),VLOOKUP(BW$83,Cuision!$G:$P,9,FALSE),VLOOKUP(BW$83,Cuision!$G:$P,10,FALSE)))</f>
        <v>3614.5687742926461</v>
      </c>
      <c r="BX91" s="33">
        <f>IF($A91=BX$83, 0, distance(VLOOKUP($A91,Cuision!$G:$P,9,FALSE),VLOOKUP($A91,Cuision!$G:$P,10,FALSE),VLOOKUP(BX$83,Cuision!$G:$P,9,FALSE),VLOOKUP(BX$83,Cuision!$G:$P,10,FALSE)))</f>
        <v>1777.4747582225955</v>
      </c>
      <c r="BY91" s="33">
        <f>IF($A91=BY$83, 0, distance(VLOOKUP($A91,Cuision!$G:$P,9,FALSE),VLOOKUP($A91,Cuision!$G:$P,10,FALSE),VLOOKUP(BY$83,Cuision!$G:$P,9,FALSE),VLOOKUP(BY$83,Cuision!$G:$P,10,FALSE)))</f>
        <v>-1</v>
      </c>
      <c r="BZ91" s="33">
        <f>IF($A91=BZ$83, 0, distance(VLOOKUP($A91,Cuision!$G:$P,9,FALSE),VLOOKUP($A91,Cuision!$G:$P,10,FALSE),VLOOKUP(BZ$83,Cuision!$G:$P,9,FALSE),VLOOKUP(BZ$83,Cuision!$G:$P,10,FALSE)))</f>
        <v>-1</v>
      </c>
      <c r="CA91" s="33">
        <f>IF($A91=CA$83, 0, distance(VLOOKUP($A91,Cuision!$G:$P,9,FALSE),VLOOKUP($A91,Cuision!$G:$P,10,FALSE),VLOOKUP(CA$83,Cuision!$G:$P,9,FALSE),VLOOKUP(CA$83,Cuision!$G:$P,10,FALSE)))</f>
        <v>954.79775155645973</v>
      </c>
    </row>
    <row r="92" spans="1:79" ht="14.25" x14ac:dyDescent="0.2">
      <c r="A92" s="30" t="s">
        <v>49</v>
      </c>
      <c r="B92" s="33">
        <f>IF($A92=B$83, 0, distance(VLOOKUP($A92,Cuision!$G:$P,9,FALSE),VLOOKUP($A92,Cuision!$G:$P,10,FALSE),VLOOKUP(B$83,Cuision!$G:$P,9,FALSE),VLOOKUP(B$83,Cuision!$G:$P,10,FALSE)))</f>
        <v>7056.220355946708</v>
      </c>
      <c r="C92" s="33">
        <f>IF($A92=C$83, 0, distance(VLOOKUP($A92,Cuision!$G:$P,9,FALSE),VLOOKUP($A92,Cuision!$G:$P,10,FALSE),VLOOKUP(C$83,Cuision!$G:$P,9,FALSE),VLOOKUP(C$83,Cuision!$G:$P,10,FALSE)))</f>
        <v>7209.8628457801879</v>
      </c>
      <c r="D92" s="33">
        <f>IF($A92=D$83, 0, distance(VLOOKUP($A92,Cuision!$G:$P,9,FALSE),VLOOKUP($A92,Cuision!$G:$P,10,FALSE),VLOOKUP(D$83,Cuision!$G:$P,9,FALSE),VLOOKUP(D$83,Cuision!$G:$P,10,FALSE)))</f>
        <v>9906.4615041233737</v>
      </c>
      <c r="E92" s="33">
        <f>IF($A92=E$83, 0, distance(VLOOKUP($A92,Cuision!$G:$P,9,FALSE),VLOOKUP($A92,Cuision!$G:$P,10,FALSE),VLOOKUP(E$83,Cuision!$G:$P,9,FALSE),VLOOKUP(E$83,Cuision!$G:$P,10,FALSE)))</f>
        <v>9906.4615041233737</v>
      </c>
      <c r="F92" s="33">
        <f>IF($A92=F$83, 0, distance(VLOOKUP($A92,Cuision!$G:$P,9,FALSE),VLOOKUP($A92,Cuision!$G:$P,10,FALSE),VLOOKUP(F$83,Cuision!$G:$P,9,FALSE),VLOOKUP(F$83,Cuision!$G:$P,10,FALSE)))</f>
        <v>8226.0882390100815</v>
      </c>
      <c r="G92" s="33">
        <f>IF($A92=G$83, 0, distance(VLOOKUP($A92,Cuision!$G:$P,9,FALSE),VLOOKUP($A92,Cuision!$G:$P,10,FALSE),VLOOKUP(G$83,Cuision!$G:$P,9,FALSE),VLOOKUP(G$83,Cuision!$G:$P,10,FALSE)))</f>
        <v>7291.5264277192118</v>
      </c>
      <c r="H92" s="33">
        <f>IF($A92=H$83, 0, distance(VLOOKUP($A92,Cuision!$G:$P,9,FALSE),VLOOKUP($A92,Cuision!$G:$P,10,FALSE),VLOOKUP(H$83,Cuision!$G:$P,9,FALSE),VLOOKUP(H$83,Cuision!$G:$P,10,FALSE)))</f>
        <v>8429.6892716306465</v>
      </c>
      <c r="I92" s="33">
        <f>IF($A92=I$83, 0, distance(VLOOKUP($A92,Cuision!$G:$P,9,FALSE),VLOOKUP($A92,Cuision!$G:$P,10,FALSE),VLOOKUP(I$83,Cuision!$G:$P,9,FALSE),VLOOKUP(I$83,Cuision!$G:$P,10,FALSE)))</f>
        <v>5723.0710771961431</v>
      </c>
      <c r="J92" s="33">
        <f>IF($A92=J$83, 0, distance(VLOOKUP($A92,Cuision!$G:$P,9,FALSE),VLOOKUP($A92,Cuision!$G:$P,10,FALSE),VLOOKUP(J$83,Cuision!$G:$P,9,FALSE),VLOOKUP(J$83,Cuision!$G:$P,10,FALSE)))</f>
        <v>0</v>
      </c>
      <c r="K92" s="33">
        <f>IF($A92=K$83, 0, distance(VLOOKUP($A92,Cuision!$G:$P,9,FALSE),VLOOKUP($A92,Cuision!$G:$P,10,FALSE),VLOOKUP(K$83,Cuision!$G:$P,9,FALSE),VLOOKUP(K$83,Cuision!$G:$P,10,FALSE)))</f>
        <v>9888.7146200315929</v>
      </c>
      <c r="L92" s="33">
        <f>IF($A92=L$83, 0, distance(VLOOKUP($A92,Cuision!$G:$P,9,FALSE),VLOOKUP($A92,Cuision!$G:$P,10,FALSE),VLOOKUP(L$83,Cuision!$G:$P,9,FALSE),VLOOKUP(L$83,Cuision!$G:$P,10,FALSE)))</f>
        <v>5598.6846843932663</v>
      </c>
      <c r="M92" s="33">
        <f>IF($A92=M$83, 0, distance(VLOOKUP($A92,Cuision!$G:$P,9,FALSE),VLOOKUP($A92,Cuision!$G:$P,10,FALSE),VLOOKUP(M$83,Cuision!$G:$P,9,FALSE),VLOOKUP(M$83,Cuision!$G:$P,10,FALSE)))</f>
        <v>-1</v>
      </c>
      <c r="N92" s="33">
        <f>IF($A92=N$83, 0, distance(VLOOKUP($A92,Cuision!$G:$P,9,FALSE),VLOOKUP($A92,Cuision!$G:$P,10,FALSE),VLOOKUP(N$83,Cuision!$G:$P,9,FALSE),VLOOKUP(N$83,Cuision!$G:$P,10,FALSE)))</f>
        <v>10918.515608145402</v>
      </c>
      <c r="O92" s="33">
        <f>IF($A92=O$83, 0, distance(VLOOKUP($A92,Cuision!$G:$P,9,FALSE),VLOOKUP($A92,Cuision!$G:$P,10,FALSE),VLOOKUP(O$83,Cuision!$G:$P,9,FALSE),VLOOKUP(O$83,Cuision!$G:$P,10,FALSE)))</f>
        <v>10386.823786681021</v>
      </c>
      <c r="P92" s="33">
        <f>IF($A92=P$83, 0, distance(VLOOKUP($A92,Cuision!$G:$P,9,FALSE),VLOOKUP($A92,Cuision!$G:$P,10,FALSE),VLOOKUP(P$83,Cuision!$G:$P,9,FALSE),VLOOKUP(P$83,Cuision!$G:$P,10,FALSE)))</f>
        <v>8735.5367934546957</v>
      </c>
      <c r="Q92" s="33">
        <f>IF($A92=Q$83, 0, distance(VLOOKUP($A92,Cuision!$G:$P,9,FALSE),VLOOKUP($A92,Cuision!$G:$P,10,FALSE),VLOOKUP(Q$83,Cuision!$G:$P,9,FALSE),VLOOKUP(Q$83,Cuision!$G:$P,10,FALSE)))</f>
        <v>-1</v>
      </c>
      <c r="R92" s="33">
        <f>IF($A92=R$83, 0, distance(VLOOKUP($A92,Cuision!$G:$P,9,FALSE),VLOOKUP($A92,Cuision!$G:$P,10,FALSE),VLOOKUP(R$83,Cuision!$G:$P,9,FALSE),VLOOKUP(R$83,Cuision!$G:$P,10,FALSE)))</f>
        <v>10551.28590300766</v>
      </c>
      <c r="S92" s="33">
        <f>IF($A92=S$83, 0, distance(VLOOKUP($A92,Cuision!$G:$P,9,FALSE),VLOOKUP($A92,Cuision!$G:$P,10,FALSE),VLOOKUP(S$83,Cuision!$G:$P,9,FALSE),VLOOKUP(S$83,Cuision!$G:$P,10,FALSE)))</f>
        <v>-1</v>
      </c>
      <c r="T92" s="33">
        <f>IF($A92=T$83, 0, distance(VLOOKUP($A92,Cuision!$G:$P,9,FALSE),VLOOKUP($A92,Cuision!$G:$P,10,FALSE),VLOOKUP(T$83,Cuision!$G:$P,9,FALSE),VLOOKUP(T$83,Cuision!$G:$P,10,FALSE)))</f>
        <v>5147.3035003328832</v>
      </c>
      <c r="U92" s="33">
        <f>IF($A92=U$83, 0, distance(VLOOKUP($A92,Cuision!$G:$P,9,FALSE),VLOOKUP($A92,Cuision!$G:$P,10,FALSE),VLOOKUP(U$83,Cuision!$G:$P,9,FALSE),VLOOKUP(U$83,Cuision!$G:$P,10,FALSE)))</f>
        <v>-1</v>
      </c>
      <c r="V92" s="33">
        <f>IF($A92=V$83, 0, distance(VLOOKUP($A92,Cuision!$G:$P,9,FALSE),VLOOKUP($A92,Cuision!$G:$P,10,FALSE),VLOOKUP(V$83,Cuision!$G:$P,9,FALSE),VLOOKUP(V$83,Cuision!$G:$P,10,FALSE)))</f>
        <v>9906.4615041233737</v>
      </c>
      <c r="W92" s="33">
        <f>IF($A92=W$83, 0, distance(VLOOKUP($A92,Cuision!$G:$P,9,FALSE),VLOOKUP($A92,Cuision!$G:$P,10,FALSE),VLOOKUP(W$83,Cuision!$G:$P,9,FALSE),VLOOKUP(W$83,Cuision!$G:$P,10,FALSE)))</f>
        <v>4336.9223550535153</v>
      </c>
      <c r="X92" s="33">
        <f>IF($A92=X$83, 0, distance(VLOOKUP($A92,Cuision!$G:$P,9,FALSE),VLOOKUP($A92,Cuision!$G:$P,10,FALSE),VLOOKUP(X$83,Cuision!$G:$P,9,FALSE),VLOOKUP(X$83,Cuision!$G:$P,10,FALSE)))</f>
        <v>10918.515608145402</v>
      </c>
      <c r="Y92" s="33">
        <f>IF($A92=Y$83, 0, distance(VLOOKUP($A92,Cuision!$G:$P,9,FALSE),VLOOKUP($A92,Cuision!$G:$P,10,FALSE),VLOOKUP(Y$83,Cuision!$G:$P,9,FALSE),VLOOKUP(Y$83,Cuision!$G:$P,10,FALSE)))</f>
        <v>5597.2488794087549</v>
      </c>
      <c r="Z92" s="33">
        <f>IF($A92=Z$83, 0, distance(VLOOKUP($A92,Cuision!$G:$P,9,FALSE),VLOOKUP($A92,Cuision!$G:$P,10,FALSE),VLOOKUP(Z$83,Cuision!$G:$P,9,FALSE),VLOOKUP(Z$83,Cuision!$G:$P,10,FALSE)))</f>
        <v>-1</v>
      </c>
      <c r="AA92" s="33">
        <f>IF($A92=AA$83, 0, distance(VLOOKUP($A92,Cuision!$G:$P,9,FALSE),VLOOKUP($A92,Cuision!$G:$P,10,FALSE),VLOOKUP(AA$83,Cuision!$G:$P,9,FALSE),VLOOKUP(AA$83,Cuision!$G:$P,10,FALSE)))</f>
        <v>9255.0549969853637</v>
      </c>
      <c r="AB92" s="33">
        <f>IF($A92=AB$83, 0, distance(VLOOKUP($A92,Cuision!$G:$P,9,FALSE),VLOOKUP($A92,Cuision!$G:$P,10,FALSE),VLOOKUP(AB$83,Cuision!$G:$P,9,FALSE),VLOOKUP(AB$83,Cuision!$G:$P,10,FALSE)))</f>
        <v>9965.7095529615617</v>
      </c>
      <c r="AC92" s="33">
        <f>IF($A92=AC$83, 0, distance(VLOOKUP($A92,Cuision!$G:$P,9,FALSE),VLOOKUP($A92,Cuision!$G:$P,10,FALSE),VLOOKUP(AC$83,Cuision!$G:$P,9,FALSE),VLOOKUP(AC$83,Cuision!$G:$P,10,FALSE)))</f>
        <v>7724.0656029223601</v>
      </c>
      <c r="AD92" s="33">
        <f>IF($A92=AD$83, 0, distance(VLOOKUP($A92,Cuision!$G:$P,9,FALSE),VLOOKUP($A92,Cuision!$G:$P,10,FALSE),VLOOKUP(AD$83,Cuision!$G:$P,9,FALSE),VLOOKUP(AD$83,Cuision!$G:$P,10,FALSE)))</f>
        <v>3908.2764576260129</v>
      </c>
      <c r="AE92" s="33">
        <f>IF($A92=AE$83, 0, distance(VLOOKUP($A92,Cuision!$G:$P,9,FALSE),VLOOKUP($A92,Cuision!$G:$P,10,FALSE),VLOOKUP(AE$83,Cuision!$G:$P,9,FALSE),VLOOKUP(AE$83,Cuision!$G:$P,10,FALSE)))</f>
        <v>9811.0332499125961</v>
      </c>
      <c r="AF92" s="33">
        <f>IF($A92=AF$83, 0, distance(VLOOKUP($A92,Cuision!$G:$P,9,FALSE),VLOOKUP($A92,Cuision!$G:$P,10,FALSE),VLOOKUP(AF$83,Cuision!$G:$P,9,FALSE),VLOOKUP(AF$83,Cuision!$G:$P,10,FALSE)))</f>
        <v>10513.069520018331</v>
      </c>
      <c r="AG92" s="33">
        <f>IF($A92=AG$83, 0, distance(VLOOKUP($A92,Cuision!$G:$P,9,FALSE),VLOOKUP($A92,Cuision!$G:$P,10,FALSE),VLOOKUP(AG$83,Cuision!$G:$P,9,FALSE),VLOOKUP(AG$83,Cuision!$G:$P,10,FALSE)))</f>
        <v>9982.5056133116523</v>
      </c>
      <c r="AH92" s="33">
        <f>IF($A92=AH$83, 0, distance(VLOOKUP($A92,Cuision!$G:$P,9,FALSE),VLOOKUP($A92,Cuision!$G:$P,10,FALSE),VLOOKUP(AH$83,Cuision!$G:$P,9,FALSE),VLOOKUP(AH$83,Cuision!$G:$P,10,FALSE)))</f>
        <v>-1</v>
      </c>
      <c r="AI92" s="33">
        <f>IF($A92=AI$83, 0, distance(VLOOKUP($A92,Cuision!$G:$P,9,FALSE),VLOOKUP($A92,Cuision!$G:$P,10,FALSE),VLOOKUP(AI$83,Cuision!$G:$P,9,FALSE),VLOOKUP(AI$83,Cuision!$G:$P,10,FALSE)))</f>
        <v>9447.4504239816979</v>
      </c>
      <c r="AJ92" s="33">
        <f>IF($A92=AJ$83, 0, distance(VLOOKUP($A92,Cuision!$G:$P,9,FALSE),VLOOKUP($A92,Cuision!$G:$P,10,FALSE),VLOOKUP(AJ$83,Cuision!$G:$P,9,FALSE),VLOOKUP(AJ$83,Cuision!$G:$P,10,FALSE)))</f>
        <v>8226.0882390100815</v>
      </c>
      <c r="AK92" s="33">
        <f>IF($A92=AK$83, 0, distance(VLOOKUP($A92,Cuision!$G:$P,9,FALSE),VLOOKUP($A92,Cuision!$G:$P,10,FALSE),VLOOKUP(AK$83,Cuision!$G:$P,9,FALSE),VLOOKUP(AK$83,Cuision!$G:$P,10,FALSE)))</f>
        <v>5256.3869545257412</v>
      </c>
      <c r="AL92" s="33">
        <f>IF($A92=AL$83, 0, distance(VLOOKUP($A92,Cuision!$G:$P,9,FALSE),VLOOKUP($A92,Cuision!$G:$P,10,FALSE),VLOOKUP(AL$83,Cuision!$G:$P,9,FALSE),VLOOKUP(AL$83,Cuision!$G:$P,10,FALSE)))</f>
        <v>6018.0319812756979</v>
      </c>
      <c r="AM92" s="33">
        <f>IF($A92=AM$83, 0, distance(VLOOKUP($A92,Cuision!$G:$P,9,FALSE),VLOOKUP($A92,Cuision!$G:$P,10,FALSE),VLOOKUP(AM$83,Cuision!$G:$P,9,FALSE),VLOOKUP(AM$83,Cuision!$G:$P,10,FALSE)))</f>
        <v>-1</v>
      </c>
      <c r="AN92" s="33">
        <f>IF($A92=AN$83, 0, distance(VLOOKUP($A92,Cuision!$G:$P,9,FALSE),VLOOKUP($A92,Cuision!$G:$P,10,FALSE),VLOOKUP(AN$83,Cuision!$G:$P,9,FALSE),VLOOKUP(AN$83,Cuision!$G:$P,10,FALSE)))</f>
        <v>9766.017495715616</v>
      </c>
      <c r="AO92" s="33">
        <f>IF($A92=AO$83, 0, distance(VLOOKUP($A92,Cuision!$G:$P,9,FALSE),VLOOKUP($A92,Cuision!$G:$P,10,FALSE),VLOOKUP(AO$83,Cuision!$G:$P,9,FALSE),VLOOKUP(AO$83,Cuision!$G:$P,10,FALSE)))</f>
        <v>10918.515608145402</v>
      </c>
      <c r="AP92" s="33">
        <f>IF($A92=AP$83, 0, distance(VLOOKUP($A92,Cuision!$G:$P,9,FALSE),VLOOKUP($A92,Cuision!$G:$P,10,FALSE),VLOOKUP(AP$83,Cuision!$G:$P,9,FALSE),VLOOKUP(AP$83,Cuision!$G:$P,10,FALSE)))</f>
        <v>6433.4145470676285</v>
      </c>
      <c r="AQ92" s="33">
        <f>IF($A92=AQ$83, 0, distance(VLOOKUP($A92,Cuision!$G:$P,9,FALSE),VLOOKUP($A92,Cuision!$G:$P,10,FALSE),VLOOKUP(AQ$83,Cuision!$G:$P,9,FALSE),VLOOKUP(AQ$83,Cuision!$G:$P,10,FALSE)))</f>
        <v>3349.3045779325776</v>
      </c>
      <c r="AR92" s="33">
        <f>IF($A92=AR$83, 0, distance(VLOOKUP($A92,Cuision!$G:$P,9,FALSE),VLOOKUP($A92,Cuision!$G:$P,10,FALSE),VLOOKUP(AR$83,Cuision!$G:$P,9,FALSE),VLOOKUP(AR$83,Cuision!$G:$P,10,FALSE)))</f>
        <v>10551.28590300766</v>
      </c>
      <c r="AS92" s="33">
        <f>IF($A92=AS$83, 0, distance(VLOOKUP($A92,Cuision!$G:$P,9,FALSE),VLOOKUP($A92,Cuision!$G:$P,10,FALSE),VLOOKUP(AS$83,Cuision!$G:$P,9,FALSE),VLOOKUP(AS$83,Cuision!$G:$P,10,FALSE)))</f>
        <v>10076.66334306046</v>
      </c>
      <c r="AT92" s="33">
        <f>IF($A92=AT$83, 0, distance(VLOOKUP($A92,Cuision!$G:$P,9,FALSE),VLOOKUP($A92,Cuision!$G:$P,10,FALSE),VLOOKUP(AT$83,Cuision!$G:$P,9,FALSE),VLOOKUP(AT$83,Cuision!$G:$P,10,FALSE)))</f>
        <v>4940.8538987907032</v>
      </c>
      <c r="AU92" s="33">
        <f>IF($A92=AU$83, 0, distance(VLOOKUP($A92,Cuision!$G:$P,9,FALSE),VLOOKUP($A92,Cuision!$G:$P,10,FALSE),VLOOKUP(AU$83,Cuision!$G:$P,9,FALSE),VLOOKUP(AU$83,Cuision!$G:$P,10,FALSE)))</f>
        <v>5229.6069698934625</v>
      </c>
      <c r="AV92" s="33">
        <f>IF($A92=AV$83, 0, distance(VLOOKUP($A92,Cuision!$G:$P,9,FALSE),VLOOKUP($A92,Cuision!$G:$P,10,FALSE),VLOOKUP(AV$83,Cuision!$G:$P,9,FALSE),VLOOKUP(AV$83,Cuision!$G:$P,10,FALSE)))</f>
        <v>8965.4425925253599</v>
      </c>
      <c r="AW92" s="33">
        <f>IF($A92=AW$83, 0, distance(VLOOKUP($A92,Cuision!$G:$P,9,FALSE),VLOOKUP($A92,Cuision!$G:$P,10,FALSE),VLOOKUP(AW$83,Cuision!$G:$P,9,FALSE),VLOOKUP(AW$83,Cuision!$G:$P,10,FALSE)))</f>
        <v>4777.1113624170621</v>
      </c>
      <c r="AX92" s="33">
        <f>IF($A92=AX$83, 0, distance(VLOOKUP($A92,Cuision!$G:$P,9,FALSE),VLOOKUP($A92,Cuision!$G:$P,10,FALSE),VLOOKUP(AX$83,Cuision!$G:$P,9,FALSE),VLOOKUP(AX$83,Cuision!$G:$P,10,FALSE)))</f>
        <v>9054.9218923289282</v>
      </c>
      <c r="AY92" s="33">
        <f>IF($A92=AY$83, 0, distance(VLOOKUP($A92,Cuision!$G:$P,9,FALSE),VLOOKUP($A92,Cuision!$G:$P,10,FALSE),VLOOKUP(AY$83,Cuision!$G:$P,9,FALSE),VLOOKUP(AY$83,Cuision!$G:$P,10,FALSE)))</f>
        <v>-1</v>
      </c>
      <c r="AZ92" s="33">
        <f>IF($A92=AZ$83, 0, distance(VLOOKUP($A92,Cuision!$G:$P,9,FALSE),VLOOKUP($A92,Cuision!$G:$P,10,FALSE),VLOOKUP(AZ$83,Cuision!$G:$P,9,FALSE),VLOOKUP(AZ$83,Cuision!$G:$P,10,FALSE)))</f>
        <v>4054.8618578860774</v>
      </c>
      <c r="BA92" s="33">
        <f>IF($A92=BA$83, 0, distance(VLOOKUP($A92,Cuision!$G:$P,9,FALSE),VLOOKUP($A92,Cuision!$G:$P,10,FALSE),VLOOKUP(BA$83,Cuision!$G:$P,9,FALSE),VLOOKUP(BA$83,Cuision!$G:$P,10,FALSE)))</f>
        <v>9693.3344953452961</v>
      </c>
      <c r="BB92" s="33">
        <f>IF($A92=BB$83, 0, distance(VLOOKUP($A92,Cuision!$G:$P,9,FALSE),VLOOKUP($A92,Cuision!$G:$P,10,FALSE),VLOOKUP(BB$83,Cuision!$G:$P,9,FALSE),VLOOKUP(BB$83,Cuision!$G:$P,10,FALSE)))</f>
        <v>8187.7128117667517</v>
      </c>
      <c r="BC92" s="33">
        <f>IF($A92=BC$83, 0, distance(VLOOKUP($A92,Cuision!$G:$P,9,FALSE),VLOOKUP($A92,Cuision!$G:$P,10,FALSE),VLOOKUP(BC$83,Cuision!$G:$P,9,FALSE),VLOOKUP(BC$83,Cuision!$G:$P,10,FALSE)))</f>
        <v>8226.0882390100815</v>
      </c>
      <c r="BD92" s="33">
        <f>IF($A92=BD$83, 0, distance(VLOOKUP($A92,Cuision!$G:$P,9,FALSE),VLOOKUP($A92,Cuision!$G:$P,10,FALSE),VLOOKUP(BD$83,Cuision!$G:$P,9,FALSE),VLOOKUP(BD$83,Cuision!$G:$P,10,FALSE)))</f>
        <v>6311.4228362070089</v>
      </c>
      <c r="BE92" s="33">
        <f>IF($A92=BE$83, 0, distance(VLOOKUP($A92,Cuision!$G:$P,9,FALSE),VLOOKUP($A92,Cuision!$G:$P,10,FALSE),VLOOKUP(BE$83,Cuision!$G:$P,9,FALSE),VLOOKUP(BE$83,Cuision!$G:$P,10,FALSE)))</f>
        <v>11070.297528927775</v>
      </c>
      <c r="BF92" s="33">
        <f>IF($A92=BF$83, 0, distance(VLOOKUP($A92,Cuision!$G:$P,9,FALSE),VLOOKUP($A92,Cuision!$G:$P,10,FALSE),VLOOKUP(BF$83,Cuision!$G:$P,9,FALSE),VLOOKUP(BF$83,Cuision!$G:$P,10,FALSE)))</f>
        <v>6843.7847043956808</v>
      </c>
      <c r="BG92" s="33">
        <f>IF($A92=BG$83, 0, distance(VLOOKUP($A92,Cuision!$G:$P,9,FALSE),VLOOKUP($A92,Cuision!$G:$P,10,FALSE),VLOOKUP(BG$83,Cuision!$G:$P,9,FALSE),VLOOKUP(BG$83,Cuision!$G:$P,10,FALSE)))</f>
        <v>7959.7207840452274</v>
      </c>
      <c r="BH92" s="33">
        <f>IF($A92=BH$83, 0, distance(VLOOKUP($A92,Cuision!$G:$P,9,FALSE),VLOOKUP($A92,Cuision!$G:$P,10,FALSE),VLOOKUP(BH$83,Cuision!$G:$P,9,FALSE),VLOOKUP(BH$83,Cuision!$G:$P,10,FALSE)))</f>
        <v>7988.7016953824141</v>
      </c>
      <c r="BI92" s="33">
        <f>IF($A92=BI$83, 0, distance(VLOOKUP($A92,Cuision!$G:$P,9,FALSE),VLOOKUP($A92,Cuision!$G:$P,10,FALSE),VLOOKUP(BI$83,Cuision!$G:$P,9,FALSE),VLOOKUP(BI$83,Cuision!$G:$P,10,FALSE)))</f>
        <v>9667.4892553540685</v>
      </c>
      <c r="BJ92" s="33">
        <f>IF($A92=BJ$83, 0, distance(VLOOKUP($A92,Cuision!$G:$P,9,FALSE),VLOOKUP($A92,Cuision!$G:$P,10,FALSE),VLOOKUP(BJ$83,Cuision!$G:$P,9,FALSE),VLOOKUP(BJ$83,Cuision!$G:$P,10,FALSE)))</f>
        <v>11216.375969416535</v>
      </c>
      <c r="BK92" s="33">
        <f>IF($A92=BK$83, 0, distance(VLOOKUP($A92,Cuision!$G:$P,9,FALSE),VLOOKUP($A92,Cuision!$G:$P,10,FALSE),VLOOKUP(BK$83,Cuision!$G:$P,9,FALSE),VLOOKUP(BK$83,Cuision!$G:$P,10,FALSE)))</f>
        <v>8997.683992211998</v>
      </c>
      <c r="BL92" s="33">
        <f>IF($A92=BL$83, 0, distance(VLOOKUP($A92,Cuision!$G:$P,9,FALSE),VLOOKUP($A92,Cuision!$G:$P,10,FALSE),VLOOKUP(BL$83,Cuision!$G:$P,9,FALSE),VLOOKUP(BL$83,Cuision!$G:$P,10,FALSE)))</f>
        <v>-1</v>
      </c>
      <c r="BM92" s="33">
        <f>IF($A92=BM$83, 0, distance(VLOOKUP($A92,Cuision!$G:$P,9,FALSE),VLOOKUP($A92,Cuision!$G:$P,10,FALSE),VLOOKUP(BM$83,Cuision!$G:$P,9,FALSE),VLOOKUP(BM$83,Cuision!$G:$P,10,FALSE)))</f>
        <v>-1</v>
      </c>
      <c r="BN92" s="33">
        <f>IF($A92=BN$83, 0, distance(VLOOKUP($A92,Cuision!$G:$P,9,FALSE),VLOOKUP($A92,Cuision!$G:$P,10,FALSE),VLOOKUP(BN$83,Cuision!$G:$P,9,FALSE),VLOOKUP(BN$83,Cuision!$G:$P,10,FALSE)))</f>
        <v>10551.28590300766</v>
      </c>
      <c r="BO92" s="33">
        <f>IF($A92=BO$83, 0, distance(VLOOKUP($A92,Cuision!$G:$P,9,FALSE),VLOOKUP($A92,Cuision!$G:$P,10,FALSE),VLOOKUP(BO$83,Cuision!$G:$P,9,FALSE),VLOOKUP(BO$83,Cuision!$G:$P,10,FALSE)))</f>
        <v>3859.1479803437887</v>
      </c>
      <c r="BP92" s="33">
        <f>IF($A92=BP$83, 0, distance(VLOOKUP($A92,Cuision!$G:$P,9,FALSE),VLOOKUP($A92,Cuision!$G:$P,10,FALSE),VLOOKUP(BP$83,Cuision!$G:$P,9,FALSE),VLOOKUP(BP$83,Cuision!$G:$P,10,FALSE)))</f>
        <v>9854.8252569725901</v>
      </c>
      <c r="BQ92" s="33">
        <f>IF($A92=BQ$83, 0, distance(VLOOKUP($A92,Cuision!$G:$P,9,FALSE),VLOOKUP($A92,Cuision!$G:$P,10,FALSE),VLOOKUP(BQ$83,Cuision!$G:$P,9,FALSE),VLOOKUP(BQ$83,Cuision!$G:$P,10,FALSE)))</f>
        <v>-1</v>
      </c>
      <c r="BR92" s="33">
        <f>IF($A92=BR$83, 0, distance(VLOOKUP($A92,Cuision!$G:$P,9,FALSE),VLOOKUP($A92,Cuision!$G:$P,10,FALSE),VLOOKUP(BR$83,Cuision!$G:$P,9,FALSE),VLOOKUP(BR$83,Cuision!$G:$P,10,FALSE)))</f>
        <v>9906.4615041233737</v>
      </c>
      <c r="BS92" s="33">
        <f>IF($A92=BS$83, 0, distance(VLOOKUP($A92,Cuision!$G:$P,9,FALSE),VLOOKUP($A92,Cuision!$G:$P,10,FALSE),VLOOKUP(BS$83,Cuision!$G:$P,9,FALSE),VLOOKUP(BS$83,Cuision!$G:$P,10,FALSE)))</f>
        <v>5597.2488794087549</v>
      </c>
      <c r="BT92" s="33">
        <f>IF($A92=BT$83, 0, distance(VLOOKUP($A92,Cuision!$G:$P,9,FALSE),VLOOKUP($A92,Cuision!$G:$P,10,FALSE),VLOOKUP(BT$83,Cuision!$G:$P,9,FALSE),VLOOKUP(BT$83,Cuision!$G:$P,10,FALSE)))</f>
        <v>10918.515608145402</v>
      </c>
      <c r="BU92" s="33">
        <f>IF($A92=BU$83, 0, distance(VLOOKUP($A92,Cuision!$G:$P,9,FALSE),VLOOKUP($A92,Cuision!$G:$P,10,FALSE),VLOOKUP(BU$83,Cuision!$G:$P,9,FALSE),VLOOKUP(BU$83,Cuision!$G:$P,10,FALSE)))</f>
        <v>4645.9575516986179</v>
      </c>
      <c r="BV92" s="33">
        <f>IF($A92=BV$83, 0, distance(VLOOKUP($A92,Cuision!$G:$P,9,FALSE),VLOOKUP($A92,Cuision!$G:$P,10,FALSE),VLOOKUP(BV$83,Cuision!$G:$P,9,FALSE),VLOOKUP(BV$83,Cuision!$G:$P,10,FALSE)))</f>
        <v>9007.893625556173</v>
      </c>
      <c r="BW92" s="33">
        <f>IF($A92=BW$83, 0, distance(VLOOKUP($A92,Cuision!$G:$P,9,FALSE),VLOOKUP($A92,Cuision!$G:$P,10,FALSE),VLOOKUP(BW$83,Cuision!$G:$P,9,FALSE),VLOOKUP(BW$83,Cuision!$G:$P,10,FALSE)))</f>
        <v>9255.8389252054312</v>
      </c>
      <c r="BX92" s="33">
        <f>IF($A92=BX$83, 0, distance(VLOOKUP($A92,Cuision!$G:$P,9,FALSE),VLOOKUP($A92,Cuision!$G:$P,10,FALSE),VLOOKUP(BX$83,Cuision!$G:$P,9,FALSE),VLOOKUP(BX$83,Cuision!$G:$P,10,FALSE)))</f>
        <v>7314.2693810252467</v>
      </c>
      <c r="BY92" s="33">
        <f>IF($A92=BY$83, 0, distance(VLOOKUP($A92,Cuision!$G:$P,9,FALSE),VLOOKUP($A92,Cuision!$G:$P,10,FALSE),VLOOKUP(BY$83,Cuision!$G:$P,9,FALSE),VLOOKUP(BY$83,Cuision!$G:$P,10,FALSE)))</f>
        <v>-1</v>
      </c>
      <c r="BZ92" s="33">
        <f>IF($A92=BZ$83, 0, distance(VLOOKUP($A92,Cuision!$G:$P,9,FALSE),VLOOKUP($A92,Cuision!$G:$P,10,FALSE),VLOOKUP(BZ$83,Cuision!$G:$P,9,FALSE),VLOOKUP(BZ$83,Cuision!$G:$P,10,FALSE)))</f>
        <v>-1</v>
      </c>
      <c r="CA92" s="33">
        <f>IF($A92=CA$83, 0, distance(VLOOKUP($A92,Cuision!$G:$P,9,FALSE),VLOOKUP($A92,Cuision!$G:$P,10,FALSE),VLOOKUP(CA$83,Cuision!$G:$P,9,FALSE),VLOOKUP(CA$83,Cuision!$G:$P,10,FALSE)))</f>
        <v>4813.2158243217291</v>
      </c>
    </row>
    <row r="93" spans="1:79" ht="14.25" x14ac:dyDescent="0.2">
      <c r="A93" s="30" t="s">
        <v>50</v>
      </c>
      <c r="B93" s="33">
        <f>IF($A93=B$83, 0, distance(VLOOKUP($A93,Cuision!$G:$P,9,FALSE),VLOOKUP($A93,Cuision!$G:$P,10,FALSE),VLOOKUP(B$83,Cuision!$G:$P,9,FALSE),VLOOKUP(B$83,Cuision!$G:$P,10,FALSE)))</f>
        <v>2833.6172301353777</v>
      </c>
      <c r="C93" s="33">
        <f>IF($A93=C$83, 0, distance(VLOOKUP($A93,Cuision!$G:$P,9,FALSE),VLOOKUP($A93,Cuision!$G:$P,10,FALSE),VLOOKUP(C$83,Cuision!$G:$P,9,FALSE),VLOOKUP(C$83,Cuision!$G:$P,10,FALSE)))</f>
        <v>4090.2739062141964</v>
      </c>
      <c r="D93" s="33">
        <f>IF($A93=D$83, 0, distance(VLOOKUP($A93,Cuision!$G:$P,9,FALSE),VLOOKUP($A93,Cuision!$G:$P,10,FALSE),VLOOKUP(D$83,Cuision!$G:$P,9,FALSE),VLOOKUP(D$83,Cuision!$G:$P,10,FALSE)))</f>
        <v>4426.2279267410295</v>
      </c>
      <c r="E93" s="33">
        <f>IF($A93=E$83, 0, distance(VLOOKUP($A93,Cuision!$G:$P,9,FALSE),VLOOKUP($A93,Cuision!$G:$P,10,FALSE),VLOOKUP(E$83,Cuision!$G:$P,9,FALSE),VLOOKUP(E$83,Cuision!$G:$P,10,FALSE)))</f>
        <v>4426.2279267410295</v>
      </c>
      <c r="F93" s="33">
        <f>IF($A93=F$83, 0, distance(VLOOKUP($A93,Cuision!$G:$P,9,FALSE),VLOOKUP($A93,Cuision!$G:$P,10,FALSE),VLOOKUP(F$83,Cuision!$G:$P,9,FALSE),VLOOKUP(F$83,Cuision!$G:$P,10,FALSE)))</f>
        <v>1905.2350973761031</v>
      </c>
      <c r="G93" s="33">
        <f>IF($A93=G$83, 0, distance(VLOOKUP($A93,Cuision!$G:$P,9,FALSE),VLOOKUP($A93,Cuision!$G:$P,10,FALSE),VLOOKUP(G$83,Cuision!$G:$P,9,FALSE),VLOOKUP(G$83,Cuision!$G:$P,10,FALSE)))</f>
        <v>7338.3068379799888</v>
      </c>
      <c r="H93" s="33">
        <f>IF($A93=H$83, 0, distance(VLOOKUP($A93,Cuision!$G:$P,9,FALSE),VLOOKUP($A93,Cuision!$G:$P,10,FALSE),VLOOKUP(H$83,Cuision!$G:$P,9,FALSE),VLOOKUP(H$83,Cuision!$G:$P,10,FALSE)))</f>
        <v>1489.7992027757507</v>
      </c>
      <c r="I93" s="33">
        <f>IF($A93=I$83, 0, distance(VLOOKUP($A93,Cuision!$G:$P,9,FALSE),VLOOKUP($A93,Cuision!$G:$P,10,FALSE),VLOOKUP(I$83,Cuision!$G:$P,9,FALSE),VLOOKUP(I$83,Cuision!$G:$P,10,FALSE)))</f>
        <v>4268.7817936624597</v>
      </c>
      <c r="J93" s="33">
        <f>IF($A93=J$83, 0, distance(VLOOKUP($A93,Cuision!$G:$P,9,FALSE),VLOOKUP($A93,Cuision!$G:$P,10,FALSE),VLOOKUP(J$83,Cuision!$G:$P,9,FALSE),VLOOKUP(J$83,Cuision!$G:$P,10,FALSE)))</f>
        <v>9888.7146200315929</v>
      </c>
      <c r="K93" s="33">
        <f>IF($A93=K$83, 0, distance(VLOOKUP($A93,Cuision!$G:$P,9,FALSE),VLOOKUP($A93,Cuision!$G:$P,10,FALSE),VLOOKUP(K$83,Cuision!$G:$P,9,FALSE),VLOOKUP(K$83,Cuision!$G:$P,10,FALSE)))</f>
        <v>0</v>
      </c>
      <c r="L93" s="33">
        <f>IF($A93=L$83, 0, distance(VLOOKUP($A93,Cuision!$G:$P,9,FALSE),VLOOKUP($A93,Cuision!$G:$P,10,FALSE),VLOOKUP(L$83,Cuision!$G:$P,9,FALSE),VLOOKUP(L$83,Cuision!$G:$P,10,FALSE)))</f>
        <v>4292.0567825434964</v>
      </c>
      <c r="M93" s="33">
        <f>IF($A93=M$83, 0, distance(VLOOKUP($A93,Cuision!$G:$P,9,FALSE),VLOOKUP($A93,Cuision!$G:$P,10,FALSE),VLOOKUP(M$83,Cuision!$G:$P,9,FALSE),VLOOKUP(M$83,Cuision!$G:$P,10,FALSE)))</f>
        <v>-1</v>
      </c>
      <c r="N93" s="33">
        <f>IF($A93=N$83, 0, distance(VLOOKUP($A93,Cuision!$G:$P,9,FALSE),VLOOKUP($A93,Cuision!$G:$P,10,FALSE),VLOOKUP(N$83,Cuision!$G:$P,9,FALSE),VLOOKUP(N$83,Cuision!$G:$P,10,FALSE)))</f>
        <v>1123.9432343334427</v>
      </c>
      <c r="O93" s="33">
        <f>IF($A93=O$83, 0, distance(VLOOKUP($A93,Cuision!$G:$P,9,FALSE),VLOOKUP($A93,Cuision!$G:$P,10,FALSE),VLOOKUP(O$83,Cuision!$G:$P,9,FALSE),VLOOKUP(O$83,Cuision!$G:$P,10,FALSE)))</f>
        <v>568.26178669992169</v>
      </c>
      <c r="P93" s="33">
        <f>IF($A93=P$83, 0, distance(VLOOKUP($A93,Cuision!$G:$P,9,FALSE),VLOOKUP($A93,Cuision!$G:$P,10,FALSE),VLOOKUP(P$83,Cuision!$G:$P,9,FALSE),VLOOKUP(P$83,Cuision!$G:$P,10,FALSE)))</f>
        <v>5919.5764951318261</v>
      </c>
      <c r="Q93" s="33">
        <f>IF($A93=Q$83, 0, distance(VLOOKUP($A93,Cuision!$G:$P,9,FALSE),VLOOKUP($A93,Cuision!$G:$P,10,FALSE),VLOOKUP(Q$83,Cuision!$G:$P,9,FALSE),VLOOKUP(Q$83,Cuision!$G:$P,10,FALSE)))</f>
        <v>-1</v>
      </c>
      <c r="R93" s="33">
        <f>IF($A93=R$83, 0, distance(VLOOKUP($A93,Cuision!$G:$P,9,FALSE),VLOOKUP($A93,Cuision!$G:$P,10,FALSE),VLOOKUP(R$83,Cuision!$G:$P,9,FALSE),VLOOKUP(R$83,Cuision!$G:$P,10,FALSE)))</f>
        <v>767.52659004292161</v>
      </c>
      <c r="S93" s="33">
        <f>IF($A93=S$83, 0, distance(VLOOKUP($A93,Cuision!$G:$P,9,FALSE),VLOOKUP($A93,Cuision!$G:$P,10,FALSE),VLOOKUP(S$83,Cuision!$G:$P,9,FALSE),VLOOKUP(S$83,Cuision!$G:$P,10,FALSE)))</f>
        <v>-1</v>
      </c>
      <c r="T93" s="33">
        <f>IF($A93=T$83, 0, distance(VLOOKUP($A93,Cuision!$G:$P,9,FALSE),VLOOKUP($A93,Cuision!$G:$P,10,FALSE),VLOOKUP(T$83,Cuision!$G:$P,9,FALSE),VLOOKUP(T$83,Cuision!$G:$P,10,FALSE)))</f>
        <v>4745.651525255661</v>
      </c>
      <c r="U93" s="33">
        <f>IF($A93=U$83, 0, distance(VLOOKUP($A93,Cuision!$G:$P,9,FALSE),VLOOKUP($A93,Cuision!$G:$P,10,FALSE),VLOOKUP(U$83,Cuision!$G:$P,9,FALSE),VLOOKUP(U$83,Cuision!$G:$P,10,FALSE)))</f>
        <v>-1</v>
      </c>
      <c r="V93" s="33">
        <f>IF($A93=V$83, 0, distance(VLOOKUP($A93,Cuision!$G:$P,9,FALSE),VLOOKUP($A93,Cuision!$G:$P,10,FALSE),VLOOKUP(V$83,Cuision!$G:$P,9,FALSE),VLOOKUP(V$83,Cuision!$G:$P,10,FALSE)))</f>
        <v>4426.2279267410295</v>
      </c>
      <c r="W93" s="33">
        <f>IF($A93=W$83, 0, distance(VLOOKUP($A93,Cuision!$G:$P,9,FALSE),VLOOKUP($A93,Cuision!$G:$P,10,FALSE),VLOOKUP(W$83,Cuision!$G:$P,9,FALSE),VLOOKUP(W$83,Cuision!$G:$P,10,FALSE)))</f>
        <v>5558.1903271086367</v>
      </c>
      <c r="X93" s="33">
        <f>IF($A93=X$83, 0, distance(VLOOKUP($A93,Cuision!$G:$P,9,FALSE),VLOOKUP($A93,Cuision!$G:$P,10,FALSE),VLOOKUP(X$83,Cuision!$G:$P,9,FALSE),VLOOKUP(X$83,Cuision!$G:$P,10,FALSE)))</f>
        <v>1123.9432343334427</v>
      </c>
      <c r="Y93" s="33">
        <f>IF($A93=Y$83, 0, distance(VLOOKUP($A93,Cuision!$G:$P,9,FALSE),VLOOKUP($A93,Cuision!$G:$P,10,FALSE),VLOOKUP(Y$83,Cuision!$G:$P,9,FALSE),VLOOKUP(Y$83,Cuision!$G:$P,10,FALSE)))</f>
        <v>4635.0400867959006</v>
      </c>
      <c r="Z93" s="33">
        <f>IF($A93=Z$83, 0, distance(VLOOKUP($A93,Cuision!$G:$P,9,FALSE),VLOOKUP($A93,Cuision!$G:$P,10,FALSE),VLOOKUP(Z$83,Cuision!$G:$P,9,FALSE),VLOOKUP(Z$83,Cuision!$G:$P,10,FALSE)))</f>
        <v>-1</v>
      </c>
      <c r="AA93" s="33">
        <f>IF($A93=AA$83, 0, distance(VLOOKUP($A93,Cuision!$G:$P,9,FALSE),VLOOKUP($A93,Cuision!$G:$P,10,FALSE),VLOOKUP(AA$83,Cuision!$G:$P,9,FALSE),VLOOKUP(AA$83,Cuision!$G:$P,10,FALSE)))</f>
        <v>5422.4005762980805</v>
      </c>
      <c r="AB93" s="33">
        <f>IF($A93=AB$83, 0, distance(VLOOKUP($A93,Cuision!$G:$P,9,FALSE),VLOOKUP($A93,Cuision!$G:$P,10,FALSE),VLOOKUP(AB$83,Cuision!$G:$P,9,FALSE),VLOOKUP(AB$83,Cuision!$G:$P,10,FALSE)))</f>
        <v>156.947957727767</v>
      </c>
      <c r="AC93" s="33">
        <f>IF($A93=AC$83, 0, distance(VLOOKUP($A93,Cuision!$G:$P,9,FALSE),VLOOKUP($A93,Cuision!$G:$P,10,FALSE),VLOOKUP(AC$83,Cuision!$G:$P,9,FALSE),VLOOKUP(AC$83,Cuision!$G:$P,10,FALSE)))</f>
        <v>3004.7993979817606</v>
      </c>
      <c r="AD93" s="33">
        <f>IF($A93=AD$83, 0, distance(VLOOKUP($A93,Cuision!$G:$P,9,FALSE),VLOOKUP($A93,Cuision!$G:$P,10,FALSE),VLOOKUP(AD$83,Cuision!$G:$P,9,FALSE),VLOOKUP(AD$83,Cuision!$G:$P,10,FALSE)))</f>
        <v>6118.030071872563</v>
      </c>
      <c r="AE93" s="33">
        <f>IF($A93=AE$83, 0, distance(VLOOKUP($A93,Cuision!$G:$P,9,FALSE),VLOOKUP($A93,Cuision!$G:$P,10,FALSE),VLOOKUP(AE$83,Cuision!$G:$P,9,FALSE),VLOOKUP(AE$83,Cuision!$G:$P,10,FALSE)))</f>
        <v>984.40638534104824</v>
      </c>
      <c r="AF93" s="33">
        <f>IF($A93=AF$83, 0, distance(VLOOKUP($A93,Cuision!$G:$P,9,FALSE),VLOOKUP($A93,Cuision!$G:$P,10,FALSE),VLOOKUP(AF$83,Cuision!$G:$P,9,FALSE),VLOOKUP(AF$83,Cuision!$G:$P,10,FALSE)))</f>
        <v>642.06927017816588</v>
      </c>
      <c r="AG93" s="33">
        <f>IF($A93=AG$83, 0, distance(VLOOKUP($A93,Cuision!$G:$P,9,FALSE),VLOOKUP($A93,Cuision!$G:$P,10,FALSE),VLOOKUP(AG$83,Cuision!$G:$P,9,FALSE),VLOOKUP(AG$83,Cuision!$G:$P,10,FALSE)))</f>
        <v>325.0298805240937</v>
      </c>
      <c r="AH93" s="33">
        <f>IF($A93=AH$83, 0, distance(VLOOKUP($A93,Cuision!$G:$P,9,FALSE),VLOOKUP($A93,Cuision!$G:$P,10,FALSE),VLOOKUP(AH$83,Cuision!$G:$P,9,FALSE),VLOOKUP(AH$83,Cuision!$G:$P,10,FALSE)))</f>
        <v>-1</v>
      </c>
      <c r="AI93" s="33">
        <f>IF($A93=AI$83, 0, distance(VLOOKUP($A93,Cuision!$G:$P,9,FALSE),VLOOKUP($A93,Cuision!$G:$P,10,FALSE),VLOOKUP(AI$83,Cuision!$G:$P,9,FALSE),VLOOKUP(AI$83,Cuision!$G:$P,10,FALSE)))</f>
        <v>797.27133986848423</v>
      </c>
      <c r="AJ93" s="33">
        <f>IF($A93=AJ$83, 0, distance(VLOOKUP($A93,Cuision!$G:$P,9,FALSE),VLOOKUP($A93,Cuision!$G:$P,10,FALSE),VLOOKUP(AJ$83,Cuision!$G:$P,9,FALSE),VLOOKUP(AJ$83,Cuision!$G:$P,10,FALSE)))</f>
        <v>1905.2350973761031</v>
      </c>
      <c r="AK93" s="33">
        <f>IF($A93=AK$83, 0, distance(VLOOKUP($A93,Cuision!$G:$P,9,FALSE),VLOOKUP($A93,Cuision!$G:$P,10,FALSE),VLOOKUP(AK$83,Cuision!$G:$P,9,FALSE),VLOOKUP(AK$83,Cuision!$G:$P,10,FALSE)))</f>
        <v>7704.4142681258081</v>
      </c>
      <c r="AL93" s="33">
        <f>IF($A93=AL$83, 0, distance(VLOOKUP($A93,Cuision!$G:$P,9,FALSE),VLOOKUP($A93,Cuision!$G:$P,10,FALSE),VLOOKUP(AL$83,Cuision!$G:$P,9,FALSE),VLOOKUP(AL$83,Cuision!$G:$P,10,FALSE)))</f>
        <v>3872.2973000650868</v>
      </c>
      <c r="AM93" s="33">
        <f>IF($A93=AM$83, 0, distance(VLOOKUP($A93,Cuision!$G:$P,9,FALSE),VLOOKUP($A93,Cuision!$G:$P,10,FALSE),VLOOKUP(AM$83,Cuision!$G:$P,9,FALSE),VLOOKUP(AM$83,Cuision!$G:$P,10,FALSE)))</f>
        <v>-1</v>
      </c>
      <c r="AN93" s="33">
        <f>IF($A93=AN$83, 0, distance(VLOOKUP($A93,Cuision!$G:$P,9,FALSE),VLOOKUP($A93,Cuision!$G:$P,10,FALSE),VLOOKUP(AN$83,Cuision!$G:$P,9,FALSE),VLOOKUP(AN$83,Cuision!$G:$P,10,FALSE)))</f>
        <v>133.13769951031017</v>
      </c>
      <c r="AO93" s="33">
        <f>IF($A93=AO$83, 0, distance(VLOOKUP($A93,Cuision!$G:$P,9,FALSE),VLOOKUP($A93,Cuision!$G:$P,10,FALSE),VLOOKUP(AO$83,Cuision!$G:$P,9,FALSE),VLOOKUP(AO$83,Cuision!$G:$P,10,FALSE)))</f>
        <v>1123.9432343334427</v>
      </c>
      <c r="AP93" s="33">
        <f>IF($A93=AP$83, 0, distance(VLOOKUP($A93,Cuision!$G:$P,9,FALSE),VLOOKUP($A93,Cuision!$G:$P,10,FALSE),VLOOKUP(AP$83,Cuision!$G:$P,9,FALSE),VLOOKUP(AP$83,Cuision!$G:$P,10,FALSE)))</f>
        <v>3457.2602435865138</v>
      </c>
      <c r="AQ93" s="33">
        <f>IF($A93=AQ$83, 0, distance(VLOOKUP($A93,Cuision!$G:$P,9,FALSE),VLOOKUP($A93,Cuision!$G:$P,10,FALSE),VLOOKUP(AQ$83,Cuision!$G:$P,9,FALSE),VLOOKUP(AQ$83,Cuision!$G:$P,10,FALSE)))</f>
        <v>6559.7637523993626</v>
      </c>
      <c r="AR93" s="33">
        <f>IF($A93=AR$83, 0, distance(VLOOKUP($A93,Cuision!$G:$P,9,FALSE),VLOOKUP($A93,Cuision!$G:$P,10,FALSE),VLOOKUP(AR$83,Cuision!$G:$P,9,FALSE),VLOOKUP(AR$83,Cuision!$G:$P,10,FALSE)))</f>
        <v>767.52659004292161</v>
      </c>
      <c r="AS93" s="33">
        <f>IF($A93=AS$83, 0, distance(VLOOKUP($A93,Cuision!$G:$P,9,FALSE),VLOOKUP($A93,Cuision!$G:$P,10,FALSE),VLOOKUP(AS$83,Cuision!$G:$P,9,FALSE),VLOOKUP(AS$83,Cuision!$G:$P,10,FALSE)))</f>
        <v>475.98474865301415</v>
      </c>
      <c r="AT93" s="33">
        <f>IF($A93=AT$83, 0, distance(VLOOKUP($A93,Cuision!$G:$P,9,FALSE),VLOOKUP($A93,Cuision!$G:$P,10,FALSE),VLOOKUP(AT$83,Cuision!$G:$P,9,FALSE),VLOOKUP(AT$83,Cuision!$G:$P,10,FALSE)))</f>
        <v>5671.4042038187908</v>
      </c>
      <c r="AU93" s="33">
        <f>IF($A93=AU$83, 0, distance(VLOOKUP($A93,Cuision!$G:$P,9,FALSE),VLOOKUP($A93,Cuision!$G:$P,10,FALSE),VLOOKUP(AU$83,Cuision!$G:$P,9,FALSE),VLOOKUP(AU$83,Cuision!$G:$P,10,FALSE)))</f>
        <v>5141.2719047021083</v>
      </c>
      <c r="AV93" s="33">
        <f>IF($A93=AV$83, 0, distance(VLOOKUP($A93,Cuision!$G:$P,9,FALSE),VLOOKUP($A93,Cuision!$G:$P,10,FALSE),VLOOKUP(AV$83,Cuision!$G:$P,9,FALSE),VLOOKUP(AV$83,Cuision!$G:$P,10,FALSE)))</f>
        <v>1193.3492491717286</v>
      </c>
      <c r="AW93" s="33">
        <f>IF($A93=AW$83, 0, distance(VLOOKUP($A93,Cuision!$G:$P,9,FALSE),VLOOKUP($A93,Cuision!$G:$P,10,FALSE),VLOOKUP(AW$83,Cuision!$G:$P,9,FALSE),VLOOKUP(AW$83,Cuision!$G:$P,10,FALSE)))</f>
        <v>5128.8286123118178</v>
      </c>
      <c r="AX93" s="33">
        <f>IF($A93=AX$83, 0, distance(VLOOKUP($A93,Cuision!$G:$P,9,FALSE),VLOOKUP($A93,Cuision!$G:$P,10,FALSE),VLOOKUP(AX$83,Cuision!$G:$P,9,FALSE),VLOOKUP(AX$83,Cuision!$G:$P,10,FALSE)))</f>
        <v>5885.8769469349827</v>
      </c>
      <c r="AY93" s="33">
        <f>IF($A93=AY$83, 0, distance(VLOOKUP($A93,Cuision!$G:$P,9,FALSE),VLOOKUP($A93,Cuision!$G:$P,10,FALSE),VLOOKUP(AY$83,Cuision!$G:$P,9,FALSE),VLOOKUP(AY$83,Cuision!$G:$P,10,FALSE)))</f>
        <v>-1</v>
      </c>
      <c r="AZ93" s="33">
        <f>IF($A93=AZ$83, 0, distance(VLOOKUP($A93,Cuision!$G:$P,9,FALSE),VLOOKUP($A93,Cuision!$G:$P,10,FALSE),VLOOKUP(AZ$83,Cuision!$G:$P,9,FALSE),VLOOKUP(AZ$83,Cuision!$G:$P,10,FALSE)))</f>
        <v>5840.9472134724001</v>
      </c>
      <c r="BA93" s="33">
        <f>IF($A93=BA$83, 0, distance(VLOOKUP($A93,Cuision!$G:$P,9,FALSE),VLOOKUP($A93,Cuision!$G:$P,10,FALSE),VLOOKUP(BA$83,Cuision!$G:$P,9,FALSE),VLOOKUP(BA$83,Cuision!$G:$P,10,FALSE)))</f>
        <v>947.49130544172954</v>
      </c>
      <c r="BB93" s="33">
        <f>IF($A93=BB$83, 0, distance(VLOOKUP($A93,Cuision!$G:$P,9,FALSE),VLOOKUP($A93,Cuision!$G:$P,10,FALSE),VLOOKUP(BB$83,Cuision!$G:$P,9,FALSE),VLOOKUP(BB$83,Cuision!$G:$P,10,FALSE)))</f>
        <v>6307.2925838644815</v>
      </c>
      <c r="BC93" s="33">
        <f>IF($A93=BC$83, 0, distance(VLOOKUP($A93,Cuision!$G:$P,9,FALSE),VLOOKUP($A93,Cuision!$G:$P,10,FALSE),VLOOKUP(BC$83,Cuision!$G:$P,9,FALSE),VLOOKUP(BC$83,Cuision!$G:$P,10,FALSE)))</f>
        <v>1905.2350973761031</v>
      </c>
      <c r="BD93" s="33">
        <f>IF($A93=BD$83, 0, distance(VLOOKUP($A93,Cuision!$G:$P,9,FALSE),VLOOKUP($A93,Cuision!$G:$P,10,FALSE),VLOOKUP(BD$83,Cuision!$G:$P,9,FALSE),VLOOKUP(BD$83,Cuision!$G:$P,10,FALSE)))</f>
        <v>3915.9823856135613</v>
      </c>
      <c r="BE93" s="33">
        <f>IF($A93=BE$83, 0, distance(VLOOKUP($A93,Cuision!$G:$P,9,FALSE),VLOOKUP($A93,Cuision!$G:$P,10,FALSE),VLOOKUP(BE$83,Cuision!$G:$P,9,FALSE),VLOOKUP(BE$83,Cuision!$G:$P,10,FALSE)))</f>
        <v>1545.2346993489566</v>
      </c>
      <c r="BF93" s="33">
        <f>IF($A93=BF$83, 0, distance(VLOOKUP($A93,Cuision!$G:$P,9,FALSE),VLOOKUP($A93,Cuision!$G:$P,10,FALSE),VLOOKUP(BF$83,Cuision!$G:$P,9,FALSE),VLOOKUP(BF$83,Cuision!$G:$P,10,FALSE)))</f>
        <v>3044.9530915722271</v>
      </c>
      <c r="BG93" s="33">
        <f>IF($A93=BG$83, 0, distance(VLOOKUP($A93,Cuision!$G:$P,9,FALSE),VLOOKUP($A93,Cuision!$G:$P,10,FALSE),VLOOKUP(BG$83,Cuision!$G:$P,9,FALSE),VLOOKUP(BG$83,Cuision!$G:$P,10,FALSE)))</f>
        <v>1975.2810086302593</v>
      </c>
      <c r="BH93" s="33">
        <f>IF($A93=BH$83, 0, distance(VLOOKUP($A93,Cuision!$G:$P,9,FALSE),VLOOKUP($A93,Cuision!$G:$P,10,FALSE),VLOOKUP(BH$83,Cuision!$G:$P,9,FALSE),VLOOKUP(BH$83,Cuision!$G:$P,10,FALSE)))</f>
        <v>6991.6845605697372</v>
      </c>
      <c r="BI93" s="33">
        <f>IF($A93=BI$83, 0, distance(VLOOKUP($A93,Cuision!$G:$P,9,FALSE),VLOOKUP($A93,Cuision!$G:$P,10,FALSE),VLOOKUP(BI$83,Cuision!$G:$P,9,FALSE),VLOOKUP(BI$83,Cuision!$G:$P,10,FALSE)))</f>
        <v>345.12126606863819</v>
      </c>
      <c r="BJ93" s="33">
        <f>IF($A93=BJ$83, 0, distance(VLOOKUP($A93,Cuision!$G:$P,9,FALSE),VLOOKUP($A93,Cuision!$G:$P,10,FALSE),VLOOKUP(BJ$83,Cuision!$G:$P,9,FALSE),VLOOKUP(BJ$83,Cuision!$G:$P,10,FALSE)))</f>
        <v>1427.685701070026</v>
      </c>
      <c r="BK93" s="33">
        <f>IF($A93=BK$83, 0, distance(VLOOKUP($A93,Cuision!$G:$P,9,FALSE),VLOOKUP($A93,Cuision!$G:$P,10,FALSE),VLOOKUP(BK$83,Cuision!$G:$P,9,FALSE),VLOOKUP(BK$83,Cuision!$G:$P,10,FALSE)))</f>
        <v>1037.4672626876531</v>
      </c>
      <c r="BL93" s="33">
        <f>IF($A93=BL$83, 0, distance(VLOOKUP($A93,Cuision!$G:$P,9,FALSE),VLOOKUP($A93,Cuision!$G:$P,10,FALSE),VLOOKUP(BL$83,Cuision!$G:$P,9,FALSE),VLOOKUP(BL$83,Cuision!$G:$P,10,FALSE)))</f>
        <v>-1</v>
      </c>
      <c r="BM93" s="33">
        <f>IF($A93=BM$83, 0, distance(VLOOKUP($A93,Cuision!$G:$P,9,FALSE),VLOOKUP($A93,Cuision!$G:$P,10,FALSE),VLOOKUP(BM$83,Cuision!$G:$P,9,FALSE),VLOOKUP(BM$83,Cuision!$G:$P,10,FALSE)))</f>
        <v>-1</v>
      </c>
      <c r="BN93" s="33">
        <f>IF($A93=BN$83, 0, distance(VLOOKUP($A93,Cuision!$G:$P,9,FALSE),VLOOKUP($A93,Cuision!$G:$P,10,FALSE),VLOOKUP(BN$83,Cuision!$G:$P,9,FALSE),VLOOKUP(BN$83,Cuision!$G:$P,10,FALSE)))</f>
        <v>767.52659004292161</v>
      </c>
      <c r="BO93" s="33">
        <f>IF($A93=BO$83, 0, distance(VLOOKUP($A93,Cuision!$G:$P,9,FALSE),VLOOKUP($A93,Cuision!$G:$P,10,FALSE),VLOOKUP(BO$83,Cuision!$G:$P,9,FALSE),VLOOKUP(BO$83,Cuision!$G:$P,10,FALSE)))</f>
        <v>6035.6308888027097</v>
      </c>
      <c r="BP93" s="33">
        <f>IF($A93=BP$83, 0, distance(VLOOKUP($A93,Cuision!$G:$P,9,FALSE),VLOOKUP($A93,Cuision!$G:$P,10,FALSE),VLOOKUP(BP$83,Cuision!$G:$P,9,FALSE),VLOOKUP(BP$83,Cuision!$G:$P,10,FALSE)))</f>
        <v>34.341815777005891</v>
      </c>
      <c r="BQ93" s="33">
        <f>IF($A93=BQ$83, 0, distance(VLOOKUP($A93,Cuision!$G:$P,9,FALSE),VLOOKUP($A93,Cuision!$G:$P,10,FALSE),VLOOKUP(BQ$83,Cuision!$G:$P,9,FALSE),VLOOKUP(BQ$83,Cuision!$G:$P,10,FALSE)))</f>
        <v>-1</v>
      </c>
      <c r="BR93" s="33">
        <f>IF($A93=BR$83, 0, distance(VLOOKUP($A93,Cuision!$G:$P,9,FALSE),VLOOKUP($A93,Cuision!$G:$P,10,FALSE),VLOOKUP(BR$83,Cuision!$G:$P,9,FALSE),VLOOKUP(BR$83,Cuision!$G:$P,10,FALSE)))</f>
        <v>4426.2279267410295</v>
      </c>
      <c r="BS93" s="33">
        <f>IF($A93=BS$83, 0, distance(VLOOKUP($A93,Cuision!$G:$P,9,FALSE),VLOOKUP($A93,Cuision!$G:$P,10,FALSE),VLOOKUP(BS$83,Cuision!$G:$P,9,FALSE),VLOOKUP(BS$83,Cuision!$G:$P,10,FALSE)))</f>
        <v>4635.0400867959006</v>
      </c>
      <c r="BT93" s="33">
        <f>IF($A93=BT$83, 0, distance(VLOOKUP($A93,Cuision!$G:$P,9,FALSE),VLOOKUP($A93,Cuision!$G:$P,10,FALSE),VLOOKUP(BT$83,Cuision!$G:$P,9,FALSE),VLOOKUP(BT$83,Cuision!$G:$P,10,FALSE)))</f>
        <v>1123.9432343334427</v>
      </c>
      <c r="BU93" s="33">
        <f>IF($A93=BU$83, 0, distance(VLOOKUP($A93,Cuision!$G:$P,9,FALSE),VLOOKUP($A93,Cuision!$G:$P,10,FALSE),VLOOKUP(BU$83,Cuision!$G:$P,9,FALSE),VLOOKUP(BU$83,Cuision!$G:$P,10,FALSE)))</f>
        <v>5244.7362321644277</v>
      </c>
      <c r="BV93" s="33">
        <f>IF($A93=BV$83, 0, distance(VLOOKUP($A93,Cuision!$G:$P,9,FALSE),VLOOKUP($A93,Cuision!$G:$P,10,FALSE),VLOOKUP(BV$83,Cuision!$G:$P,9,FALSE),VLOOKUP(BV$83,Cuision!$G:$P,10,FALSE)))</f>
        <v>995.34847800280613</v>
      </c>
      <c r="BW93" s="33">
        <f>IF($A93=BW$83, 0, distance(VLOOKUP($A93,Cuision!$G:$P,9,FALSE),VLOOKUP($A93,Cuision!$G:$P,10,FALSE),VLOOKUP(BW$83,Cuision!$G:$P,9,FALSE),VLOOKUP(BW$83,Cuision!$G:$P,10,FALSE)))</f>
        <v>654.53885056627632</v>
      </c>
      <c r="BX93" s="33">
        <f>IF($A93=BX$83, 0, distance(VLOOKUP($A93,Cuision!$G:$P,9,FALSE),VLOOKUP($A93,Cuision!$G:$P,10,FALSE),VLOOKUP(BX$83,Cuision!$G:$P,9,FALSE),VLOOKUP(BX$83,Cuision!$G:$P,10,FALSE)))</f>
        <v>2585.1867387010789</v>
      </c>
      <c r="BY93" s="33">
        <f>IF($A93=BY$83, 0, distance(VLOOKUP($A93,Cuision!$G:$P,9,FALSE),VLOOKUP($A93,Cuision!$G:$P,10,FALSE),VLOOKUP(BY$83,Cuision!$G:$P,9,FALSE),VLOOKUP(BY$83,Cuision!$G:$P,10,FALSE)))</f>
        <v>-1</v>
      </c>
      <c r="BZ93" s="33">
        <f>IF($A93=BZ$83, 0, distance(VLOOKUP($A93,Cuision!$G:$P,9,FALSE),VLOOKUP($A93,Cuision!$G:$P,10,FALSE),VLOOKUP(BZ$83,Cuision!$G:$P,9,FALSE),VLOOKUP(BZ$83,Cuision!$G:$P,10,FALSE)))</f>
        <v>-1</v>
      </c>
      <c r="CA93" s="33">
        <f>IF($A93=CA$83, 0, distance(VLOOKUP($A93,Cuision!$G:$P,9,FALSE),VLOOKUP($A93,Cuision!$G:$P,10,FALSE),VLOOKUP(CA$83,Cuision!$G:$P,9,FALSE),VLOOKUP(CA$83,Cuision!$G:$P,10,FALSE)))</f>
        <v>5122.7205988206788</v>
      </c>
    </row>
    <row r="94" spans="1:79" ht="14.25" x14ac:dyDescent="0.2">
      <c r="A94" s="30" t="s">
        <v>51</v>
      </c>
      <c r="B94" s="33">
        <f>IF($A94=B$83, 0, distance(VLOOKUP($A94,Cuision!$G:$P,9,FALSE),VLOOKUP($A94,Cuision!$G:$P,10,FALSE),VLOOKUP(B$83,Cuision!$G:$P,9,FALSE),VLOOKUP(B$83,Cuision!$G:$P,10,FALSE)))</f>
        <v>1479.3096854144896</v>
      </c>
      <c r="C94" s="33">
        <f>IF($A94=C$83, 0, distance(VLOOKUP($A94,Cuision!$G:$P,9,FALSE),VLOOKUP($A94,Cuision!$G:$P,10,FALSE),VLOOKUP(C$83,Cuision!$G:$P,9,FALSE),VLOOKUP(C$83,Cuision!$G:$P,10,FALSE)))</f>
        <v>4388.6306895211255</v>
      </c>
      <c r="D94" s="33">
        <f>IF($A94=D$83, 0, distance(VLOOKUP($A94,Cuision!$G:$P,9,FALSE),VLOOKUP($A94,Cuision!$G:$P,10,FALSE),VLOOKUP(D$83,Cuision!$G:$P,9,FALSE),VLOOKUP(D$83,Cuision!$G:$P,10,FALSE)))</f>
        <v>8034.9392383876966</v>
      </c>
      <c r="E94" s="33">
        <f>IF($A94=E$83, 0, distance(VLOOKUP($A94,Cuision!$G:$P,9,FALSE),VLOOKUP($A94,Cuision!$G:$P,10,FALSE),VLOOKUP(E$83,Cuision!$G:$P,9,FALSE),VLOOKUP(E$83,Cuision!$G:$P,10,FALSE)))</f>
        <v>8034.9392383876966</v>
      </c>
      <c r="F94" s="33">
        <f>IF($A94=F$83, 0, distance(VLOOKUP($A94,Cuision!$G:$P,9,FALSE),VLOOKUP($A94,Cuision!$G:$P,10,FALSE),VLOOKUP(F$83,Cuision!$G:$P,9,FALSE),VLOOKUP(F$83,Cuision!$G:$P,10,FALSE)))</f>
        <v>2964.1187882805129</v>
      </c>
      <c r="G94" s="33">
        <f>IF($A94=G$83, 0, distance(VLOOKUP($A94,Cuision!$G:$P,9,FALSE),VLOOKUP($A94,Cuision!$G:$P,10,FALSE),VLOOKUP(G$83,Cuision!$G:$P,9,FALSE),VLOOKUP(G$83,Cuision!$G:$P,10,FALSE)))</f>
        <v>10418.575812935869</v>
      </c>
      <c r="H94" s="33">
        <f>IF($A94=H$83, 0, distance(VLOOKUP($A94,Cuision!$G:$P,9,FALSE),VLOOKUP($A94,Cuision!$G:$P,10,FALSE),VLOOKUP(H$83,Cuision!$G:$P,9,FALSE),VLOOKUP(H$83,Cuision!$G:$P,10,FALSE)))</f>
        <v>2883.3648542755545</v>
      </c>
      <c r="I94" s="33">
        <f>IF($A94=I$83, 0, distance(VLOOKUP($A94,Cuision!$G:$P,9,FALSE),VLOOKUP($A94,Cuision!$G:$P,10,FALSE),VLOOKUP(I$83,Cuision!$G:$P,9,FALSE),VLOOKUP(I$83,Cuision!$G:$P,10,FALSE)))</f>
        <v>943.0994094505545</v>
      </c>
      <c r="J94" s="33">
        <f>IF($A94=J$83, 0, distance(VLOOKUP($A94,Cuision!$G:$P,9,FALSE),VLOOKUP($A94,Cuision!$G:$P,10,FALSE),VLOOKUP(J$83,Cuision!$G:$P,9,FALSE),VLOOKUP(J$83,Cuision!$G:$P,10,FALSE)))</f>
        <v>5598.6846843932663</v>
      </c>
      <c r="K94" s="33">
        <f>IF($A94=K$83, 0, distance(VLOOKUP($A94,Cuision!$G:$P,9,FALSE),VLOOKUP($A94,Cuision!$G:$P,10,FALSE),VLOOKUP(K$83,Cuision!$G:$P,9,FALSE),VLOOKUP(K$83,Cuision!$G:$P,10,FALSE)))</f>
        <v>4292.0567825434964</v>
      </c>
      <c r="L94" s="33">
        <f>IF($A94=L$83, 0, distance(VLOOKUP($A94,Cuision!$G:$P,9,FALSE),VLOOKUP($A94,Cuision!$G:$P,10,FALSE),VLOOKUP(L$83,Cuision!$G:$P,9,FALSE),VLOOKUP(L$83,Cuision!$G:$P,10,FALSE)))</f>
        <v>0</v>
      </c>
      <c r="M94" s="33">
        <f>IF($A94=M$83, 0, distance(VLOOKUP($A94,Cuision!$G:$P,9,FALSE),VLOOKUP($A94,Cuision!$G:$P,10,FALSE),VLOOKUP(M$83,Cuision!$G:$P,9,FALSE),VLOOKUP(M$83,Cuision!$G:$P,10,FALSE)))</f>
        <v>-1</v>
      </c>
      <c r="N94" s="33">
        <f>IF($A94=N$83, 0, distance(VLOOKUP($A94,Cuision!$G:$P,9,FALSE),VLOOKUP($A94,Cuision!$G:$P,10,FALSE),VLOOKUP(N$83,Cuision!$G:$P,9,FALSE),VLOOKUP(N$83,Cuision!$G:$P,10,FALSE)))</f>
        <v>5377.4809840655871</v>
      </c>
      <c r="O94" s="33">
        <f>IF($A94=O$83, 0, distance(VLOOKUP($A94,Cuision!$G:$P,9,FALSE),VLOOKUP($A94,Cuision!$G:$P,10,FALSE),VLOOKUP(O$83,Cuision!$G:$P,9,FALSE),VLOOKUP(O$83,Cuision!$G:$P,10,FALSE)))</f>
        <v>4796.0692246890885</v>
      </c>
      <c r="P94" s="33">
        <f>IF($A94=P$83, 0, distance(VLOOKUP($A94,Cuision!$G:$P,9,FALSE),VLOOKUP($A94,Cuision!$G:$P,10,FALSE),VLOOKUP(P$83,Cuision!$G:$P,9,FALSE),VLOOKUP(P$83,Cuision!$G:$P,10,FALSE)))</f>
        <v>9682.2722423006198</v>
      </c>
      <c r="Q94" s="33">
        <f>IF($A94=Q$83, 0, distance(VLOOKUP($A94,Cuision!$G:$P,9,FALSE),VLOOKUP($A94,Cuision!$G:$P,10,FALSE),VLOOKUP(Q$83,Cuision!$G:$P,9,FALSE),VLOOKUP(Q$83,Cuision!$G:$P,10,FALSE)))</f>
        <v>-1</v>
      </c>
      <c r="R94" s="33">
        <f>IF($A94=R$83, 0, distance(VLOOKUP($A94,Cuision!$G:$P,9,FALSE),VLOOKUP($A94,Cuision!$G:$P,10,FALSE),VLOOKUP(R$83,Cuision!$G:$P,9,FALSE),VLOOKUP(R$83,Cuision!$G:$P,10,FALSE)))</f>
        <v>4973.0281715853507</v>
      </c>
      <c r="S94" s="33">
        <f>IF($A94=S$83, 0, distance(VLOOKUP($A94,Cuision!$G:$P,9,FALSE),VLOOKUP($A94,Cuision!$G:$P,10,FALSE),VLOOKUP(S$83,Cuision!$G:$P,9,FALSE),VLOOKUP(S$83,Cuision!$G:$P,10,FALSE)))</f>
        <v>-1</v>
      </c>
      <c r="T94" s="33">
        <f>IF($A94=T$83, 0, distance(VLOOKUP($A94,Cuision!$G:$P,9,FALSE),VLOOKUP($A94,Cuision!$G:$P,10,FALSE),VLOOKUP(T$83,Cuision!$G:$P,9,FALSE),VLOOKUP(T$83,Cuision!$G:$P,10,FALSE)))</f>
        <v>457.74606823667386</v>
      </c>
      <c r="U94" s="33">
        <f>IF($A94=U$83, 0, distance(VLOOKUP($A94,Cuision!$G:$P,9,FALSE),VLOOKUP($A94,Cuision!$G:$P,10,FALSE),VLOOKUP(U$83,Cuision!$G:$P,9,FALSE),VLOOKUP(U$83,Cuision!$G:$P,10,FALSE)))</f>
        <v>-1</v>
      </c>
      <c r="V94" s="33">
        <f>IF($A94=V$83, 0, distance(VLOOKUP($A94,Cuision!$G:$P,9,FALSE),VLOOKUP($A94,Cuision!$G:$P,10,FALSE),VLOOKUP(V$83,Cuision!$G:$P,9,FALSE),VLOOKUP(V$83,Cuision!$G:$P,10,FALSE)))</f>
        <v>8034.9392383876966</v>
      </c>
      <c r="W94" s="33">
        <f>IF($A94=W$83, 0, distance(VLOOKUP($A94,Cuision!$G:$P,9,FALSE),VLOOKUP($A94,Cuision!$G:$P,10,FALSE),VLOOKUP(W$83,Cuision!$G:$P,9,FALSE),VLOOKUP(W$83,Cuision!$G:$P,10,FALSE)))</f>
        <v>1269.8442491157966</v>
      </c>
      <c r="X94" s="33">
        <f>IF($A94=X$83, 0, distance(VLOOKUP($A94,Cuision!$G:$P,9,FALSE),VLOOKUP($A94,Cuision!$G:$P,10,FALSE),VLOOKUP(X$83,Cuision!$G:$P,9,FALSE),VLOOKUP(X$83,Cuision!$G:$P,10,FALSE)))</f>
        <v>5377.4809840655871</v>
      </c>
      <c r="Y94" s="33">
        <f>IF($A94=Y$83, 0, distance(VLOOKUP($A94,Cuision!$G:$P,9,FALSE),VLOOKUP($A94,Cuision!$G:$P,10,FALSE),VLOOKUP(Y$83,Cuision!$G:$P,9,FALSE),VLOOKUP(Y$83,Cuision!$G:$P,10,FALSE)))</f>
        <v>1880.5182585279579</v>
      </c>
      <c r="Z94" s="33">
        <f>IF($A94=Z$83, 0, distance(VLOOKUP($A94,Cuision!$G:$P,9,FALSE),VLOOKUP($A94,Cuision!$G:$P,10,FALSE),VLOOKUP(Z$83,Cuision!$G:$P,9,FALSE),VLOOKUP(Z$83,Cuision!$G:$P,10,FALSE)))</f>
        <v>-1</v>
      </c>
      <c r="AA94" s="33">
        <f>IF($A94=AA$83, 0, distance(VLOOKUP($A94,Cuision!$G:$P,9,FALSE),VLOOKUP($A94,Cuision!$G:$P,10,FALSE),VLOOKUP(AA$83,Cuision!$G:$P,9,FALSE),VLOOKUP(AA$83,Cuision!$G:$P,10,FALSE)))</f>
        <v>9164.0466136797386</v>
      </c>
      <c r="AB94" s="33">
        <f>IF($A94=AB$83, 0, distance(VLOOKUP($A94,Cuision!$G:$P,9,FALSE),VLOOKUP($A94,Cuision!$G:$P,10,FALSE),VLOOKUP(AB$83,Cuision!$G:$P,9,FALSE),VLOOKUP(AB$83,Cuision!$G:$P,10,FALSE)))</f>
        <v>4367.5000761870788</v>
      </c>
      <c r="AC94" s="33">
        <f>IF($A94=AC$83, 0, distance(VLOOKUP($A94,Cuision!$G:$P,9,FALSE),VLOOKUP($A94,Cuision!$G:$P,10,FALSE),VLOOKUP(AC$83,Cuision!$G:$P,9,FALSE),VLOOKUP(AC$83,Cuision!$G:$P,10,FALSE)))</f>
        <v>3550.6923960570634</v>
      </c>
      <c r="AD94" s="33">
        <f>IF($A94=AD$83, 0, distance(VLOOKUP($A94,Cuision!$G:$P,9,FALSE),VLOOKUP($A94,Cuision!$G:$P,10,FALSE),VLOOKUP(AD$83,Cuision!$G:$P,9,FALSE),VLOOKUP(AD$83,Cuision!$G:$P,10,FALSE)))</f>
        <v>2086.8242079270608</v>
      </c>
      <c r="AE94" s="33">
        <f>IF($A94=AE$83, 0, distance(VLOOKUP($A94,Cuision!$G:$P,9,FALSE),VLOOKUP($A94,Cuision!$G:$P,10,FALSE),VLOOKUP(AE$83,Cuision!$G:$P,9,FALSE),VLOOKUP(AE$83,Cuision!$G:$P,10,FALSE)))</f>
        <v>4396.9427997288158</v>
      </c>
      <c r="AF94" s="33">
        <f>IF($A94=AF$83, 0, distance(VLOOKUP($A94,Cuision!$G:$P,9,FALSE),VLOOKUP($A94,Cuision!$G:$P,10,FALSE),VLOOKUP(AF$83,Cuision!$G:$P,9,FALSE),VLOOKUP(AF$83,Cuision!$G:$P,10,FALSE)))</f>
        <v>4915.3890924621746</v>
      </c>
      <c r="AG94" s="33">
        <f>IF($A94=AG$83, 0, distance(VLOOKUP($A94,Cuision!$G:$P,9,FALSE),VLOOKUP($A94,Cuision!$G:$P,10,FALSE),VLOOKUP(AG$83,Cuision!$G:$P,9,FALSE),VLOOKUP(AG$83,Cuision!$G:$P,10,FALSE)))</f>
        <v>4395.055476107399</v>
      </c>
      <c r="AH94" s="33">
        <f>IF($A94=AH$83, 0, distance(VLOOKUP($A94,Cuision!$G:$P,9,FALSE),VLOOKUP($A94,Cuision!$G:$P,10,FALSE),VLOOKUP(AH$83,Cuision!$G:$P,9,FALSE),VLOOKUP(AH$83,Cuision!$G:$P,10,FALSE)))</f>
        <v>-1</v>
      </c>
      <c r="AI94" s="33">
        <f>IF($A94=AI$83, 0, distance(VLOOKUP($A94,Cuision!$G:$P,9,FALSE),VLOOKUP($A94,Cuision!$G:$P,10,FALSE),VLOOKUP(AI$83,Cuision!$G:$P,9,FALSE),VLOOKUP(AI$83,Cuision!$G:$P,10,FALSE)))</f>
        <v>3992.6838181517678</v>
      </c>
      <c r="AJ94" s="33">
        <f>IF($A94=AJ$83, 0, distance(VLOOKUP($A94,Cuision!$G:$P,9,FALSE),VLOOKUP($A94,Cuision!$G:$P,10,FALSE),VLOOKUP(AJ$83,Cuision!$G:$P,9,FALSE),VLOOKUP(AJ$83,Cuision!$G:$P,10,FALSE)))</f>
        <v>2964.1187882805129</v>
      </c>
      <c r="AK94" s="33">
        <f>IF($A94=AK$83, 0, distance(VLOOKUP($A94,Cuision!$G:$P,9,FALSE),VLOOKUP($A94,Cuision!$G:$P,10,FALSE),VLOOKUP(AK$83,Cuision!$G:$P,9,FALSE),VLOOKUP(AK$83,Cuision!$G:$P,10,FALSE)))</f>
        <v>7069.5114142879893</v>
      </c>
      <c r="AL94" s="33">
        <f>IF($A94=AL$83, 0, distance(VLOOKUP($A94,Cuision!$G:$P,9,FALSE),VLOOKUP($A94,Cuision!$G:$P,10,FALSE),VLOOKUP(AL$83,Cuision!$G:$P,9,FALSE),VLOOKUP(AL$83,Cuision!$G:$P,10,FALSE)))</f>
        <v>419.90087023469204</v>
      </c>
      <c r="AM94" s="33">
        <f>IF($A94=AM$83, 0, distance(VLOOKUP($A94,Cuision!$G:$P,9,FALSE),VLOOKUP($A94,Cuision!$G:$P,10,FALSE),VLOOKUP(AM$83,Cuision!$G:$P,9,FALSE),VLOOKUP(AM$83,Cuision!$G:$P,10,FALSE)))</f>
        <v>-1</v>
      </c>
      <c r="AN94" s="33">
        <f>IF($A94=AN$83, 0, distance(VLOOKUP($A94,Cuision!$G:$P,9,FALSE),VLOOKUP($A94,Cuision!$G:$P,10,FALSE),VLOOKUP(AN$83,Cuision!$G:$P,9,FALSE),VLOOKUP(AN$83,Cuision!$G:$P,10,FALSE)))</f>
        <v>4172.4576363261831</v>
      </c>
      <c r="AO94" s="33">
        <f>IF($A94=AO$83, 0, distance(VLOOKUP($A94,Cuision!$G:$P,9,FALSE),VLOOKUP($A94,Cuision!$G:$P,10,FALSE),VLOOKUP(AO$83,Cuision!$G:$P,9,FALSE),VLOOKUP(AO$83,Cuision!$G:$P,10,FALSE)))</f>
        <v>5377.4809840655871</v>
      </c>
      <c r="AP94" s="33">
        <f>IF($A94=AP$83, 0, distance(VLOOKUP($A94,Cuision!$G:$P,9,FALSE),VLOOKUP($A94,Cuision!$G:$P,10,FALSE),VLOOKUP(AP$83,Cuision!$G:$P,9,FALSE),VLOOKUP(AP$83,Cuision!$G:$P,10,FALSE)))</f>
        <v>885.21036882096462</v>
      </c>
      <c r="AQ94" s="33">
        <f>IF($A94=AQ$83, 0, distance(VLOOKUP($A94,Cuision!$G:$P,9,FALSE),VLOOKUP($A94,Cuision!$G:$P,10,FALSE),VLOOKUP(AQ$83,Cuision!$G:$P,9,FALSE),VLOOKUP(AQ$83,Cuision!$G:$P,10,FALSE)))</f>
        <v>2345.7147134373649</v>
      </c>
      <c r="AR94" s="33">
        <f>IF($A94=AR$83, 0, distance(VLOOKUP($A94,Cuision!$G:$P,9,FALSE),VLOOKUP($A94,Cuision!$G:$P,10,FALSE),VLOOKUP(AR$83,Cuision!$G:$P,9,FALSE),VLOOKUP(AR$83,Cuision!$G:$P,10,FALSE)))</f>
        <v>4973.0281715853507</v>
      </c>
      <c r="AS94" s="33">
        <f>IF($A94=AS$83, 0, distance(VLOOKUP($A94,Cuision!$G:$P,9,FALSE),VLOOKUP($A94,Cuision!$G:$P,10,FALSE),VLOOKUP(AS$83,Cuision!$G:$P,9,FALSE),VLOOKUP(AS$83,Cuision!$G:$P,10,FALSE)))</f>
        <v>4541.3868001108895</v>
      </c>
      <c r="AT94" s="33">
        <f>IF($A94=AT$83, 0, distance(VLOOKUP($A94,Cuision!$G:$P,9,FALSE),VLOOKUP($A94,Cuision!$G:$P,10,FALSE),VLOOKUP(AT$83,Cuision!$G:$P,9,FALSE),VLOOKUP(AT$83,Cuision!$G:$P,10,FALSE)))</f>
        <v>3037.8694786824231</v>
      </c>
      <c r="AU94" s="33">
        <f>IF($A94=AU$83, 0, distance(VLOOKUP($A94,Cuision!$G:$P,9,FALSE),VLOOKUP($A94,Cuision!$G:$P,10,FALSE),VLOOKUP(AU$83,Cuision!$G:$P,9,FALSE),VLOOKUP(AU$83,Cuision!$G:$P,10,FALSE)))</f>
        <v>2356.2980509247759</v>
      </c>
      <c r="AV94" s="33">
        <f>IF($A94=AV$83, 0, distance(VLOOKUP($A94,Cuision!$G:$P,9,FALSE),VLOOKUP($A94,Cuision!$G:$P,10,FALSE),VLOOKUP(AV$83,Cuision!$G:$P,9,FALSE),VLOOKUP(AV$83,Cuision!$G:$P,10,FALSE)))</f>
        <v>3564.9081232635494</v>
      </c>
      <c r="AW94" s="33">
        <f>IF($A94=AW$83, 0, distance(VLOOKUP($A94,Cuision!$G:$P,9,FALSE),VLOOKUP($A94,Cuision!$G:$P,10,FALSE),VLOOKUP(AW$83,Cuision!$G:$P,9,FALSE),VLOOKUP(AW$83,Cuision!$G:$P,10,FALSE)))</f>
        <v>880.77831234835969</v>
      </c>
      <c r="AX94" s="33">
        <f>IF($A94=AX$83, 0, distance(VLOOKUP($A94,Cuision!$G:$P,9,FALSE),VLOOKUP($A94,Cuision!$G:$P,10,FALSE),VLOOKUP(AX$83,Cuision!$G:$P,9,FALSE),VLOOKUP(AX$83,Cuision!$G:$P,10,FALSE)))</f>
        <v>10130.828821824274</v>
      </c>
      <c r="AY94" s="33">
        <f>IF($A94=AY$83, 0, distance(VLOOKUP($A94,Cuision!$G:$P,9,FALSE),VLOOKUP($A94,Cuision!$G:$P,10,FALSE),VLOOKUP(AY$83,Cuision!$G:$P,9,FALSE),VLOOKUP(AY$83,Cuision!$G:$P,10,FALSE)))</f>
        <v>-1</v>
      </c>
      <c r="AZ94" s="33">
        <f>IF($A94=AZ$83, 0, distance(VLOOKUP($A94,Cuision!$G:$P,9,FALSE),VLOOKUP($A94,Cuision!$G:$P,10,FALSE),VLOOKUP(AZ$83,Cuision!$G:$P,9,FALSE),VLOOKUP(AZ$83,Cuision!$G:$P,10,FALSE)))</f>
        <v>1608.4223518058729</v>
      </c>
      <c r="BA94" s="33">
        <f>IF($A94=BA$83, 0, distance(VLOOKUP($A94,Cuision!$G:$P,9,FALSE),VLOOKUP($A94,Cuision!$G:$P,10,FALSE),VLOOKUP(BA$83,Cuision!$G:$P,9,FALSE),VLOOKUP(BA$83,Cuision!$G:$P,10,FALSE)))</f>
        <v>4341.281071821817</v>
      </c>
      <c r="BB94" s="33">
        <f>IF($A94=BB$83, 0, distance(VLOOKUP($A94,Cuision!$G:$P,9,FALSE),VLOOKUP($A94,Cuision!$G:$P,10,FALSE),VLOOKUP(BB$83,Cuision!$G:$P,9,FALSE),VLOOKUP(BB$83,Cuision!$G:$P,10,FALSE)))</f>
        <v>9387.1553582570868</v>
      </c>
      <c r="BC94" s="33">
        <f>IF($A94=BC$83, 0, distance(VLOOKUP($A94,Cuision!$G:$P,9,FALSE),VLOOKUP($A94,Cuision!$G:$P,10,FALSE),VLOOKUP(BC$83,Cuision!$G:$P,9,FALSE),VLOOKUP(BC$83,Cuision!$G:$P,10,FALSE)))</f>
        <v>2964.1187882805129</v>
      </c>
      <c r="BD94" s="33">
        <f>IF($A94=BD$83, 0, distance(VLOOKUP($A94,Cuision!$G:$P,9,FALSE),VLOOKUP($A94,Cuision!$G:$P,10,FALSE),VLOOKUP(BD$83,Cuision!$G:$P,9,FALSE),VLOOKUP(BD$83,Cuision!$G:$P,10,FALSE)))</f>
        <v>1900.5976549347383</v>
      </c>
      <c r="BE94" s="33">
        <f>IF($A94=BE$83, 0, distance(VLOOKUP($A94,Cuision!$G:$P,9,FALSE),VLOOKUP($A94,Cuision!$G:$P,10,FALSE),VLOOKUP(BE$83,Cuision!$G:$P,9,FALSE),VLOOKUP(BE$83,Cuision!$G:$P,10,FALSE)))</f>
        <v>5704.9644932308629</v>
      </c>
      <c r="BF94" s="33">
        <f>IF($A94=BF$83, 0, distance(VLOOKUP($A94,Cuision!$G:$P,9,FALSE),VLOOKUP($A94,Cuision!$G:$P,10,FALSE),VLOOKUP(BF$83,Cuision!$G:$P,9,FALSE),VLOOKUP(BF$83,Cuision!$G:$P,10,FALSE)))</f>
        <v>1256.4733607257567</v>
      </c>
      <c r="BG94" s="33">
        <f>IF($A94=BG$83, 0, distance(VLOOKUP($A94,Cuision!$G:$P,9,FALSE),VLOOKUP($A94,Cuision!$G:$P,10,FALSE),VLOOKUP(BG$83,Cuision!$G:$P,9,FALSE),VLOOKUP(BG$83,Cuision!$G:$P,10,FALSE)))</f>
        <v>2463.1385573419866</v>
      </c>
      <c r="BH94" s="33">
        <f>IF($A94=BH$83, 0, distance(VLOOKUP($A94,Cuision!$G:$P,9,FALSE),VLOOKUP($A94,Cuision!$G:$P,10,FALSE),VLOOKUP(BH$83,Cuision!$G:$P,9,FALSE),VLOOKUP(BH$83,Cuision!$G:$P,10,FALSE)))</f>
        <v>11283.460247244439</v>
      </c>
      <c r="BI94" s="33">
        <f>IF($A94=BI$83, 0, distance(VLOOKUP($A94,Cuision!$G:$P,9,FALSE),VLOOKUP($A94,Cuision!$G:$P,10,FALSE),VLOOKUP(BI$83,Cuision!$G:$P,9,FALSE),VLOOKUP(BI$83,Cuision!$G:$P,10,FALSE)))</f>
        <v>4075.714247931362</v>
      </c>
      <c r="BJ94" s="33">
        <f>IF($A94=BJ$83, 0, distance(VLOOKUP($A94,Cuision!$G:$P,9,FALSE),VLOOKUP($A94,Cuision!$G:$P,10,FALSE),VLOOKUP(BJ$83,Cuision!$G:$P,9,FALSE),VLOOKUP(BJ$83,Cuision!$G:$P,10,FALSE)))</f>
        <v>5689.5281105558252</v>
      </c>
      <c r="BK94" s="33">
        <f>IF($A94=BK$83, 0, distance(VLOOKUP($A94,Cuision!$G:$P,9,FALSE),VLOOKUP($A94,Cuision!$G:$P,10,FALSE),VLOOKUP(BK$83,Cuision!$G:$P,9,FALSE),VLOOKUP(BK$83,Cuision!$G:$P,10,FALSE)))</f>
        <v>3448.2332370575282</v>
      </c>
      <c r="BL94" s="33">
        <f>IF($A94=BL$83, 0, distance(VLOOKUP($A94,Cuision!$G:$P,9,FALSE),VLOOKUP($A94,Cuision!$G:$P,10,FALSE),VLOOKUP(BL$83,Cuision!$G:$P,9,FALSE),VLOOKUP(BL$83,Cuision!$G:$P,10,FALSE)))</f>
        <v>-1</v>
      </c>
      <c r="BM94" s="33">
        <f>IF($A94=BM$83, 0, distance(VLOOKUP($A94,Cuision!$G:$P,9,FALSE),VLOOKUP($A94,Cuision!$G:$P,10,FALSE),VLOOKUP(BM$83,Cuision!$G:$P,9,FALSE),VLOOKUP(BM$83,Cuision!$G:$P,10,FALSE)))</f>
        <v>-1</v>
      </c>
      <c r="BN94" s="33">
        <f>IF($A94=BN$83, 0, distance(VLOOKUP($A94,Cuision!$G:$P,9,FALSE),VLOOKUP($A94,Cuision!$G:$P,10,FALSE),VLOOKUP(BN$83,Cuision!$G:$P,9,FALSE),VLOOKUP(BN$83,Cuision!$G:$P,10,FALSE)))</f>
        <v>4973.0281715853507</v>
      </c>
      <c r="BO94" s="33">
        <f>IF($A94=BO$83, 0, distance(VLOOKUP($A94,Cuision!$G:$P,9,FALSE),VLOOKUP($A94,Cuision!$G:$P,10,FALSE),VLOOKUP(BO$83,Cuision!$G:$P,9,FALSE),VLOOKUP(BO$83,Cuision!$G:$P,10,FALSE)))</f>
        <v>1791.360515325917</v>
      </c>
      <c r="BP94" s="33">
        <f>IF($A94=BP$83, 0, distance(VLOOKUP($A94,Cuision!$G:$P,9,FALSE),VLOOKUP($A94,Cuision!$G:$P,10,FALSE),VLOOKUP(BP$83,Cuision!$G:$P,9,FALSE),VLOOKUP(BP$83,Cuision!$G:$P,10,FALSE)))</f>
        <v>4258.4522370779559</v>
      </c>
      <c r="BQ94" s="33">
        <f>IF($A94=BQ$83, 0, distance(VLOOKUP($A94,Cuision!$G:$P,9,FALSE),VLOOKUP($A94,Cuision!$G:$P,10,FALSE),VLOOKUP(BQ$83,Cuision!$G:$P,9,FALSE),VLOOKUP(BQ$83,Cuision!$G:$P,10,FALSE)))</f>
        <v>-1</v>
      </c>
      <c r="BR94" s="33">
        <f>IF($A94=BR$83, 0, distance(VLOOKUP($A94,Cuision!$G:$P,9,FALSE),VLOOKUP($A94,Cuision!$G:$P,10,FALSE),VLOOKUP(BR$83,Cuision!$G:$P,9,FALSE),VLOOKUP(BR$83,Cuision!$G:$P,10,FALSE)))</f>
        <v>8034.9392383876966</v>
      </c>
      <c r="BS94" s="33">
        <f>IF($A94=BS$83, 0, distance(VLOOKUP($A94,Cuision!$G:$P,9,FALSE),VLOOKUP($A94,Cuision!$G:$P,10,FALSE),VLOOKUP(BS$83,Cuision!$G:$P,9,FALSE),VLOOKUP(BS$83,Cuision!$G:$P,10,FALSE)))</f>
        <v>1880.5182585279579</v>
      </c>
      <c r="BT94" s="33">
        <f>IF($A94=BT$83, 0, distance(VLOOKUP($A94,Cuision!$G:$P,9,FALSE),VLOOKUP($A94,Cuision!$G:$P,10,FALSE),VLOOKUP(BT$83,Cuision!$G:$P,9,FALSE),VLOOKUP(BT$83,Cuision!$G:$P,10,FALSE)))</f>
        <v>5377.4809840655871</v>
      </c>
      <c r="BU94" s="33">
        <f>IF($A94=BU$83, 0, distance(VLOOKUP($A94,Cuision!$G:$P,9,FALSE),VLOOKUP($A94,Cuision!$G:$P,10,FALSE),VLOOKUP(BU$83,Cuision!$G:$P,9,FALSE),VLOOKUP(BU$83,Cuision!$G:$P,10,FALSE)))</f>
        <v>952.78593546111358</v>
      </c>
      <c r="BV94" s="33">
        <f>IF($A94=BV$83, 0, distance(VLOOKUP($A94,Cuision!$G:$P,9,FALSE),VLOOKUP($A94,Cuision!$G:$P,10,FALSE),VLOOKUP(BV$83,Cuision!$G:$P,9,FALSE),VLOOKUP(BV$83,Cuision!$G:$P,10,FALSE)))</f>
        <v>3496.0396106245562</v>
      </c>
      <c r="BW94" s="33">
        <f>IF($A94=BW$83, 0, distance(VLOOKUP($A94,Cuision!$G:$P,9,FALSE),VLOOKUP($A94,Cuision!$G:$P,10,FALSE),VLOOKUP(BW$83,Cuision!$G:$P,9,FALSE),VLOOKUP(BW$83,Cuision!$G:$P,10,FALSE)))</f>
        <v>3658.2550332817054</v>
      </c>
      <c r="BX94" s="33">
        <f>IF($A94=BX$83, 0, distance(VLOOKUP($A94,Cuision!$G:$P,9,FALSE),VLOOKUP($A94,Cuision!$G:$P,10,FALSE),VLOOKUP(BX$83,Cuision!$G:$P,9,FALSE),VLOOKUP(BX$83,Cuision!$G:$P,10,FALSE)))</f>
        <v>1721.5266054804517</v>
      </c>
      <c r="BY94" s="33">
        <f>IF($A94=BY$83, 0, distance(VLOOKUP($A94,Cuision!$G:$P,9,FALSE),VLOOKUP($A94,Cuision!$G:$P,10,FALSE),VLOOKUP(BY$83,Cuision!$G:$P,9,FALSE),VLOOKUP(BY$83,Cuision!$G:$P,10,FALSE)))</f>
        <v>-1</v>
      </c>
      <c r="BZ94" s="33">
        <f>IF($A94=BZ$83, 0, distance(VLOOKUP($A94,Cuision!$G:$P,9,FALSE),VLOOKUP($A94,Cuision!$G:$P,10,FALSE),VLOOKUP(BZ$83,Cuision!$G:$P,9,FALSE),VLOOKUP(BZ$83,Cuision!$G:$P,10,FALSE)))</f>
        <v>-1</v>
      </c>
      <c r="CA94" s="33">
        <f>IF($A94=CA$83, 0, distance(VLOOKUP($A94,Cuision!$G:$P,9,FALSE),VLOOKUP($A94,Cuision!$G:$P,10,FALSE),VLOOKUP(CA$83,Cuision!$G:$P,9,FALSE),VLOOKUP(CA$83,Cuision!$G:$P,10,FALSE)))</f>
        <v>1002.6725341233176</v>
      </c>
    </row>
    <row r="95" spans="1:79" ht="14.25" x14ac:dyDescent="0.2">
      <c r="A95" s="30" t="s">
        <v>52</v>
      </c>
      <c r="B95" s="33">
        <f>IF($A95=B$83, 0, distance(VLOOKUP($A95,Cuision!$G:$P,9,FALSE),VLOOKUP($A95,Cuision!$G:$P,10,FALSE),VLOOKUP(B$83,Cuision!$G:$P,9,FALSE),VLOOKUP(B$83,Cuision!$G:$P,10,FALSE)))</f>
        <v>-1</v>
      </c>
      <c r="C95" s="33">
        <f>IF($A95=C$83, 0, distance(VLOOKUP($A95,Cuision!$G:$P,9,FALSE),VLOOKUP($A95,Cuision!$G:$P,10,FALSE),VLOOKUP(C$83,Cuision!$G:$P,9,FALSE),VLOOKUP(C$83,Cuision!$G:$P,10,FALSE)))</f>
        <v>-1</v>
      </c>
      <c r="D95" s="33">
        <f>IF($A95=D$83, 0, distance(VLOOKUP($A95,Cuision!$G:$P,9,FALSE),VLOOKUP($A95,Cuision!$G:$P,10,FALSE),VLOOKUP(D$83,Cuision!$G:$P,9,FALSE),VLOOKUP(D$83,Cuision!$G:$P,10,FALSE)))</f>
        <v>-1</v>
      </c>
      <c r="E95" s="33">
        <f>IF($A95=E$83, 0, distance(VLOOKUP($A95,Cuision!$G:$P,9,FALSE),VLOOKUP($A95,Cuision!$G:$P,10,FALSE),VLOOKUP(E$83,Cuision!$G:$P,9,FALSE),VLOOKUP(E$83,Cuision!$G:$P,10,FALSE)))</f>
        <v>-1</v>
      </c>
      <c r="F95" s="33">
        <f>IF($A95=F$83, 0, distance(VLOOKUP($A95,Cuision!$G:$P,9,FALSE),VLOOKUP($A95,Cuision!$G:$P,10,FALSE),VLOOKUP(F$83,Cuision!$G:$P,9,FALSE),VLOOKUP(F$83,Cuision!$G:$P,10,FALSE)))</f>
        <v>-1</v>
      </c>
      <c r="G95" s="33">
        <f>IF($A95=G$83, 0, distance(VLOOKUP($A95,Cuision!$G:$P,9,FALSE),VLOOKUP($A95,Cuision!$G:$P,10,FALSE),VLOOKUP(G$83,Cuision!$G:$P,9,FALSE),VLOOKUP(G$83,Cuision!$G:$P,10,FALSE)))</f>
        <v>-1</v>
      </c>
      <c r="H95" s="33">
        <f>IF($A95=H$83, 0, distance(VLOOKUP($A95,Cuision!$G:$P,9,FALSE),VLOOKUP($A95,Cuision!$G:$P,10,FALSE),VLOOKUP(H$83,Cuision!$G:$P,9,FALSE),VLOOKUP(H$83,Cuision!$G:$P,10,FALSE)))</f>
        <v>-1</v>
      </c>
      <c r="I95" s="33">
        <f>IF($A95=I$83, 0, distance(VLOOKUP($A95,Cuision!$G:$P,9,FALSE),VLOOKUP($A95,Cuision!$G:$P,10,FALSE),VLOOKUP(I$83,Cuision!$G:$P,9,FALSE),VLOOKUP(I$83,Cuision!$G:$P,10,FALSE)))</f>
        <v>-1</v>
      </c>
      <c r="J95" s="33">
        <f>IF($A95=J$83, 0, distance(VLOOKUP($A95,Cuision!$G:$P,9,FALSE),VLOOKUP($A95,Cuision!$G:$P,10,FALSE),VLOOKUP(J$83,Cuision!$G:$P,9,FALSE),VLOOKUP(J$83,Cuision!$G:$P,10,FALSE)))</f>
        <v>-1</v>
      </c>
      <c r="K95" s="33">
        <f>IF($A95=K$83, 0, distance(VLOOKUP($A95,Cuision!$G:$P,9,FALSE),VLOOKUP($A95,Cuision!$G:$P,10,FALSE),VLOOKUP(K$83,Cuision!$G:$P,9,FALSE),VLOOKUP(K$83,Cuision!$G:$P,10,FALSE)))</f>
        <v>-1</v>
      </c>
      <c r="L95" s="33">
        <f>IF($A95=L$83, 0, distance(VLOOKUP($A95,Cuision!$G:$P,9,FALSE),VLOOKUP($A95,Cuision!$G:$P,10,FALSE),VLOOKUP(L$83,Cuision!$G:$P,9,FALSE),VLOOKUP(L$83,Cuision!$G:$P,10,FALSE)))</f>
        <v>-1</v>
      </c>
      <c r="M95" s="33">
        <f>IF($A95=M$83, 0, distance(VLOOKUP($A95,Cuision!$G:$P,9,FALSE),VLOOKUP($A95,Cuision!$G:$P,10,FALSE),VLOOKUP(M$83,Cuision!$G:$P,9,FALSE),VLOOKUP(M$83,Cuision!$G:$P,10,FALSE)))</f>
        <v>0</v>
      </c>
      <c r="N95" s="33">
        <f>IF($A95=N$83, 0, distance(VLOOKUP($A95,Cuision!$G:$P,9,FALSE),VLOOKUP($A95,Cuision!$G:$P,10,FALSE),VLOOKUP(N$83,Cuision!$G:$P,9,FALSE),VLOOKUP(N$83,Cuision!$G:$P,10,FALSE)))</f>
        <v>-1</v>
      </c>
      <c r="O95" s="33">
        <f>IF($A95=O$83, 0, distance(VLOOKUP($A95,Cuision!$G:$P,9,FALSE),VLOOKUP($A95,Cuision!$G:$P,10,FALSE),VLOOKUP(O$83,Cuision!$G:$P,9,FALSE),VLOOKUP(O$83,Cuision!$G:$P,10,FALSE)))</f>
        <v>-1</v>
      </c>
      <c r="P95" s="33">
        <f>IF($A95=P$83, 0, distance(VLOOKUP($A95,Cuision!$G:$P,9,FALSE),VLOOKUP($A95,Cuision!$G:$P,10,FALSE),VLOOKUP(P$83,Cuision!$G:$P,9,FALSE),VLOOKUP(P$83,Cuision!$G:$P,10,FALSE)))</f>
        <v>-1</v>
      </c>
      <c r="Q95" s="33">
        <f>IF($A95=Q$83, 0, distance(VLOOKUP($A95,Cuision!$G:$P,9,FALSE),VLOOKUP($A95,Cuision!$G:$P,10,FALSE),VLOOKUP(Q$83,Cuision!$G:$P,9,FALSE),VLOOKUP(Q$83,Cuision!$G:$P,10,FALSE)))</f>
        <v>-1</v>
      </c>
      <c r="R95" s="33">
        <f>IF($A95=R$83, 0, distance(VLOOKUP($A95,Cuision!$G:$P,9,FALSE),VLOOKUP($A95,Cuision!$G:$P,10,FALSE),VLOOKUP(R$83,Cuision!$G:$P,9,FALSE),VLOOKUP(R$83,Cuision!$G:$P,10,FALSE)))</f>
        <v>-1</v>
      </c>
      <c r="S95" s="33">
        <f>IF($A95=S$83, 0, distance(VLOOKUP($A95,Cuision!$G:$P,9,FALSE),VLOOKUP($A95,Cuision!$G:$P,10,FALSE),VLOOKUP(S$83,Cuision!$G:$P,9,FALSE),VLOOKUP(S$83,Cuision!$G:$P,10,FALSE)))</f>
        <v>-1</v>
      </c>
      <c r="T95" s="33">
        <f>IF($A95=T$83, 0, distance(VLOOKUP($A95,Cuision!$G:$P,9,FALSE),VLOOKUP($A95,Cuision!$G:$P,10,FALSE),VLOOKUP(T$83,Cuision!$G:$P,9,FALSE),VLOOKUP(T$83,Cuision!$G:$P,10,FALSE)))</f>
        <v>-1</v>
      </c>
      <c r="U95" s="33">
        <f>IF($A95=U$83, 0, distance(VLOOKUP($A95,Cuision!$G:$P,9,FALSE),VLOOKUP($A95,Cuision!$G:$P,10,FALSE),VLOOKUP(U$83,Cuision!$G:$P,9,FALSE),VLOOKUP(U$83,Cuision!$G:$P,10,FALSE)))</f>
        <v>-1</v>
      </c>
      <c r="V95" s="33">
        <f>IF($A95=V$83, 0, distance(VLOOKUP($A95,Cuision!$G:$P,9,FALSE),VLOOKUP($A95,Cuision!$G:$P,10,FALSE),VLOOKUP(V$83,Cuision!$G:$P,9,FALSE),VLOOKUP(V$83,Cuision!$G:$P,10,FALSE)))</f>
        <v>-1</v>
      </c>
      <c r="W95" s="33">
        <f>IF($A95=W$83, 0, distance(VLOOKUP($A95,Cuision!$G:$P,9,FALSE),VLOOKUP($A95,Cuision!$G:$P,10,FALSE),VLOOKUP(W$83,Cuision!$G:$P,9,FALSE),VLOOKUP(W$83,Cuision!$G:$P,10,FALSE)))</f>
        <v>-1</v>
      </c>
      <c r="X95" s="33">
        <f>IF($A95=X$83, 0, distance(VLOOKUP($A95,Cuision!$G:$P,9,FALSE),VLOOKUP($A95,Cuision!$G:$P,10,FALSE),VLOOKUP(X$83,Cuision!$G:$P,9,FALSE),VLOOKUP(X$83,Cuision!$G:$P,10,FALSE)))</f>
        <v>-1</v>
      </c>
      <c r="Y95" s="33">
        <f>IF($A95=Y$83, 0, distance(VLOOKUP($A95,Cuision!$G:$P,9,FALSE),VLOOKUP($A95,Cuision!$G:$P,10,FALSE),VLOOKUP(Y$83,Cuision!$G:$P,9,FALSE),VLOOKUP(Y$83,Cuision!$G:$P,10,FALSE)))</f>
        <v>-1</v>
      </c>
      <c r="Z95" s="33">
        <f>IF($A95=Z$83, 0, distance(VLOOKUP($A95,Cuision!$G:$P,9,FALSE),VLOOKUP($A95,Cuision!$G:$P,10,FALSE),VLOOKUP(Z$83,Cuision!$G:$P,9,FALSE),VLOOKUP(Z$83,Cuision!$G:$P,10,FALSE)))</f>
        <v>-1</v>
      </c>
      <c r="AA95" s="33">
        <f>IF($A95=AA$83, 0, distance(VLOOKUP($A95,Cuision!$G:$P,9,FALSE),VLOOKUP($A95,Cuision!$G:$P,10,FALSE),VLOOKUP(AA$83,Cuision!$G:$P,9,FALSE),VLOOKUP(AA$83,Cuision!$G:$P,10,FALSE)))</f>
        <v>-1</v>
      </c>
      <c r="AB95" s="33">
        <f>IF($A95=AB$83, 0, distance(VLOOKUP($A95,Cuision!$G:$P,9,FALSE),VLOOKUP($A95,Cuision!$G:$P,10,FALSE),VLOOKUP(AB$83,Cuision!$G:$P,9,FALSE),VLOOKUP(AB$83,Cuision!$G:$P,10,FALSE)))</f>
        <v>-1</v>
      </c>
      <c r="AC95" s="33">
        <f>IF($A95=AC$83, 0, distance(VLOOKUP($A95,Cuision!$G:$P,9,FALSE),VLOOKUP($A95,Cuision!$G:$P,10,FALSE),VLOOKUP(AC$83,Cuision!$G:$P,9,FALSE),VLOOKUP(AC$83,Cuision!$G:$P,10,FALSE)))</f>
        <v>-1</v>
      </c>
      <c r="AD95" s="33">
        <f>IF($A95=AD$83, 0, distance(VLOOKUP($A95,Cuision!$G:$P,9,FALSE),VLOOKUP($A95,Cuision!$G:$P,10,FALSE),VLOOKUP(AD$83,Cuision!$G:$P,9,FALSE),VLOOKUP(AD$83,Cuision!$G:$P,10,FALSE)))</f>
        <v>-1</v>
      </c>
      <c r="AE95" s="33">
        <f>IF($A95=AE$83, 0, distance(VLOOKUP($A95,Cuision!$G:$P,9,FALSE),VLOOKUP($A95,Cuision!$G:$P,10,FALSE),VLOOKUP(AE$83,Cuision!$G:$P,9,FALSE),VLOOKUP(AE$83,Cuision!$G:$P,10,FALSE)))</f>
        <v>-1</v>
      </c>
      <c r="AF95" s="33">
        <f>IF($A95=AF$83, 0, distance(VLOOKUP($A95,Cuision!$G:$P,9,FALSE),VLOOKUP($A95,Cuision!$G:$P,10,FALSE),VLOOKUP(AF$83,Cuision!$G:$P,9,FALSE),VLOOKUP(AF$83,Cuision!$G:$P,10,FALSE)))</f>
        <v>-1</v>
      </c>
      <c r="AG95" s="33">
        <f>IF($A95=AG$83, 0, distance(VLOOKUP($A95,Cuision!$G:$P,9,FALSE),VLOOKUP($A95,Cuision!$G:$P,10,FALSE),VLOOKUP(AG$83,Cuision!$G:$P,9,FALSE),VLOOKUP(AG$83,Cuision!$G:$P,10,FALSE)))</f>
        <v>-1</v>
      </c>
      <c r="AH95" s="33">
        <f>IF($A95=AH$83, 0, distance(VLOOKUP($A95,Cuision!$G:$P,9,FALSE),VLOOKUP($A95,Cuision!$G:$P,10,FALSE),VLOOKUP(AH$83,Cuision!$G:$P,9,FALSE),VLOOKUP(AH$83,Cuision!$G:$P,10,FALSE)))</f>
        <v>-1</v>
      </c>
      <c r="AI95" s="33">
        <f>IF($A95=AI$83, 0, distance(VLOOKUP($A95,Cuision!$G:$P,9,FALSE),VLOOKUP($A95,Cuision!$G:$P,10,FALSE),VLOOKUP(AI$83,Cuision!$G:$P,9,FALSE),VLOOKUP(AI$83,Cuision!$G:$P,10,FALSE)))</f>
        <v>-1</v>
      </c>
      <c r="AJ95" s="33">
        <f>IF($A95=AJ$83, 0, distance(VLOOKUP($A95,Cuision!$G:$P,9,FALSE),VLOOKUP($A95,Cuision!$G:$P,10,FALSE),VLOOKUP(AJ$83,Cuision!$G:$P,9,FALSE),VLOOKUP(AJ$83,Cuision!$G:$P,10,FALSE)))</f>
        <v>-1</v>
      </c>
      <c r="AK95" s="33">
        <f>IF($A95=AK$83, 0, distance(VLOOKUP($A95,Cuision!$G:$P,9,FALSE),VLOOKUP($A95,Cuision!$G:$P,10,FALSE),VLOOKUP(AK$83,Cuision!$G:$P,9,FALSE),VLOOKUP(AK$83,Cuision!$G:$P,10,FALSE)))</f>
        <v>-1</v>
      </c>
      <c r="AL95" s="33">
        <f>IF($A95=AL$83, 0, distance(VLOOKUP($A95,Cuision!$G:$P,9,FALSE),VLOOKUP($A95,Cuision!$G:$P,10,FALSE),VLOOKUP(AL$83,Cuision!$G:$P,9,FALSE),VLOOKUP(AL$83,Cuision!$G:$P,10,FALSE)))</f>
        <v>-1</v>
      </c>
      <c r="AM95" s="33">
        <f>IF($A95=AM$83, 0, distance(VLOOKUP($A95,Cuision!$G:$P,9,FALSE),VLOOKUP($A95,Cuision!$G:$P,10,FALSE),VLOOKUP(AM$83,Cuision!$G:$P,9,FALSE),VLOOKUP(AM$83,Cuision!$G:$P,10,FALSE)))</f>
        <v>-1</v>
      </c>
      <c r="AN95" s="33">
        <f>IF($A95=AN$83, 0, distance(VLOOKUP($A95,Cuision!$G:$P,9,FALSE),VLOOKUP($A95,Cuision!$G:$P,10,FALSE),VLOOKUP(AN$83,Cuision!$G:$P,9,FALSE),VLOOKUP(AN$83,Cuision!$G:$P,10,FALSE)))</f>
        <v>-1</v>
      </c>
      <c r="AO95" s="33">
        <f>IF($A95=AO$83, 0, distance(VLOOKUP($A95,Cuision!$G:$P,9,FALSE),VLOOKUP($A95,Cuision!$G:$P,10,FALSE),VLOOKUP(AO$83,Cuision!$G:$P,9,FALSE),VLOOKUP(AO$83,Cuision!$G:$P,10,FALSE)))</f>
        <v>-1</v>
      </c>
      <c r="AP95" s="33">
        <f>IF($A95=AP$83, 0, distance(VLOOKUP($A95,Cuision!$G:$P,9,FALSE),VLOOKUP($A95,Cuision!$G:$P,10,FALSE),VLOOKUP(AP$83,Cuision!$G:$P,9,FALSE),VLOOKUP(AP$83,Cuision!$G:$P,10,FALSE)))</f>
        <v>-1</v>
      </c>
      <c r="AQ95" s="33">
        <f>IF($A95=AQ$83, 0, distance(VLOOKUP($A95,Cuision!$G:$P,9,FALSE),VLOOKUP($A95,Cuision!$G:$P,10,FALSE),VLOOKUP(AQ$83,Cuision!$G:$P,9,FALSE),VLOOKUP(AQ$83,Cuision!$G:$P,10,FALSE)))</f>
        <v>-1</v>
      </c>
      <c r="AR95" s="33">
        <f>IF($A95=AR$83, 0, distance(VLOOKUP($A95,Cuision!$G:$P,9,FALSE),VLOOKUP($A95,Cuision!$G:$P,10,FALSE),VLOOKUP(AR$83,Cuision!$G:$P,9,FALSE),VLOOKUP(AR$83,Cuision!$G:$P,10,FALSE)))</f>
        <v>-1</v>
      </c>
      <c r="AS95" s="33">
        <f>IF($A95=AS$83, 0, distance(VLOOKUP($A95,Cuision!$G:$P,9,FALSE),VLOOKUP($A95,Cuision!$G:$P,10,FALSE),VLOOKUP(AS$83,Cuision!$G:$P,9,FALSE),VLOOKUP(AS$83,Cuision!$G:$P,10,FALSE)))</f>
        <v>-1</v>
      </c>
      <c r="AT95" s="33">
        <f>IF($A95=AT$83, 0, distance(VLOOKUP($A95,Cuision!$G:$P,9,FALSE),VLOOKUP($A95,Cuision!$G:$P,10,FALSE),VLOOKUP(AT$83,Cuision!$G:$P,9,FALSE),VLOOKUP(AT$83,Cuision!$G:$P,10,FALSE)))</f>
        <v>-1</v>
      </c>
      <c r="AU95" s="33">
        <f>IF($A95=AU$83, 0, distance(VLOOKUP($A95,Cuision!$G:$P,9,FALSE),VLOOKUP($A95,Cuision!$G:$P,10,FALSE),VLOOKUP(AU$83,Cuision!$G:$P,9,FALSE),VLOOKUP(AU$83,Cuision!$G:$P,10,FALSE)))</f>
        <v>-1</v>
      </c>
      <c r="AV95" s="33">
        <f>IF($A95=AV$83, 0, distance(VLOOKUP($A95,Cuision!$G:$P,9,FALSE),VLOOKUP($A95,Cuision!$G:$P,10,FALSE),VLOOKUP(AV$83,Cuision!$G:$P,9,FALSE),VLOOKUP(AV$83,Cuision!$G:$P,10,FALSE)))</f>
        <v>-1</v>
      </c>
      <c r="AW95" s="33">
        <f>IF($A95=AW$83, 0, distance(VLOOKUP($A95,Cuision!$G:$P,9,FALSE),VLOOKUP($A95,Cuision!$G:$P,10,FALSE),VLOOKUP(AW$83,Cuision!$G:$P,9,FALSE),VLOOKUP(AW$83,Cuision!$G:$P,10,FALSE)))</f>
        <v>-1</v>
      </c>
      <c r="AX95" s="33">
        <f>IF($A95=AX$83, 0, distance(VLOOKUP($A95,Cuision!$G:$P,9,FALSE),VLOOKUP($A95,Cuision!$G:$P,10,FALSE),VLOOKUP(AX$83,Cuision!$G:$P,9,FALSE),VLOOKUP(AX$83,Cuision!$G:$P,10,FALSE)))</f>
        <v>-1</v>
      </c>
      <c r="AY95" s="33">
        <f>IF($A95=AY$83, 0, distance(VLOOKUP($A95,Cuision!$G:$P,9,FALSE),VLOOKUP($A95,Cuision!$G:$P,10,FALSE),VLOOKUP(AY$83,Cuision!$G:$P,9,FALSE),VLOOKUP(AY$83,Cuision!$G:$P,10,FALSE)))</f>
        <v>-1</v>
      </c>
      <c r="AZ95" s="33">
        <f>IF($A95=AZ$83, 0, distance(VLOOKUP($A95,Cuision!$G:$P,9,FALSE),VLOOKUP($A95,Cuision!$G:$P,10,FALSE),VLOOKUP(AZ$83,Cuision!$G:$P,9,FALSE),VLOOKUP(AZ$83,Cuision!$G:$P,10,FALSE)))</f>
        <v>-1</v>
      </c>
      <c r="BA95" s="33">
        <f>IF($A95=BA$83, 0, distance(VLOOKUP($A95,Cuision!$G:$P,9,FALSE),VLOOKUP($A95,Cuision!$G:$P,10,FALSE),VLOOKUP(BA$83,Cuision!$G:$P,9,FALSE),VLOOKUP(BA$83,Cuision!$G:$P,10,FALSE)))</f>
        <v>-1</v>
      </c>
      <c r="BB95" s="33">
        <f>IF($A95=BB$83, 0, distance(VLOOKUP($A95,Cuision!$G:$P,9,FALSE),VLOOKUP($A95,Cuision!$G:$P,10,FALSE),VLOOKUP(BB$83,Cuision!$G:$P,9,FALSE),VLOOKUP(BB$83,Cuision!$G:$P,10,FALSE)))</f>
        <v>-1</v>
      </c>
      <c r="BC95" s="33">
        <f>IF($A95=BC$83, 0, distance(VLOOKUP($A95,Cuision!$G:$P,9,FALSE),VLOOKUP($A95,Cuision!$G:$P,10,FALSE),VLOOKUP(BC$83,Cuision!$G:$P,9,FALSE),VLOOKUP(BC$83,Cuision!$G:$P,10,FALSE)))</f>
        <v>-1</v>
      </c>
      <c r="BD95" s="33">
        <f>IF($A95=BD$83, 0, distance(VLOOKUP($A95,Cuision!$G:$P,9,FALSE),VLOOKUP($A95,Cuision!$G:$P,10,FALSE),VLOOKUP(BD$83,Cuision!$G:$P,9,FALSE),VLOOKUP(BD$83,Cuision!$G:$P,10,FALSE)))</f>
        <v>-1</v>
      </c>
      <c r="BE95" s="33">
        <f>IF($A95=BE$83, 0, distance(VLOOKUP($A95,Cuision!$G:$P,9,FALSE),VLOOKUP($A95,Cuision!$G:$P,10,FALSE),VLOOKUP(BE$83,Cuision!$G:$P,9,FALSE),VLOOKUP(BE$83,Cuision!$G:$P,10,FALSE)))</f>
        <v>-1</v>
      </c>
      <c r="BF95" s="33">
        <f>IF($A95=BF$83, 0, distance(VLOOKUP($A95,Cuision!$G:$P,9,FALSE),VLOOKUP($A95,Cuision!$G:$P,10,FALSE),VLOOKUP(BF$83,Cuision!$G:$P,9,FALSE),VLOOKUP(BF$83,Cuision!$G:$P,10,FALSE)))</f>
        <v>-1</v>
      </c>
      <c r="BG95" s="33">
        <f>IF($A95=BG$83, 0, distance(VLOOKUP($A95,Cuision!$G:$P,9,FALSE),VLOOKUP($A95,Cuision!$G:$P,10,FALSE),VLOOKUP(BG$83,Cuision!$G:$P,9,FALSE),VLOOKUP(BG$83,Cuision!$G:$P,10,FALSE)))</f>
        <v>-1</v>
      </c>
      <c r="BH95" s="33">
        <f>IF($A95=BH$83, 0, distance(VLOOKUP($A95,Cuision!$G:$P,9,FALSE),VLOOKUP($A95,Cuision!$G:$P,10,FALSE),VLOOKUP(BH$83,Cuision!$G:$P,9,FALSE),VLOOKUP(BH$83,Cuision!$G:$P,10,FALSE)))</f>
        <v>-1</v>
      </c>
      <c r="BI95" s="33">
        <f>IF($A95=BI$83, 0, distance(VLOOKUP($A95,Cuision!$G:$P,9,FALSE),VLOOKUP($A95,Cuision!$G:$P,10,FALSE),VLOOKUP(BI$83,Cuision!$G:$P,9,FALSE),VLOOKUP(BI$83,Cuision!$G:$P,10,FALSE)))</f>
        <v>-1</v>
      </c>
      <c r="BJ95" s="33">
        <f>IF($A95=BJ$83, 0, distance(VLOOKUP($A95,Cuision!$G:$P,9,FALSE),VLOOKUP($A95,Cuision!$G:$P,10,FALSE),VLOOKUP(BJ$83,Cuision!$G:$P,9,FALSE),VLOOKUP(BJ$83,Cuision!$G:$P,10,FALSE)))</f>
        <v>-1</v>
      </c>
      <c r="BK95" s="33">
        <f>IF($A95=BK$83, 0, distance(VLOOKUP($A95,Cuision!$G:$P,9,FALSE),VLOOKUP($A95,Cuision!$G:$P,10,FALSE),VLOOKUP(BK$83,Cuision!$G:$P,9,FALSE),VLOOKUP(BK$83,Cuision!$G:$P,10,FALSE)))</f>
        <v>-1</v>
      </c>
      <c r="BL95" s="33">
        <f>IF($A95=BL$83, 0, distance(VLOOKUP($A95,Cuision!$G:$P,9,FALSE),VLOOKUP($A95,Cuision!$G:$P,10,FALSE),VLOOKUP(BL$83,Cuision!$G:$P,9,FALSE),VLOOKUP(BL$83,Cuision!$G:$P,10,FALSE)))</f>
        <v>-1</v>
      </c>
      <c r="BM95" s="33">
        <f>IF($A95=BM$83, 0, distance(VLOOKUP($A95,Cuision!$G:$P,9,FALSE),VLOOKUP($A95,Cuision!$G:$P,10,FALSE),VLOOKUP(BM$83,Cuision!$G:$P,9,FALSE),VLOOKUP(BM$83,Cuision!$G:$P,10,FALSE)))</f>
        <v>0</v>
      </c>
      <c r="BN95" s="33">
        <f>IF($A95=BN$83, 0, distance(VLOOKUP($A95,Cuision!$G:$P,9,FALSE),VLOOKUP($A95,Cuision!$G:$P,10,FALSE),VLOOKUP(BN$83,Cuision!$G:$P,9,FALSE),VLOOKUP(BN$83,Cuision!$G:$P,10,FALSE)))</f>
        <v>-1</v>
      </c>
      <c r="BO95" s="33">
        <f>IF($A95=BO$83, 0, distance(VLOOKUP($A95,Cuision!$G:$P,9,FALSE),VLOOKUP($A95,Cuision!$G:$P,10,FALSE),VLOOKUP(BO$83,Cuision!$G:$P,9,FALSE),VLOOKUP(BO$83,Cuision!$G:$P,10,FALSE)))</f>
        <v>-1</v>
      </c>
      <c r="BP95" s="33">
        <f>IF($A95=BP$83, 0, distance(VLOOKUP($A95,Cuision!$G:$P,9,FALSE),VLOOKUP($A95,Cuision!$G:$P,10,FALSE),VLOOKUP(BP$83,Cuision!$G:$P,9,FALSE),VLOOKUP(BP$83,Cuision!$G:$P,10,FALSE)))</f>
        <v>-1</v>
      </c>
      <c r="BQ95" s="33">
        <f>IF($A95=BQ$83, 0, distance(VLOOKUP($A95,Cuision!$G:$P,9,FALSE),VLOOKUP($A95,Cuision!$G:$P,10,FALSE),VLOOKUP(BQ$83,Cuision!$G:$P,9,FALSE),VLOOKUP(BQ$83,Cuision!$G:$P,10,FALSE)))</f>
        <v>-1</v>
      </c>
      <c r="BR95" s="33">
        <f>IF($A95=BR$83, 0, distance(VLOOKUP($A95,Cuision!$G:$P,9,FALSE),VLOOKUP($A95,Cuision!$G:$P,10,FALSE),VLOOKUP(BR$83,Cuision!$G:$P,9,FALSE),VLOOKUP(BR$83,Cuision!$G:$P,10,FALSE)))</f>
        <v>-1</v>
      </c>
      <c r="BS95" s="33">
        <f>IF($A95=BS$83, 0, distance(VLOOKUP($A95,Cuision!$G:$P,9,FALSE),VLOOKUP($A95,Cuision!$G:$P,10,FALSE),VLOOKUP(BS$83,Cuision!$G:$P,9,FALSE),VLOOKUP(BS$83,Cuision!$G:$P,10,FALSE)))</f>
        <v>-1</v>
      </c>
      <c r="BT95" s="33">
        <f>IF($A95=BT$83, 0, distance(VLOOKUP($A95,Cuision!$G:$P,9,FALSE),VLOOKUP($A95,Cuision!$G:$P,10,FALSE),VLOOKUP(BT$83,Cuision!$G:$P,9,FALSE),VLOOKUP(BT$83,Cuision!$G:$P,10,FALSE)))</f>
        <v>-1</v>
      </c>
      <c r="BU95" s="33">
        <f>IF($A95=BU$83, 0, distance(VLOOKUP($A95,Cuision!$G:$P,9,FALSE),VLOOKUP($A95,Cuision!$G:$P,10,FALSE),VLOOKUP(BU$83,Cuision!$G:$P,9,FALSE),VLOOKUP(BU$83,Cuision!$G:$P,10,FALSE)))</f>
        <v>-1</v>
      </c>
      <c r="BV95" s="33">
        <f>IF($A95=BV$83, 0, distance(VLOOKUP($A95,Cuision!$G:$P,9,FALSE),VLOOKUP($A95,Cuision!$G:$P,10,FALSE),VLOOKUP(BV$83,Cuision!$G:$P,9,FALSE),VLOOKUP(BV$83,Cuision!$G:$P,10,FALSE)))</f>
        <v>-1</v>
      </c>
      <c r="BW95" s="33">
        <f>IF($A95=BW$83, 0, distance(VLOOKUP($A95,Cuision!$G:$P,9,FALSE),VLOOKUP($A95,Cuision!$G:$P,10,FALSE),VLOOKUP(BW$83,Cuision!$G:$P,9,FALSE),VLOOKUP(BW$83,Cuision!$G:$P,10,FALSE)))</f>
        <v>-1</v>
      </c>
      <c r="BX95" s="33">
        <f>IF($A95=BX$83, 0, distance(VLOOKUP($A95,Cuision!$G:$P,9,FALSE),VLOOKUP($A95,Cuision!$G:$P,10,FALSE),VLOOKUP(BX$83,Cuision!$G:$P,9,FALSE),VLOOKUP(BX$83,Cuision!$G:$P,10,FALSE)))</f>
        <v>-1</v>
      </c>
      <c r="BY95" s="33">
        <f>IF($A95=BY$83, 0, distance(VLOOKUP($A95,Cuision!$G:$P,9,FALSE),VLOOKUP($A95,Cuision!$G:$P,10,FALSE),VLOOKUP(BY$83,Cuision!$G:$P,9,FALSE),VLOOKUP(BY$83,Cuision!$G:$P,10,FALSE)))</f>
        <v>-1</v>
      </c>
      <c r="BZ95" s="33">
        <f>IF($A95=BZ$83, 0, distance(VLOOKUP($A95,Cuision!$G:$P,9,FALSE),VLOOKUP($A95,Cuision!$G:$P,10,FALSE),VLOOKUP(BZ$83,Cuision!$G:$P,9,FALSE),VLOOKUP(BZ$83,Cuision!$G:$P,10,FALSE)))</f>
        <v>-1</v>
      </c>
      <c r="CA95" s="33">
        <f>IF($A95=CA$83, 0, distance(VLOOKUP($A95,Cuision!$G:$P,9,FALSE),VLOOKUP($A95,Cuision!$G:$P,10,FALSE),VLOOKUP(CA$83,Cuision!$G:$P,9,FALSE),VLOOKUP(CA$83,Cuision!$G:$P,10,FALSE)))</f>
        <v>-1</v>
      </c>
    </row>
    <row r="96" spans="1:79" ht="14.25" x14ac:dyDescent="0.2">
      <c r="A96" s="30" t="s">
        <v>53</v>
      </c>
      <c r="B96" s="33">
        <f>IF($A96=B$83, 0, distance(VLOOKUP($A96,Cuision!$G:$P,9,FALSE),VLOOKUP($A96,Cuision!$G:$P,10,FALSE),VLOOKUP(B$83,Cuision!$G:$P,9,FALSE),VLOOKUP(B$83,Cuision!$G:$P,10,FALSE)))</f>
        <v>3902.0380014748603</v>
      </c>
      <c r="C96" s="33">
        <f>IF($A96=C$83, 0, distance(VLOOKUP($A96,Cuision!$G:$P,9,FALSE),VLOOKUP($A96,Cuision!$G:$P,10,FALSE),VLOOKUP(C$83,Cuision!$G:$P,9,FALSE),VLOOKUP(C$83,Cuision!$G:$P,10,FALSE)))</f>
        <v>4181.0014510469164</v>
      </c>
      <c r="D96" s="33">
        <f>IF($A96=D$83, 0, distance(VLOOKUP($A96,Cuision!$G:$P,9,FALSE),VLOOKUP($A96,Cuision!$G:$P,10,FALSE),VLOOKUP(D$83,Cuision!$G:$P,9,FALSE),VLOOKUP(D$83,Cuision!$G:$P,10,FALSE)))</f>
        <v>3783.2693926891457</v>
      </c>
      <c r="E96" s="33">
        <f>IF($A96=E$83, 0, distance(VLOOKUP($A96,Cuision!$G:$P,9,FALSE),VLOOKUP($A96,Cuision!$G:$P,10,FALSE),VLOOKUP(E$83,Cuision!$G:$P,9,FALSE),VLOOKUP(E$83,Cuision!$G:$P,10,FALSE)))</f>
        <v>3783.2693926891457</v>
      </c>
      <c r="F96" s="33">
        <f>IF($A96=F$83, 0, distance(VLOOKUP($A96,Cuision!$G:$P,9,FALSE),VLOOKUP($A96,Cuision!$G:$P,10,FALSE),VLOOKUP(F$83,Cuision!$G:$P,9,FALSE),VLOOKUP(F$83,Cuision!$G:$P,10,FALSE)))</f>
        <v>2699.2022856792228</v>
      </c>
      <c r="G96" s="33">
        <f>IF($A96=G$83, 0, distance(VLOOKUP($A96,Cuision!$G:$P,9,FALSE),VLOOKUP($A96,Cuision!$G:$P,10,FALSE),VLOOKUP(G$83,Cuision!$G:$P,9,FALSE),VLOOKUP(G$83,Cuision!$G:$P,10,FALSE)))</f>
        <v>6241.9215071578274</v>
      </c>
      <c r="H96" s="33">
        <f>IF($A96=H$83, 0, distance(VLOOKUP($A96,Cuision!$G:$P,9,FALSE),VLOOKUP($A96,Cuision!$G:$P,10,FALSE),VLOOKUP(H$83,Cuision!$G:$P,9,FALSE),VLOOKUP(H$83,Cuision!$G:$P,10,FALSE)))</f>
        <v>2507.8131736189293</v>
      </c>
      <c r="I96" s="33">
        <f>IF($A96=I$83, 0, distance(VLOOKUP($A96,Cuision!$G:$P,9,FALSE),VLOOKUP($A96,Cuision!$G:$P,10,FALSE),VLOOKUP(I$83,Cuision!$G:$P,9,FALSE),VLOOKUP(I$83,Cuision!$G:$P,10,FALSE)))</f>
        <v>5392.6916510897654</v>
      </c>
      <c r="J96" s="33">
        <f>IF($A96=J$83, 0, distance(VLOOKUP($A96,Cuision!$G:$P,9,FALSE),VLOOKUP($A96,Cuision!$G:$P,10,FALSE),VLOOKUP(J$83,Cuision!$G:$P,9,FALSE),VLOOKUP(J$83,Cuision!$G:$P,10,FALSE)))</f>
        <v>10918.515608145402</v>
      </c>
      <c r="K96" s="33">
        <f>IF($A96=K$83, 0, distance(VLOOKUP($A96,Cuision!$G:$P,9,FALSE),VLOOKUP($A96,Cuision!$G:$P,10,FALSE),VLOOKUP(K$83,Cuision!$G:$P,9,FALSE),VLOOKUP(K$83,Cuision!$G:$P,10,FALSE)))</f>
        <v>1123.9432343334427</v>
      </c>
      <c r="L96" s="33">
        <f>IF($A96=L$83, 0, distance(VLOOKUP($A96,Cuision!$G:$P,9,FALSE),VLOOKUP($A96,Cuision!$G:$P,10,FALSE),VLOOKUP(L$83,Cuision!$G:$P,9,FALSE),VLOOKUP(L$83,Cuision!$G:$P,10,FALSE)))</f>
        <v>5377.4809840655871</v>
      </c>
      <c r="M96" s="33">
        <f>IF($A96=M$83, 0, distance(VLOOKUP($A96,Cuision!$G:$P,9,FALSE),VLOOKUP($A96,Cuision!$G:$P,10,FALSE),VLOOKUP(M$83,Cuision!$G:$P,9,FALSE),VLOOKUP(M$83,Cuision!$G:$P,10,FALSE)))</f>
        <v>-1</v>
      </c>
      <c r="N96" s="33">
        <f>IF($A96=N$83, 0, distance(VLOOKUP($A96,Cuision!$G:$P,9,FALSE),VLOOKUP($A96,Cuision!$G:$P,10,FALSE),VLOOKUP(N$83,Cuision!$G:$P,9,FALSE),VLOOKUP(N$83,Cuision!$G:$P,10,FALSE)))</f>
        <v>0</v>
      </c>
      <c r="O96" s="33">
        <f>IF($A96=O$83, 0, distance(VLOOKUP($A96,Cuision!$G:$P,9,FALSE),VLOOKUP($A96,Cuision!$G:$P,10,FALSE),VLOOKUP(O$83,Cuision!$G:$P,9,FALSE),VLOOKUP(O$83,Cuision!$G:$P,10,FALSE)))</f>
        <v>817.71380377535468</v>
      </c>
      <c r="P96" s="33">
        <f>IF($A96=P$83, 0, distance(VLOOKUP($A96,Cuision!$G:$P,9,FALSE),VLOOKUP($A96,Cuision!$G:$P,10,FALSE),VLOOKUP(P$83,Cuision!$G:$P,9,FALSE),VLOOKUP(P$83,Cuision!$G:$P,10,FALSE)))</f>
        <v>4808.414862126243</v>
      </c>
      <c r="Q96" s="33">
        <f>IF($A96=Q$83, 0, distance(VLOOKUP($A96,Cuision!$G:$P,9,FALSE),VLOOKUP($A96,Cuision!$G:$P,10,FALSE),VLOOKUP(Q$83,Cuision!$G:$P,9,FALSE),VLOOKUP(Q$83,Cuision!$G:$P,10,FALSE)))</f>
        <v>-1</v>
      </c>
      <c r="R96" s="33">
        <f>IF($A96=R$83, 0, distance(VLOOKUP($A96,Cuision!$G:$P,9,FALSE),VLOOKUP($A96,Cuision!$G:$P,10,FALSE),VLOOKUP(R$83,Cuision!$G:$P,9,FALSE),VLOOKUP(R$83,Cuision!$G:$P,10,FALSE)))</f>
        <v>784.90553114647901</v>
      </c>
      <c r="S96" s="33">
        <f>IF($A96=S$83, 0, distance(VLOOKUP($A96,Cuision!$G:$P,9,FALSE),VLOOKUP($A96,Cuision!$G:$P,10,FALSE),VLOOKUP(S$83,Cuision!$G:$P,9,FALSE),VLOOKUP(S$83,Cuision!$G:$P,10,FALSE)))</f>
        <v>-1</v>
      </c>
      <c r="T96" s="33">
        <f>IF($A96=T$83, 0, distance(VLOOKUP($A96,Cuision!$G:$P,9,FALSE),VLOOKUP($A96,Cuision!$G:$P,10,FALSE),VLOOKUP(T$83,Cuision!$G:$P,9,FALSE),VLOOKUP(T$83,Cuision!$G:$P,10,FALSE)))</f>
        <v>5834.4264171615005</v>
      </c>
      <c r="U96" s="33">
        <f>IF($A96=U$83, 0, distance(VLOOKUP($A96,Cuision!$G:$P,9,FALSE),VLOOKUP($A96,Cuision!$G:$P,10,FALSE),VLOOKUP(U$83,Cuision!$G:$P,9,FALSE),VLOOKUP(U$83,Cuision!$G:$P,10,FALSE)))</f>
        <v>-1</v>
      </c>
      <c r="V96" s="33">
        <f>IF($A96=V$83, 0, distance(VLOOKUP($A96,Cuision!$G:$P,9,FALSE),VLOOKUP($A96,Cuision!$G:$P,10,FALSE),VLOOKUP(V$83,Cuision!$G:$P,9,FALSE),VLOOKUP(V$83,Cuision!$G:$P,10,FALSE)))</f>
        <v>3783.2693926891457</v>
      </c>
      <c r="W96" s="33">
        <f>IF($A96=W$83, 0, distance(VLOOKUP($A96,Cuision!$G:$P,9,FALSE),VLOOKUP($A96,Cuision!$G:$P,10,FALSE),VLOOKUP(W$83,Cuision!$G:$P,9,FALSE),VLOOKUP(W$83,Cuision!$G:$P,10,FALSE)))</f>
        <v>6647.3208068324857</v>
      </c>
      <c r="X96" s="33">
        <f>IF($A96=X$83, 0, distance(VLOOKUP($A96,Cuision!$G:$P,9,FALSE),VLOOKUP($A96,Cuision!$G:$P,10,FALSE),VLOOKUP(X$83,Cuision!$G:$P,9,FALSE),VLOOKUP(X$83,Cuision!$G:$P,10,FALSE)))</f>
        <v>0</v>
      </c>
      <c r="Y96" s="33">
        <f>IF($A96=Y$83, 0, distance(VLOOKUP($A96,Cuision!$G:$P,9,FALSE),VLOOKUP($A96,Cuision!$G:$P,10,FALSE),VLOOKUP(Y$83,Cuision!$G:$P,9,FALSE),VLOOKUP(Y$83,Cuision!$G:$P,10,FALSE)))</f>
        <v>5729.4499419733847</v>
      </c>
      <c r="Z96" s="33">
        <f>IF($A96=Z$83, 0, distance(VLOOKUP($A96,Cuision!$G:$P,9,FALSE),VLOOKUP($A96,Cuision!$G:$P,10,FALSE),VLOOKUP(Z$83,Cuision!$G:$P,9,FALSE),VLOOKUP(Z$83,Cuision!$G:$P,10,FALSE)))</f>
        <v>-1</v>
      </c>
      <c r="AA96" s="33">
        <f>IF($A96=AA$83, 0, distance(VLOOKUP($A96,Cuision!$G:$P,9,FALSE),VLOOKUP($A96,Cuision!$G:$P,10,FALSE),VLOOKUP(AA$83,Cuision!$G:$P,9,FALSE),VLOOKUP(AA$83,Cuision!$G:$P,10,FALSE)))</f>
        <v>4623.0449185729312</v>
      </c>
      <c r="AB96" s="33">
        <f>IF($A96=AB$83, 0, distance(VLOOKUP($A96,Cuision!$G:$P,9,FALSE),VLOOKUP($A96,Cuision!$G:$P,10,FALSE),VLOOKUP(AB$83,Cuision!$G:$P,9,FALSE),VLOOKUP(AB$83,Cuision!$G:$P,10,FALSE)))</f>
        <v>1101.0295637429265</v>
      </c>
      <c r="AC96" s="33">
        <f>IF($A96=AC$83, 0, distance(VLOOKUP($A96,Cuision!$G:$P,9,FALSE),VLOOKUP($A96,Cuision!$G:$P,10,FALSE),VLOOKUP(AC$83,Cuision!$G:$P,9,FALSE),VLOOKUP(AC$83,Cuision!$G:$P,10,FALSE)))</f>
        <v>3383.3410356236627</v>
      </c>
      <c r="AD96" s="33">
        <f>IF($A96=AD$83, 0, distance(VLOOKUP($A96,Cuision!$G:$P,9,FALSE),VLOOKUP($A96,Cuision!$G:$P,10,FALSE),VLOOKUP(AD$83,Cuision!$G:$P,9,FALSE),VLOOKUP(AD$83,Cuision!$G:$P,10,FALSE)))</f>
        <v>7241.8978224343373</v>
      </c>
      <c r="AE96" s="33">
        <f>IF($A96=AE$83, 0, distance(VLOOKUP($A96,Cuision!$G:$P,9,FALSE),VLOOKUP($A96,Cuision!$G:$P,10,FALSE),VLOOKUP(AE$83,Cuision!$G:$P,9,FALSE),VLOOKUP(AE$83,Cuision!$G:$P,10,FALSE)))</f>
        <v>1650.6264556329184</v>
      </c>
      <c r="AF96" s="33">
        <f>IF($A96=AF$83, 0, distance(VLOOKUP($A96,Cuision!$G:$P,9,FALSE),VLOOKUP($A96,Cuision!$G:$P,10,FALSE),VLOOKUP(AF$83,Cuision!$G:$P,9,FALSE),VLOOKUP(AF$83,Cuision!$G:$P,10,FALSE)))</f>
        <v>653.47387203501921</v>
      </c>
      <c r="AG96" s="33">
        <f>IF($A96=AG$83, 0, distance(VLOOKUP($A96,Cuision!$G:$P,9,FALSE),VLOOKUP($A96,Cuision!$G:$P,10,FALSE),VLOOKUP(AG$83,Cuision!$G:$P,9,FALSE),VLOOKUP(AG$83,Cuision!$G:$P,10,FALSE)))</f>
        <v>1161.242928171687</v>
      </c>
      <c r="AH96" s="33">
        <f>IF($A96=AH$83, 0, distance(VLOOKUP($A96,Cuision!$G:$P,9,FALSE),VLOOKUP($A96,Cuision!$G:$P,10,FALSE),VLOOKUP(AH$83,Cuision!$G:$P,9,FALSE),VLOOKUP(AH$83,Cuision!$G:$P,10,FALSE)))</f>
        <v>-1</v>
      </c>
      <c r="AI96" s="33">
        <f>IF($A96=AI$83, 0, distance(VLOOKUP($A96,Cuision!$G:$P,9,FALSE),VLOOKUP($A96,Cuision!$G:$P,10,FALSE),VLOOKUP(AI$83,Cuision!$G:$P,9,FALSE),VLOOKUP(AI$83,Cuision!$G:$P,10,FALSE)))</f>
        <v>1471.7769895082415</v>
      </c>
      <c r="AJ96" s="33">
        <f>IF($A96=AJ$83, 0, distance(VLOOKUP($A96,Cuision!$G:$P,9,FALSE),VLOOKUP($A96,Cuision!$G:$P,10,FALSE),VLOOKUP(AJ$83,Cuision!$G:$P,9,FALSE),VLOOKUP(AJ$83,Cuision!$G:$P,10,FALSE)))</f>
        <v>2699.2022856792228</v>
      </c>
      <c r="AK96" s="33">
        <f>IF($A96=AK$83, 0, distance(VLOOKUP($A96,Cuision!$G:$P,9,FALSE),VLOOKUP($A96,Cuision!$G:$P,10,FALSE),VLOOKUP(AK$83,Cuision!$G:$P,9,FALSE),VLOOKUP(AK$83,Cuision!$G:$P,10,FALSE)))</f>
        <v>7893.5443895767303</v>
      </c>
      <c r="AL96" s="33">
        <f>IF($A96=AL$83, 0, distance(VLOOKUP($A96,Cuision!$G:$P,9,FALSE),VLOOKUP($A96,Cuision!$G:$P,10,FALSE),VLOOKUP(AL$83,Cuision!$G:$P,9,FALSE),VLOOKUP(AL$83,Cuision!$G:$P,10,FALSE)))</f>
        <v>4958.2001222956069</v>
      </c>
      <c r="AM96" s="33">
        <f>IF($A96=AM$83, 0, distance(VLOOKUP($A96,Cuision!$G:$P,9,FALSE),VLOOKUP($A96,Cuision!$G:$P,10,FALSE),VLOOKUP(AM$83,Cuision!$G:$P,9,FALSE),VLOOKUP(AM$83,Cuision!$G:$P,10,FALSE)))</f>
        <v>-1</v>
      </c>
      <c r="AN96" s="33">
        <f>IF($A96=AN$83, 0, distance(VLOOKUP($A96,Cuision!$G:$P,9,FALSE),VLOOKUP($A96,Cuision!$G:$P,10,FALSE),VLOOKUP(AN$83,Cuision!$G:$P,9,FALSE),VLOOKUP(AN$83,Cuision!$G:$P,10,FALSE)))</f>
        <v>1226.3582670805197</v>
      </c>
      <c r="AO96" s="33">
        <f>IF($A96=AO$83, 0, distance(VLOOKUP($A96,Cuision!$G:$P,9,FALSE),VLOOKUP($A96,Cuision!$G:$P,10,FALSE),VLOOKUP(AO$83,Cuision!$G:$P,9,FALSE),VLOOKUP(AO$83,Cuision!$G:$P,10,FALSE)))</f>
        <v>0</v>
      </c>
      <c r="AP96" s="33">
        <f>IF($A96=AP$83, 0, distance(VLOOKUP($A96,Cuision!$G:$P,9,FALSE),VLOOKUP($A96,Cuision!$G:$P,10,FALSE),VLOOKUP(AP$83,Cuision!$G:$P,9,FALSE),VLOOKUP(AP$83,Cuision!$G:$P,10,FALSE)))</f>
        <v>4518.7524609586753</v>
      </c>
      <c r="AQ96" s="33">
        <f>IF($A96=AQ$83, 0, distance(VLOOKUP($A96,Cuision!$G:$P,9,FALSE),VLOOKUP($A96,Cuision!$G:$P,10,FALSE),VLOOKUP(AQ$83,Cuision!$G:$P,9,FALSE),VLOOKUP(AQ$83,Cuision!$G:$P,10,FALSE)))</f>
        <v>7573.7655786686109</v>
      </c>
      <c r="AR96" s="33">
        <f>IF($A96=AR$83, 0, distance(VLOOKUP($A96,Cuision!$G:$P,9,FALSE),VLOOKUP($A96,Cuision!$G:$P,10,FALSE),VLOOKUP(AR$83,Cuision!$G:$P,9,FALSE),VLOOKUP(AR$83,Cuision!$G:$P,10,FALSE)))</f>
        <v>784.90553114647901</v>
      </c>
      <c r="AS96" s="33">
        <f>IF($A96=AS$83, 0, distance(VLOOKUP($A96,Cuision!$G:$P,9,FALSE),VLOOKUP($A96,Cuision!$G:$P,10,FALSE),VLOOKUP(AS$83,Cuision!$G:$P,9,FALSE),VLOOKUP(AS$83,Cuision!$G:$P,10,FALSE)))</f>
        <v>846.50716821574338</v>
      </c>
      <c r="AT96" s="33">
        <f>IF($A96=AT$83, 0, distance(VLOOKUP($A96,Cuision!$G:$P,9,FALSE),VLOOKUP($A96,Cuision!$G:$P,10,FALSE),VLOOKUP(AT$83,Cuision!$G:$P,9,FALSE),VLOOKUP(AT$83,Cuision!$G:$P,10,FALSE)))</f>
        <v>6686.58496596028</v>
      </c>
      <c r="AU96" s="33">
        <f>IF($A96=AU$83, 0, distance(VLOOKUP($A96,Cuision!$G:$P,9,FALSE),VLOOKUP($A96,Cuision!$G:$P,10,FALSE),VLOOKUP(AU$83,Cuision!$G:$P,9,FALSE),VLOOKUP(AU$83,Cuision!$G:$P,10,FALSE)))</f>
        <v>6210.1470377376618</v>
      </c>
      <c r="AV96" s="33">
        <f>IF($A96=AV$83, 0, distance(VLOOKUP($A96,Cuision!$G:$P,9,FALSE),VLOOKUP($A96,Cuision!$G:$P,10,FALSE),VLOOKUP(AV$83,Cuision!$G:$P,9,FALSE),VLOOKUP(AV$83,Cuision!$G:$P,10,FALSE)))</f>
        <v>1955.1180843530524</v>
      </c>
      <c r="AW96" s="33">
        <f>IF($A96=AW$83, 0, distance(VLOOKUP($A96,Cuision!$G:$P,9,FALSE),VLOOKUP($A96,Cuision!$G:$P,10,FALSE),VLOOKUP(AW$83,Cuision!$G:$P,9,FALSE),VLOOKUP(AW$83,Cuision!$G:$P,10,FALSE)))</f>
        <v>6230.8157181243596</v>
      </c>
      <c r="AX96" s="33">
        <f>IF($A96=AX$83, 0, distance(VLOOKUP($A96,Cuision!$G:$P,9,FALSE),VLOOKUP($A96,Cuision!$G:$P,10,FALSE),VLOOKUP(AX$83,Cuision!$G:$P,9,FALSE),VLOOKUP(AX$83,Cuision!$G:$P,10,FALSE)))</f>
        <v>4776.4501453331732</v>
      </c>
      <c r="AY96" s="33">
        <f>IF($A96=AY$83, 0, distance(VLOOKUP($A96,Cuision!$G:$P,9,FALSE),VLOOKUP($A96,Cuision!$G:$P,10,FALSE),VLOOKUP(AY$83,Cuision!$G:$P,9,FALSE),VLOOKUP(AY$83,Cuision!$G:$P,10,FALSE)))</f>
        <v>-1</v>
      </c>
      <c r="AZ96" s="33">
        <f>IF($A96=AZ$83, 0, distance(VLOOKUP($A96,Cuision!$G:$P,9,FALSE),VLOOKUP($A96,Cuision!$G:$P,10,FALSE),VLOOKUP(AZ$83,Cuision!$G:$P,9,FALSE),VLOOKUP(AZ$83,Cuision!$G:$P,10,FALSE)))</f>
        <v>6879.1758972891921</v>
      </c>
      <c r="BA96" s="33">
        <f>IF($A96=BA$83, 0, distance(VLOOKUP($A96,Cuision!$G:$P,9,FALSE),VLOOKUP($A96,Cuision!$G:$P,10,FALSE),VLOOKUP(BA$83,Cuision!$G:$P,9,FALSE),VLOOKUP(BA$83,Cuision!$G:$P,10,FALSE)))</f>
        <v>1255.4025489877538</v>
      </c>
      <c r="BB96" s="33">
        <f>IF($A96=BB$83, 0, distance(VLOOKUP($A96,Cuision!$G:$P,9,FALSE),VLOOKUP($A96,Cuision!$G:$P,10,FALSE),VLOOKUP(BB$83,Cuision!$G:$P,9,FALSE),VLOOKUP(BB$83,Cuision!$G:$P,10,FALSE)))</f>
        <v>5631.0767659003504</v>
      </c>
      <c r="BC96" s="33">
        <f>IF($A96=BC$83, 0, distance(VLOOKUP($A96,Cuision!$G:$P,9,FALSE),VLOOKUP($A96,Cuision!$G:$P,10,FALSE),VLOOKUP(BC$83,Cuision!$G:$P,9,FALSE),VLOOKUP(BC$83,Cuision!$G:$P,10,FALSE)))</f>
        <v>2699.2022856792228</v>
      </c>
      <c r="BD96" s="33">
        <f>IF($A96=BD$83, 0, distance(VLOOKUP($A96,Cuision!$G:$P,9,FALSE),VLOOKUP($A96,Cuision!$G:$P,10,FALSE),VLOOKUP(BD$83,Cuision!$G:$P,9,FALSE),VLOOKUP(BD$83,Cuision!$G:$P,10,FALSE)))</f>
        <v>5004.5552194452966</v>
      </c>
      <c r="BE96" s="33">
        <f>IF($A96=BE$83, 0, distance(VLOOKUP($A96,Cuision!$G:$P,9,FALSE),VLOOKUP($A96,Cuision!$G:$P,10,FALSE),VLOOKUP(BE$83,Cuision!$G:$P,9,FALSE),VLOOKUP(BE$83,Cuision!$G:$P,10,FALSE)))</f>
        <v>475.0815349941451</v>
      </c>
      <c r="BF96" s="33">
        <f>IF($A96=BF$83, 0, distance(VLOOKUP($A96,Cuision!$G:$P,9,FALSE),VLOOKUP($A96,Cuision!$G:$P,10,FALSE),VLOOKUP(BF$83,Cuision!$G:$P,9,FALSE),VLOOKUP(BF$83,Cuision!$G:$P,10,FALSE)))</f>
        <v>4121.6564447714727</v>
      </c>
      <c r="BG96" s="33">
        <f>IF($A96=BG$83, 0, distance(VLOOKUP($A96,Cuision!$G:$P,9,FALSE),VLOOKUP($A96,Cuision!$G:$P,10,FALSE),VLOOKUP(BG$83,Cuision!$G:$P,9,FALSE),VLOOKUP(BG$83,Cuision!$G:$P,10,FALSE)))</f>
        <v>2967.9081899632765</v>
      </c>
      <c r="BH96" s="33">
        <f>IF($A96=BH$83, 0, distance(VLOOKUP($A96,Cuision!$G:$P,9,FALSE),VLOOKUP($A96,Cuision!$G:$P,10,FALSE),VLOOKUP(BH$83,Cuision!$G:$P,9,FALSE),VLOOKUP(BH$83,Cuision!$G:$P,10,FALSE)))</f>
        <v>5907.6861597019188</v>
      </c>
      <c r="BI96" s="33">
        <f>IF($A96=BI$83, 0, distance(VLOOKUP($A96,Cuision!$G:$P,9,FALSE),VLOOKUP($A96,Cuision!$G:$P,10,FALSE),VLOOKUP(BI$83,Cuision!$G:$P,9,FALSE),VLOOKUP(BI$83,Cuision!$G:$P,10,FALSE)))</f>
        <v>1422.4027836810858</v>
      </c>
      <c r="BJ96" s="33">
        <f>IF($A96=BJ$83, 0, distance(VLOOKUP($A96,Cuision!$G:$P,9,FALSE),VLOOKUP($A96,Cuision!$G:$P,10,FALSE),VLOOKUP(BJ$83,Cuision!$G:$P,9,FALSE),VLOOKUP(BJ$83,Cuision!$G:$P,10,FALSE)))</f>
        <v>312.06072791659329</v>
      </c>
      <c r="BK96" s="33">
        <f>IF($A96=BK$83, 0, distance(VLOOKUP($A96,Cuision!$G:$P,9,FALSE),VLOOKUP($A96,Cuision!$G:$P,10,FALSE),VLOOKUP(BK$83,Cuision!$G:$P,9,FALSE),VLOOKUP(BK$83,Cuision!$G:$P,10,FALSE)))</f>
        <v>2137.3495652072015</v>
      </c>
      <c r="BL96" s="33">
        <f>IF($A96=BL$83, 0, distance(VLOOKUP($A96,Cuision!$G:$P,9,FALSE),VLOOKUP($A96,Cuision!$G:$P,10,FALSE),VLOOKUP(BL$83,Cuision!$G:$P,9,FALSE),VLOOKUP(BL$83,Cuision!$G:$P,10,FALSE)))</f>
        <v>-1</v>
      </c>
      <c r="BM96" s="33">
        <f>IF($A96=BM$83, 0, distance(VLOOKUP($A96,Cuision!$G:$P,9,FALSE),VLOOKUP($A96,Cuision!$G:$P,10,FALSE),VLOOKUP(BM$83,Cuision!$G:$P,9,FALSE),VLOOKUP(BM$83,Cuision!$G:$P,10,FALSE)))</f>
        <v>-1</v>
      </c>
      <c r="BN96" s="33">
        <f>IF($A96=BN$83, 0, distance(VLOOKUP($A96,Cuision!$G:$P,9,FALSE),VLOOKUP($A96,Cuision!$G:$P,10,FALSE),VLOOKUP(BN$83,Cuision!$G:$P,9,FALSE),VLOOKUP(BN$83,Cuision!$G:$P,10,FALSE)))</f>
        <v>784.90553114647901</v>
      </c>
      <c r="BO96" s="33">
        <f>IF($A96=BO$83, 0, distance(VLOOKUP($A96,Cuision!$G:$P,9,FALSE),VLOOKUP($A96,Cuision!$G:$P,10,FALSE),VLOOKUP(BO$83,Cuision!$G:$P,9,FALSE),VLOOKUP(BO$83,Cuision!$G:$P,10,FALSE)))</f>
        <v>7075.5210885552169</v>
      </c>
      <c r="BP96" s="33">
        <f>IF($A96=BP$83, 0, distance(VLOOKUP($A96,Cuision!$G:$P,9,FALSE),VLOOKUP($A96,Cuision!$G:$P,10,FALSE),VLOOKUP(BP$83,Cuision!$G:$P,9,FALSE),VLOOKUP(BP$83,Cuision!$G:$P,10,FALSE)))</f>
        <v>1154.4275032314604</v>
      </c>
      <c r="BQ96" s="33">
        <f>IF($A96=BQ$83, 0, distance(VLOOKUP($A96,Cuision!$G:$P,9,FALSE),VLOOKUP($A96,Cuision!$G:$P,10,FALSE),VLOOKUP(BQ$83,Cuision!$G:$P,9,FALSE),VLOOKUP(BQ$83,Cuision!$G:$P,10,FALSE)))</f>
        <v>-1</v>
      </c>
      <c r="BR96" s="33">
        <f>IF($A96=BR$83, 0, distance(VLOOKUP($A96,Cuision!$G:$P,9,FALSE),VLOOKUP($A96,Cuision!$G:$P,10,FALSE),VLOOKUP(BR$83,Cuision!$G:$P,9,FALSE),VLOOKUP(BR$83,Cuision!$G:$P,10,FALSE)))</f>
        <v>3783.2693926891457</v>
      </c>
      <c r="BS96" s="33">
        <f>IF($A96=BS$83, 0, distance(VLOOKUP($A96,Cuision!$G:$P,9,FALSE),VLOOKUP($A96,Cuision!$G:$P,10,FALSE),VLOOKUP(BS$83,Cuision!$G:$P,9,FALSE),VLOOKUP(BS$83,Cuision!$G:$P,10,FALSE)))</f>
        <v>5729.4499419733847</v>
      </c>
      <c r="BT96" s="33">
        <f>IF($A96=BT$83, 0, distance(VLOOKUP($A96,Cuision!$G:$P,9,FALSE),VLOOKUP($A96,Cuision!$G:$P,10,FALSE),VLOOKUP(BT$83,Cuision!$G:$P,9,FALSE),VLOOKUP(BT$83,Cuision!$G:$P,10,FALSE)))</f>
        <v>0</v>
      </c>
      <c r="BU96" s="33">
        <f>IF($A96=BU$83, 0, distance(VLOOKUP($A96,Cuision!$G:$P,9,FALSE),VLOOKUP($A96,Cuision!$G:$P,10,FALSE),VLOOKUP(BU$83,Cuision!$G:$P,9,FALSE),VLOOKUP(BU$83,Cuision!$G:$P,10,FALSE)))</f>
        <v>6326.1478377531812</v>
      </c>
      <c r="BV96" s="33">
        <f>IF($A96=BV$83, 0, distance(VLOOKUP($A96,Cuision!$G:$P,9,FALSE),VLOOKUP($A96,Cuision!$G:$P,10,FALSE),VLOOKUP(BV$83,Cuision!$G:$P,9,FALSE),VLOOKUP(BV$83,Cuision!$G:$P,10,FALSE)))</f>
        <v>1916.0002180308409</v>
      </c>
      <c r="BW96" s="33">
        <f>IF($A96=BW$83, 0, distance(VLOOKUP($A96,Cuision!$G:$P,9,FALSE),VLOOKUP($A96,Cuision!$G:$P,10,FALSE),VLOOKUP(BW$83,Cuision!$G:$P,9,FALSE),VLOOKUP(BW$83,Cuision!$G:$P,10,FALSE)))</f>
        <v>1778.1763277923328</v>
      </c>
      <c r="BX96" s="33">
        <f>IF($A96=BX$83, 0, distance(VLOOKUP($A96,Cuision!$G:$P,9,FALSE),VLOOKUP($A96,Cuision!$G:$P,10,FALSE),VLOOKUP(BX$83,Cuision!$G:$P,9,FALSE),VLOOKUP(BX$83,Cuision!$G:$P,10,FALSE)))</f>
        <v>3692.0775607520509</v>
      </c>
      <c r="BY96" s="33">
        <f>IF($A96=BY$83, 0, distance(VLOOKUP($A96,Cuision!$G:$P,9,FALSE),VLOOKUP($A96,Cuision!$G:$P,10,FALSE),VLOOKUP(BY$83,Cuision!$G:$P,9,FALSE),VLOOKUP(BY$83,Cuision!$G:$P,10,FALSE)))</f>
        <v>-1</v>
      </c>
      <c r="BZ96" s="33">
        <f>IF($A96=BZ$83, 0, distance(VLOOKUP($A96,Cuision!$G:$P,9,FALSE),VLOOKUP($A96,Cuision!$G:$P,10,FALSE),VLOOKUP(BZ$83,Cuision!$G:$P,9,FALSE),VLOOKUP(BZ$83,Cuision!$G:$P,10,FALSE)))</f>
        <v>-1</v>
      </c>
      <c r="CA96" s="33">
        <f>IF($A96=CA$83, 0, distance(VLOOKUP($A96,Cuision!$G:$P,9,FALSE),VLOOKUP($A96,Cuision!$G:$P,10,FALSE),VLOOKUP(CA$83,Cuision!$G:$P,9,FALSE),VLOOKUP(CA$83,Cuision!$G:$P,10,FALSE)))</f>
        <v>6238.3511882028179</v>
      </c>
    </row>
    <row r="97" spans="1:79" ht="14.25" x14ac:dyDescent="0.2">
      <c r="A97" s="30" t="s">
        <v>54</v>
      </c>
      <c r="B97" s="33">
        <f>IF($A97=B$83, 0, distance(VLOOKUP($A97,Cuision!$G:$P,9,FALSE),VLOOKUP($A97,Cuision!$G:$P,10,FALSE),VLOOKUP(B$83,Cuision!$G:$P,9,FALSE),VLOOKUP(B$83,Cuision!$G:$P,10,FALSE)))</f>
        <v>3360.0776149168523</v>
      </c>
      <c r="C97" s="33">
        <f>IF($A97=C$83, 0, distance(VLOOKUP($A97,Cuision!$G:$P,9,FALSE),VLOOKUP($A97,Cuision!$G:$P,10,FALSE),VLOOKUP(C$83,Cuision!$G:$P,9,FALSE),VLOOKUP(C$83,Cuision!$G:$P,10,FALSE)))</f>
        <v>4497.5861148668246</v>
      </c>
      <c r="D97" s="33">
        <f>IF($A97=D$83, 0, distance(VLOOKUP($A97,Cuision!$G:$P,9,FALSE),VLOOKUP($A97,Cuision!$G:$P,10,FALSE),VLOOKUP(D$83,Cuision!$G:$P,9,FALSE),VLOOKUP(D$83,Cuision!$G:$P,10,FALSE)))</f>
        <v>3862.5991612505318</v>
      </c>
      <c r="E97" s="33">
        <f>IF($A97=E$83, 0, distance(VLOOKUP($A97,Cuision!$G:$P,9,FALSE),VLOOKUP($A97,Cuision!$G:$P,10,FALSE),VLOOKUP(E$83,Cuision!$G:$P,9,FALSE),VLOOKUP(E$83,Cuision!$G:$P,10,FALSE)))</f>
        <v>3862.5991612505318</v>
      </c>
      <c r="F97" s="33">
        <f>IF($A97=F$83, 0, distance(VLOOKUP($A97,Cuision!$G:$P,9,FALSE),VLOOKUP($A97,Cuision!$G:$P,10,FALSE),VLOOKUP(F$83,Cuision!$G:$P,9,FALSE),VLOOKUP(F$83,Cuision!$G:$P,10,FALSE)))</f>
        <v>2465.8810927133145</v>
      </c>
      <c r="G97" s="33">
        <f>IF($A97=G$83, 0, distance(VLOOKUP($A97,Cuision!$G:$P,9,FALSE),VLOOKUP($A97,Cuision!$G:$P,10,FALSE),VLOOKUP(G$83,Cuision!$G:$P,9,FALSE),VLOOKUP(G$83,Cuision!$G:$P,10,FALSE)))</f>
        <v>7024.8347873324255</v>
      </c>
      <c r="H97" s="33">
        <f>IF($A97=H$83, 0, distance(VLOOKUP($A97,Cuision!$G:$P,9,FALSE),VLOOKUP($A97,Cuision!$G:$P,10,FALSE),VLOOKUP(H$83,Cuision!$G:$P,9,FALSE),VLOOKUP(H$83,Cuision!$G:$P,10,FALSE)))</f>
        <v>2049.1057667061218</v>
      </c>
      <c r="I97" s="33">
        <f>IF($A97=I$83, 0, distance(VLOOKUP($A97,Cuision!$G:$P,9,FALSE),VLOOKUP($A97,Cuision!$G:$P,10,FALSE),VLOOKUP(I$83,Cuision!$G:$P,9,FALSE),VLOOKUP(I$83,Cuision!$G:$P,10,FALSE)))</f>
        <v>4687.642272737221</v>
      </c>
      <c r="J97" s="33">
        <f>IF($A97=J$83, 0, distance(VLOOKUP($A97,Cuision!$G:$P,9,FALSE),VLOOKUP($A97,Cuision!$G:$P,10,FALSE),VLOOKUP(J$83,Cuision!$G:$P,9,FALSE),VLOOKUP(J$83,Cuision!$G:$P,10,FALSE)))</f>
        <v>10386.823786681021</v>
      </c>
      <c r="K97" s="33">
        <f>IF($A97=K$83, 0, distance(VLOOKUP($A97,Cuision!$G:$P,9,FALSE),VLOOKUP($A97,Cuision!$G:$P,10,FALSE),VLOOKUP(K$83,Cuision!$G:$P,9,FALSE),VLOOKUP(K$83,Cuision!$G:$P,10,FALSE)))</f>
        <v>568.26178669992169</v>
      </c>
      <c r="L97" s="33">
        <f>IF($A97=L$83, 0, distance(VLOOKUP($A97,Cuision!$G:$P,9,FALSE),VLOOKUP($A97,Cuision!$G:$P,10,FALSE),VLOOKUP(L$83,Cuision!$G:$P,9,FALSE),VLOOKUP(L$83,Cuision!$G:$P,10,FALSE)))</f>
        <v>4796.0692246890885</v>
      </c>
      <c r="M97" s="33">
        <f>IF($A97=M$83, 0, distance(VLOOKUP($A97,Cuision!$G:$P,9,FALSE),VLOOKUP($A97,Cuision!$G:$P,10,FALSE),VLOOKUP(M$83,Cuision!$G:$P,9,FALSE),VLOOKUP(M$83,Cuision!$G:$P,10,FALSE)))</f>
        <v>-1</v>
      </c>
      <c r="N97" s="33">
        <f>IF($A97=N$83, 0, distance(VLOOKUP($A97,Cuision!$G:$P,9,FALSE),VLOOKUP($A97,Cuision!$G:$P,10,FALSE),VLOOKUP(N$83,Cuision!$G:$P,9,FALSE),VLOOKUP(N$83,Cuision!$G:$P,10,FALSE)))</f>
        <v>817.71380377535468</v>
      </c>
      <c r="O97" s="33">
        <f>IF($A97=O$83, 0, distance(VLOOKUP($A97,Cuision!$G:$P,9,FALSE),VLOOKUP($A97,Cuision!$G:$P,10,FALSE),VLOOKUP(O$83,Cuision!$G:$P,9,FALSE),VLOOKUP(O$83,Cuision!$G:$P,10,FALSE)))</f>
        <v>0</v>
      </c>
      <c r="P97" s="33">
        <f>IF($A97=P$83, 0, distance(VLOOKUP($A97,Cuision!$G:$P,9,FALSE),VLOOKUP($A97,Cuision!$G:$P,10,FALSE),VLOOKUP(P$83,Cuision!$G:$P,9,FALSE),VLOOKUP(P$83,Cuision!$G:$P,10,FALSE)))</f>
        <v>5578.7276228351775</v>
      </c>
      <c r="Q97" s="33">
        <f>IF($A97=Q$83, 0, distance(VLOOKUP($A97,Cuision!$G:$P,9,FALSE),VLOOKUP($A97,Cuision!$G:$P,10,FALSE),VLOOKUP(Q$83,Cuision!$G:$P,9,FALSE),VLOOKUP(Q$83,Cuision!$G:$P,10,FALSE)))</f>
        <v>-1</v>
      </c>
      <c r="R97" s="33">
        <f>IF($A97=R$83, 0, distance(VLOOKUP($A97,Cuision!$G:$P,9,FALSE),VLOOKUP($A97,Cuision!$G:$P,10,FALSE),VLOOKUP(R$83,Cuision!$G:$P,9,FALSE),VLOOKUP(R$83,Cuision!$G:$P,10,FALSE)))</f>
        <v>199.28363710695942</v>
      </c>
      <c r="S97" s="33">
        <f>IF($A97=S$83, 0, distance(VLOOKUP($A97,Cuision!$G:$P,9,FALSE),VLOOKUP($A97,Cuision!$G:$P,10,FALSE),VLOOKUP(S$83,Cuision!$G:$P,9,FALSE),VLOOKUP(S$83,Cuision!$G:$P,10,FALSE)))</f>
        <v>-1</v>
      </c>
      <c r="T97" s="33">
        <f>IF($A97=T$83, 0, distance(VLOOKUP($A97,Cuision!$G:$P,9,FALSE),VLOOKUP($A97,Cuision!$G:$P,10,FALSE),VLOOKUP(T$83,Cuision!$G:$P,9,FALSE),VLOOKUP(T$83,Cuision!$G:$P,10,FALSE)))</f>
        <v>5244.0103161885991</v>
      </c>
      <c r="U97" s="33">
        <f>IF($A97=U$83, 0, distance(VLOOKUP($A97,Cuision!$G:$P,9,FALSE),VLOOKUP($A97,Cuision!$G:$P,10,FALSE),VLOOKUP(U$83,Cuision!$G:$P,9,FALSE),VLOOKUP(U$83,Cuision!$G:$P,10,FALSE)))</f>
        <v>-1</v>
      </c>
      <c r="V97" s="33">
        <f>IF($A97=V$83, 0, distance(VLOOKUP($A97,Cuision!$G:$P,9,FALSE),VLOOKUP($A97,Cuision!$G:$P,10,FALSE),VLOOKUP(V$83,Cuision!$G:$P,9,FALSE),VLOOKUP(V$83,Cuision!$G:$P,10,FALSE)))</f>
        <v>3862.5991612505318</v>
      </c>
      <c r="W97" s="33">
        <f>IF($A97=W$83, 0, distance(VLOOKUP($A97,Cuision!$G:$P,9,FALSE),VLOOKUP($A97,Cuision!$G:$P,10,FALSE),VLOOKUP(W$83,Cuision!$G:$P,9,FALSE),VLOOKUP(W$83,Cuision!$G:$P,10,FALSE)))</f>
        <v>6052.0263978474723</v>
      </c>
      <c r="X97" s="33">
        <f>IF($A97=X$83, 0, distance(VLOOKUP($A97,Cuision!$G:$P,9,FALSE),VLOOKUP($A97,Cuision!$G:$P,10,FALSE),VLOOKUP(X$83,Cuision!$G:$P,9,FALSE),VLOOKUP(X$83,Cuision!$G:$P,10,FALSE)))</f>
        <v>817.71380377535468</v>
      </c>
      <c r="Y97" s="33">
        <f>IF($A97=Y$83, 0, distance(VLOOKUP($A97,Cuision!$G:$P,9,FALSE),VLOOKUP($A97,Cuision!$G:$P,10,FALSE),VLOOKUP(Y$83,Cuision!$G:$P,9,FALSE),VLOOKUP(Y$83,Cuision!$G:$P,10,FALSE)))</f>
        <v>4946.4703786708014</v>
      </c>
      <c r="Z97" s="33">
        <f>IF($A97=Z$83, 0, distance(VLOOKUP($A97,Cuision!$G:$P,9,FALSE),VLOOKUP($A97,Cuision!$G:$P,10,FALSE),VLOOKUP(Z$83,Cuision!$G:$P,9,FALSE),VLOOKUP(Z$83,Cuision!$G:$P,10,FALSE)))</f>
        <v>-1</v>
      </c>
      <c r="AA97" s="33">
        <f>IF($A97=AA$83, 0, distance(VLOOKUP($A97,Cuision!$G:$P,9,FALSE),VLOOKUP($A97,Cuision!$G:$P,10,FALSE),VLOOKUP(AA$83,Cuision!$G:$P,9,FALSE),VLOOKUP(AA$83,Cuision!$G:$P,10,FALSE)))</f>
        <v>4854.2841786112112</v>
      </c>
      <c r="AB97" s="33">
        <f>IF($A97=AB$83, 0, distance(VLOOKUP($A97,Cuision!$G:$P,9,FALSE),VLOOKUP($A97,Cuision!$G:$P,10,FALSE),VLOOKUP(AB$83,Cuision!$G:$P,9,FALSE),VLOOKUP(AB$83,Cuision!$G:$P,10,FALSE)))</f>
        <v>445.5715314882097</v>
      </c>
      <c r="AC97" s="33">
        <f>IF($A97=AC$83, 0, distance(VLOOKUP($A97,Cuision!$G:$P,9,FALSE),VLOOKUP($A97,Cuision!$G:$P,10,FALSE),VLOOKUP(AC$83,Cuision!$G:$P,9,FALSE),VLOOKUP(AC$83,Cuision!$G:$P,10,FALSE)))</f>
        <v>3489.0499827219542</v>
      </c>
      <c r="AD97" s="33">
        <f>IF($A97=AD$83, 0, distance(VLOOKUP($A97,Cuision!$G:$P,9,FALSE),VLOOKUP($A97,Cuision!$G:$P,10,FALSE),VLOOKUP(AD$83,Cuision!$G:$P,9,FALSE),VLOOKUP(AD$83,Cuision!$G:$P,10,FALSE)))</f>
        <v>6528.6624114404267</v>
      </c>
      <c r="AE97" s="33">
        <f>IF($A97=AE$83, 0, distance(VLOOKUP($A97,Cuision!$G:$P,9,FALSE),VLOOKUP($A97,Cuision!$G:$P,10,FALSE),VLOOKUP(AE$83,Cuision!$G:$P,9,FALSE),VLOOKUP(AE$83,Cuision!$G:$P,10,FALSE)))</f>
        <v>844.6721833135158</v>
      </c>
      <c r="AF97" s="33">
        <f>IF($A97=AF$83, 0, distance(VLOOKUP($A97,Cuision!$G:$P,9,FALSE),VLOOKUP($A97,Cuision!$G:$P,10,FALSE),VLOOKUP(AF$83,Cuision!$G:$P,9,FALSE),VLOOKUP(AF$83,Cuision!$G:$P,10,FALSE)))</f>
        <v>164.3999675744752</v>
      </c>
      <c r="AG97" s="33">
        <f>IF($A97=AG$83, 0, distance(VLOOKUP($A97,Cuision!$G:$P,9,FALSE),VLOOKUP($A97,Cuision!$G:$P,10,FALSE),VLOOKUP(AG$83,Cuision!$G:$P,9,FALSE),VLOOKUP(AG$83,Cuision!$G:$P,10,FALSE)))</f>
        <v>404.55604995888916</v>
      </c>
      <c r="AH97" s="33">
        <f>IF($A97=AH$83, 0, distance(VLOOKUP($A97,Cuision!$G:$P,9,FALSE),VLOOKUP($A97,Cuision!$G:$P,10,FALSE),VLOOKUP(AH$83,Cuision!$G:$P,9,FALSE),VLOOKUP(AH$83,Cuision!$G:$P,10,FALSE)))</f>
        <v>-1</v>
      </c>
      <c r="AI97" s="33">
        <f>IF($A97=AI$83, 0, distance(VLOOKUP($A97,Cuision!$G:$P,9,FALSE),VLOOKUP($A97,Cuision!$G:$P,10,FALSE),VLOOKUP(AI$83,Cuision!$G:$P,9,FALSE),VLOOKUP(AI$83,Cuision!$G:$P,10,FALSE)))</f>
        <v>1298.1544870772743</v>
      </c>
      <c r="AJ97" s="33">
        <f>IF($A97=AJ$83, 0, distance(VLOOKUP($A97,Cuision!$G:$P,9,FALSE),VLOOKUP($A97,Cuision!$G:$P,10,FALSE),VLOOKUP(AJ$83,Cuision!$G:$P,9,FALSE),VLOOKUP(AJ$83,Cuision!$G:$P,10,FALSE)))</f>
        <v>2465.8810927133145</v>
      </c>
      <c r="AK97" s="33">
        <f>IF($A97=AK$83, 0, distance(VLOOKUP($A97,Cuision!$G:$P,9,FALSE),VLOOKUP($A97,Cuision!$G:$P,10,FALSE),VLOOKUP(AK$83,Cuision!$G:$P,9,FALSE),VLOOKUP(AK$83,Cuision!$G:$P,10,FALSE)))</f>
        <v>7398.1416612862013</v>
      </c>
      <c r="AL97" s="33">
        <f>IF($A97=AL$83, 0, distance(VLOOKUP($A97,Cuision!$G:$P,9,FALSE),VLOOKUP($A97,Cuision!$G:$P,10,FALSE),VLOOKUP(AL$83,Cuision!$G:$P,9,FALSE),VLOOKUP(AL$83,Cuision!$G:$P,10,FALSE)))</f>
        <v>4378.2727259254261</v>
      </c>
      <c r="AM97" s="33">
        <f>IF($A97=AM$83, 0, distance(VLOOKUP($A97,Cuision!$G:$P,9,FALSE),VLOOKUP($A97,Cuision!$G:$P,10,FALSE),VLOOKUP(AM$83,Cuision!$G:$P,9,FALSE),VLOOKUP(AM$83,Cuision!$G:$P,10,FALSE)))</f>
        <v>-1</v>
      </c>
      <c r="AN97" s="33">
        <f>IF($A97=AN$83, 0, distance(VLOOKUP($A97,Cuision!$G:$P,9,FALSE),VLOOKUP($A97,Cuision!$G:$P,10,FALSE),VLOOKUP(AN$83,Cuision!$G:$P,9,FALSE),VLOOKUP(AN$83,Cuision!$G:$P,10,FALSE)))</f>
        <v>701.28946530383689</v>
      </c>
      <c r="AO97" s="33">
        <f>IF($A97=AO$83, 0, distance(VLOOKUP($A97,Cuision!$G:$P,9,FALSE),VLOOKUP($A97,Cuision!$G:$P,10,FALSE),VLOOKUP(AO$83,Cuision!$G:$P,9,FALSE),VLOOKUP(AO$83,Cuision!$G:$P,10,FALSE)))</f>
        <v>817.71380377535468</v>
      </c>
      <c r="AP97" s="33">
        <f>IF($A97=AP$83, 0, distance(VLOOKUP($A97,Cuision!$G:$P,9,FALSE),VLOOKUP($A97,Cuision!$G:$P,10,FALSE),VLOOKUP(AP$83,Cuision!$G:$P,9,FALSE),VLOOKUP(AP$83,Cuision!$G:$P,10,FALSE)))</f>
        <v>3983.9019259592696</v>
      </c>
      <c r="AQ97" s="33">
        <f>IF($A97=AQ$83, 0, distance(VLOOKUP($A97,Cuision!$G:$P,9,FALSE),VLOOKUP($A97,Cuision!$G:$P,10,FALSE),VLOOKUP(AQ$83,Cuision!$G:$P,9,FALSE),VLOOKUP(AQ$83,Cuision!$G:$P,10,FALSE)))</f>
        <v>7095.0938065903119</v>
      </c>
      <c r="AR97" s="33">
        <f>IF($A97=AR$83, 0, distance(VLOOKUP($A97,Cuision!$G:$P,9,FALSE),VLOOKUP($A97,Cuision!$G:$P,10,FALSE),VLOOKUP(AR$83,Cuision!$G:$P,9,FALSE),VLOOKUP(AR$83,Cuision!$G:$P,10,FALSE)))</f>
        <v>199.28363710695942</v>
      </c>
      <c r="AS97" s="33">
        <f>IF($A97=AS$83, 0, distance(VLOOKUP($A97,Cuision!$G:$P,9,FALSE),VLOOKUP($A97,Cuision!$G:$P,10,FALSE),VLOOKUP(AS$83,Cuision!$G:$P,9,FALSE),VLOOKUP(AS$83,Cuision!$G:$P,10,FALSE)))</f>
        <v>729.37019135486184</v>
      </c>
      <c r="AT97" s="33">
        <f>IF($A97=AT$83, 0, distance(VLOOKUP($A97,Cuision!$G:$P,9,FALSE),VLOOKUP($A97,Cuision!$G:$P,10,FALSE),VLOOKUP(AT$83,Cuision!$G:$P,9,FALSE),VLOOKUP(AT$83,Cuision!$G:$P,10,FALSE)))</f>
        <v>5870.5208873402262</v>
      </c>
      <c r="AU97" s="33">
        <f>IF($A97=AU$83, 0, distance(VLOOKUP($A97,Cuision!$G:$P,9,FALSE),VLOOKUP($A97,Cuision!$G:$P,10,FALSE),VLOOKUP(AU$83,Cuision!$G:$P,9,FALSE),VLOOKUP(AU$83,Cuision!$G:$P,10,FALSE)))</f>
        <v>5408.8344294832923</v>
      </c>
      <c r="AV97" s="33">
        <f>IF($A97=AV$83, 0, distance(VLOOKUP($A97,Cuision!$G:$P,9,FALSE),VLOOKUP($A97,Cuision!$G:$P,10,FALSE),VLOOKUP(AV$83,Cuision!$G:$P,9,FALSE),VLOOKUP(AV$83,Cuision!$G:$P,10,FALSE)))</f>
        <v>1738.2460013891666</v>
      </c>
      <c r="AW97" s="33">
        <f>IF($A97=AW$83, 0, distance(VLOOKUP($A97,Cuision!$G:$P,9,FALSE),VLOOKUP($A97,Cuision!$G:$P,10,FALSE),VLOOKUP(AW$83,Cuision!$G:$P,9,FALSE),VLOOKUP(AW$83,Cuision!$G:$P,10,FALSE)))</f>
        <v>5609.7306032098786</v>
      </c>
      <c r="AX97" s="33">
        <f>IF($A97=AX$83, 0, distance(VLOOKUP($A97,Cuision!$G:$P,9,FALSE),VLOOKUP($A97,Cuision!$G:$P,10,FALSE),VLOOKUP(AX$83,Cuision!$G:$P,9,FALSE),VLOOKUP(AX$83,Cuision!$G:$P,10,FALSE)))</f>
        <v>5424.2454677366695</v>
      </c>
      <c r="AY97" s="33">
        <f>IF($A97=AY$83, 0, distance(VLOOKUP($A97,Cuision!$G:$P,9,FALSE),VLOOKUP($A97,Cuision!$G:$P,10,FALSE),VLOOKUP(AY$83,Cuision!$G:$P,9,FALSE),VLOOKUP(AY$83,Cuision!$G:$P,10,FALSE)))</f>
        <v>-1</v>
      </c>
      <c r="AZ97" s="33">
        <f>IF($A97=AZ$83, 0, distance(VLOOKUP($A97,Cuision!$G:$P,9,FALSE),VLOOKUP($A97,Cuision!$G:$P,10,FALSE),VLOOKUP(AZ$83,Cuision!$G:$P,9,FALSE),VLOOKUP(AZ$83,Cuision!$G:$P,10,FALSE)))</f>
        <v>6368.8001474384218</v>
      </c>
      <c r="BA97" s="33">
        <f>IF($A97=BA$83, 0, distance(VLOOKUP($A97,Cuision!$G:$P,9,FALSE),VLOOKUP($A97,Cuision!$G:$P,10,FALSE),VLOOKUP(BA$83,Cuision!$G:$P,9,FALSE),VLOOKUP(BA$83,Cuision!$G:$P,10,FALSE)))</f>
        <v>1318.6264581815622</v>
      </c>
      <c r="BB97" s="33">
        <f>IF($A97=BB$83, 0, distance(VLOOKUP($A97,Cuision!$G:$P,9,FALSE),VLOOKUP($A97,Cuision!$G:$P,10,FALSE),VLOOKUP(BB$83,Cuision!$G:$P,9,FALSE),VLOOKUP(BB$83,Cuision!$G:$P,10,FALSE)))</f>
        <v>5745.1858365603048</v>
      </c>
      <c r="BC97" s="33">
        <f>IF($A97=BC$83, 0, distance(VLOOKUP($A97,Cuision!$G:$P,9,FALSE),VLOOKUP($A97,Cuision!$G:$P,10,FALSE),VLOOKUP(BC$83,Cuision!$G:$P,9,FALSE),VLOOKUP(BC$83,Cuision!$G:$P,10,FALSE)))</f>
        <v>2465.8810927133145</v>
      </c>
      <c r="BD97" s="33">
        <f>IF($A97=BD$83, 0, distance(VLOOKUP($A97,Cuision!$G:$P,9,FALSE),VLOOKUP($A97,Cuision!$G:$P,10,FALSE),VLOOKUP(BD$83,Cuision!$G:$P,9,FALSE),VLOOKUP(BD$83,Cuision!$G:$P,10,FALSE)))</f>
        <v>4219.6118057798676</v>
      </c>
      <c r="BE97" s="33">
        <f>IF($A97=BE$83, 0, distance(VLOOKUP($A97,Cuision!$G:$P,9,FALSE),VLOOKUP($A97,Cuision!$G:$P,10,FALSE),VLOOKUP(BE$83,Cuision!$G:$P,9,FALSE),VLOOKUP(BE$83,Cuision!$G:$P,10,FALSE)))</f>
        <v>1292.2858423960856</v>
      </c>
      <c r="BF97" s="33">
        <f>IF($A97=BF$83, 0, distance(VLOOKUP($A97,Cuision!$G:$P,9,FALSE),VLOOKUP($A97,Cuision!$G:$P,10,FALSE),VLOOKUP(BF$83,Cuision!$G:$P,9,FALSE),VLOOKUP(BF$83,Cuision!$G:$P,10,FALSE)))</f>
        <v>3564.0440398163296</v>
      </c>
      <c r="BG97" s="33">
        <f>IF($A97=BG$83, 0, distance(VLOOKUP($A97,Cuision!$G:$P,9,FALSE),VLOOKUP($A97,Cuision!$G:$P,10,FALSE),VLOOKUP(BG$83,Cuision!$G:$P,9,FALSE),VLOOKUP(BG$83,Cuision!$G:$P,10,FALSE)))</f>
        <v>2536.253562844719</v>
      </c>
      <c r="BH97" s="33">
        <f>IF($A97=BH$83, 0, distance(VLOOKUP($A97,Cuision!$G:$P,9,FALSE),VLOOKUP($A97,Cuision!$G:$P,10,FALSE),VLOOKUP(BH$83,Cuision!$G:$P,9,FALSE),VLOOKUP(BH$83,Cuision!$G:$P,10,FALSE)))</f>
        <v>6492.324428941286</v>
      </c>
      <c r="BI97" s="33">
        <f>IF($A97=BI$83, 0, distance(VLOOKUP($A97,Cuision!$G:$P,9,FALSE),VLOOKUP($A97,Cuision!$G:$P,10,FALSE),VLOOKUP(BI$83,Cuision!$G:$P,9,FALSE),VLOOKUP(BI$83,Cuision!$G:$P,10,FALSE)))</f>
        <v>720.59523334443782</v>
      </c>
      <c r="BJ97" s="33">
        <f>IF($A97=BJ$83, 0, distance(VLOOKUP($A97,Cuision!$G:$P,9,FALSE),VLOOKUP($A97,Cuision!$G:$P,10,FALSE),VLOOKUP(BJ$83,Cuision!$G:$P,9,FALSE),VLOOKUP(BJ$83,Cuision!$G:$P,10,FALSE)))</f>
        <v>1063.8700590329406</v>
      </c>
      <c r="BK97" s="33">
        <f>IF($A97=BK$83, 0, distance(VLOOKUP($A97,Cuision!$G:$P,9,FALSE),VLOOKUP($A97,Cuision!$G:$P,10,FALSE),VLOOKUP(BK$83,Cuision!$G:$P,9,FALSE),VLOOKUP(BK$83,Cuision!$G:$P,10,FALSE)))</f>
        <v>1400.0586504498972</v>
      </c>
      <c r="BL97" s="33">
        <f>IF($A97=BL$83, 0, distance(VLOOKUP($A97,Cuision!$G:$P,9,FALSE),VLOOKUP($A97,Cuision!$G:$P,10,FALSE),VLOOKUP(BL$83,Cuision!$G:$P,9,FALSE),VLOOKUP(BL$83,Cuision!$G:$P,10,FALSE)))</f>
        <v>-1</v>
      </c>
      <c r="BM97" s="33">
        <f>IF($A97=BM$83, 0, distance(VLOOKUP($A97,Cuision!$G:$P,9,FALSE),VLOOKUP($A97,Cuision!$G:$P,10,FALSE),VLOOKUP(BM$83,Cuision!$G:$P,9,FALSE),VLOOKUP(BM$83,Cuision!$G:$P,10,FALSE)))</f>
        <v>-1</v>
      </c>
      <c r="BN97" s="33">
        <f>IF($A97=BN$83, 0, distance(VLOOKUP($A97,Cuision!$G:$P,9,FALSE),VLOOKUP($A97,Cuision!$G:$P,10,FALSE),VLOOKUP(BN$83,Cuision!$G:$P,9,FALSE),VLOOKUP(BN$83,Cuision!$G:$P,10,FALSE)))</f>
        <v>199.28363710695942</v>
      </c>
      <c r="BO97" s="33">
        <f>IF($A97=BO$83, 0, distance(VLOOKUP($A97,Cuision!$G:$P,9,FALSE),VLOOKUP($A97,Cuision!$G:$P,10,FALSE),VLOOKUP(BO$83,Cuision!$G:$P,9,FALSE),VLOOKUP(BO$83,Cuision!$G:$P,10,FALSE)))</f>
        <v>6561.8115416554701</v>
      </c>
      <c r="BP97" s="33">
        <f>IF($A97=BP$83, 0, distance(VLOOKUP($A97,Cuision!$G:$P,9,FALSE),VLOOKUP($A97,Cuision!$G:$P,10,FALSE),VLOOKUP(BP$83,Cuision!$G:$P,9,FALSE),VLOOKUP(BP$83,Cuision!$G:$P,10,FALSE)))</f>
        <v>601.25939208679574</v>
      </c>
      <c r="BQ97" s="33">
        <f>IF($A97=BQ$83, 0, distance(VLOOKUP($A97,Cuision!$G:$P,9,FALSE),VLOOKUP($A97,Cuision!$G:$P,10,FALSE),VLOOKUP(BQ$83,Cuision!$G:$P,9,FALSE),VLOOKUP(BQ$83,Cuision!$G:$P,10,FALSE)))</f>
        <v>-1</v>
      </c>
      <c r="BR97" s="33">
        <f>IF($A97=BR$83, 0, distance(VLOOKUP($A97,Cuision!$G:$P,9,FALSE),VLOOKUP($A97,Cuision!$G:$P,10,FALSE),VLOOKUP(BR$83,Cuision!$G:$P,9,FALSE),VLOOKUP(BR$83,Cuision!$G:$P,10,FALSE)))</f>
        <v>3862.5991612505318</v>
      </c>
      <c r="BS97" s="33">
        <f>IF($A97=BS$83, 0, distance(VLOOKUP($A97,Cuision!$G:$P,9,FALSE),VLOOKUP($A97,Cuision!$G:$P,10,FALSE),VLOOKUP(BS$83,Cuision!$G:$P,9,FALSE),VLOOKUP(BS$83,Cuision!$G:$P,10,FALSE)))</f>
        <v>4946.4703786708014</v>
      </c>
      <c r="BT97" s="33">
        <f>IF($A97=BT$83, 0, distance(VLOOKUP($A97,Cuision!$G:$P,9,FALSE),VLOOKUP($A97,Cuision!$G:$P,10,FALSE),VLOOKUP(BT$83,Cuision!$G:$P,9,FALSE),VLOOKUP(BT$83,Cuision!$G:$P,10,FALSE)))</f>
        <v>817.71380377535468</v>
      </c>
      <c r="BU97" s="33">
        <f>IF($A97=BU$83, 0, distance(VLOOKUP($A97,Cuision!$G:$P,9,FALSE),VLOOKUP($A97,Cuision!$G:$P,10,FALSE),VLOOKUP(BU$83,Cuision!$G:$P,9,FALSE),VLOOKUP(BU$83,Cuision!$G:$P,10,FALSE)))</f>
        <v>5747.407505866925</v>
      </c>
      <c r="BV97" s="33">
        <f>IF($A97=BV$83, 0, distance(VLOOKUP($A97,Cuision!$G:$P,9,FALSE),VLOOKUP($A97,Cuision!$G:$P,10,FALSE),VLOOKUP(BV$83,Cuision!$G:$P,9,FALSE),VLOOKUP(BV$83,Cuision!$G:$P,10,FALSE)))</f>
        <v>1561.7293174868003</v>
      </c>
      <c r="BW97" s="33">
        <f>IF($A97=BW$83, 0, distance(VLOOKUP($A97,Cuision!$G:$P,9,FALSE),VLOOKUP($A97,Cuision!$G:$P,10,FALSE),VLOOKUP(BW$83,Cuision!$G:$P,9,FALSE),VLOOKUP(BW$83,Cuision!$G:$P,10,FALSE)))</f>
        <v>1140.7495102246889</v>
      </c>
      <c r="BX97" s="33">
        <f>IF($A97=BX$83, 0, distance(VLOOKUP($A97,Cuision!$G:$P,9,FALSE),VLOOKUP($A97,Cuision!$G:$P,10,FALSE),VLOOKUP(BX$83,Cuision!$G:$P,9,FALSE),VLOOKUP(BX$83,Cuision!$G:$P,10,FALSE)))</f>
        <v>3076.0707134043128</v>
      </c>
      <c r="BY97" s="33">
        <f>IF($A97=BY$83, 0, distance(VLOOKUP($A97,Cuision!$G:$P,9,FALSE),VLOOKUP($A97,Cuision!$G:$P,10,FALSE),VLOOKUP(BY$83,Cuision!$G:$P,9,FALSE),VLOOKUP(BY$83,Cuision!$G:$P,10,FALSE)))</f>
        <v>-1</v>
      </c>
      <c r="BZ97" s="33">
        <f>IF($A97=BZ$83, 0, distance(VLOOKUP($A97,Cuision!$G:$P,9,FALSE),VLOOKUP($A97,Cuision!$G:$P,10,FALSE),VLOOKUP(BZ$83,Cuision!$G:$P,9,FALSE),VLOOKUP(BZ$83,Cuision!$G:$P,10,FALSE)))</f>
        <v>-1</v>
      </c>
      <c r="CA97" s="33">
        <f>IF($A97=CA$83, 0, distance(VLOOKUP($A97,Cuision!$G:$P,9,FALSE),VLOOKUP($A97,Cuision!$G:$P,10,FALSE),VLOOKUP(CA$83,Cuision!$G:$P,9,FALSE),VLOOKUP(CA$83,Cuision!$G:$P,10,FALSE)))</f>
        <v>5578.9038602156088</v>
      </c>
    </row>
    <row r="98" spans="1:79" ht="14.25" x14ac:dyDescent="0.2">
      <c r="A98" s="30" t="s">
        <v>55</v>
      </c>
      <c r="B98" s="33">
        <f>IF($A98=B$83, 0, distance(VLOOKUP($A98,Cuision!$G:$P,9,FALSE),VLOOKUP($A98,Cuision!$G:$P,10,FALSE),VLOOKUP(B$83,Cuision!$G:$P,9,FALSE),VLOOKUP(B$83,Cuision!$G:$P,10,FALSE)))</f>
        <v>8361.081380464846</v>
      </c>
      <c r="C98" s="33">
        <f>IF($A98=C$83, 0, distance(VLOOKUP($A98,Cuision!$G:$P,9,FALSE),VLOOKUP($A98,Cuision!$G:$P,10,FALSE),VLOOKUP(C$83,Cuision!$G:$P,9,FALSE),VLOOKUP(C$83,Cuision!$G:$P,10,FALSE)))</f>
        <v>5555.2303576305831</v>
      </c>
      <c r="D98" s="33">
        <f>IF($A98=D$83, 0, distance(VLOOKUP($A98,Cuision!$G:$P,9,FALSE),VLOOKUP($A98,Cuision!$G:$P,10,FALSE),VLOOKUP(D$83,Cuision!$G:$P,9,FALSE),VLOOKUP(D$83,Cuision!$G:$P,10,FALSE)))</f>
        <v>4220.2104754152506</v>
      </c>
      <c r="E98" s="33">
        <f>IF($A98=E$83, 0, distance(VLOOKUP($A98,Cuision!$G:$P,9,FALSE),VLOOKUP($A98,Cuision!$G:$P,10,FALSE),VLOOKUP(E$83,Cuision!$G:$P,9,FALSE),VLOOKUP(E$83,Cuision!$G:$P,10,FALSE)))</f>
        <v>4220.2104754152506</v>
      </c>
      <c r="F98" s="33">
        <f>IF($A98=F$83, 0, distance(VLOOKUP($A98,Cuision!$G:$P,9,FALSE),VLOOKUP($A98,Cuision!$G:$P,10,FALSE),VLOOKUP(F$83,Cuision!$G:$P,9,FALSE),VLOOKUP(F$83,Cuision!$G:$P,10,FALSE)))</f>
        <v>6774.6208964587368</v>
      </c>
      <c r="G98" s="33">
        <f>IF($A98=G$83, 0, distance(VLOOKUP($A98,Cuision!$G:$P,9,FALSE),VLOOKUP($A98,Cuision!$G:$P,10,FALSE),VLOOKUP(G$83,Cuision!$G:$P,9,FALSE),VLOOKUP(G$83,Cuision!$G:$P,10,FALSE)))</f>
        <v>1453.5036202845822</v>
      </c>
      <c r="H98" s="33">
        <f>IF($A98=H$83, 0, distance(VLOOKUP($A98,Cuision!$G:$P,9,FALSE),VLOOKUP($A98,Cuision!$G:$P,10,FALSE),VLOOKUP(H$83,Cuision!$G:$P,9,FALSE),VLOOKUP(H$83,Cuision!$G:$P,10,FALSE)))</f>
        <v>7042.5076400557073</v>
      </c>
      <c r="I98" s="33">
        <f>IF($A98=I$83, 0, distance(VLOOKUP($A98,Cuision!$G:$P,9,FALSE),VLOOKUP($A98,Cuision!$G:$P,10,FALSE),VLOOKUP(I$83,Cuision!$G:$P,9,FALSE),VLOOKUP(I$83,Cuision!$G:$P,10,FALSE)))</f>
        <v>10111.522384843647</v>
      </c>
      <c r="J98" s="33">
        <f>IF($A98=J$83, 0, distance(VLOOKUP($A98,Cuision!$G:$P,9,FALSE),VLOOKUP($A98,Cuision!$G:$P,10,FALSE),VLOOKUP(J$83,Cuision!$G:$P,9,FALSE),VLOOKUP(J$83,Cuision!$G:$P,10,FALSE)))</f>
        <v>8735.5367934546957</v>
      </c>
      <c r="K98" s="33">
        <f>IF($A98=K$83, 0, distance(VLOOKUP($A98,Cuision!$G:$P,9,FALSE),VLOOKUP($A98,Cuision!$G:$P,10,FALSE),VLOOKUP(K$83,Cuision!$G:$P,9,FALSE),VLOOKUP(K$83,Cuision!$G:$P,10,FALSE)))</f>
        <v>5919.5764951318261</v>
      </c>
      <c r="L98" s="33">
        <f>IF($A98=L$83, 0, distance(VLOOKUP($A98,Cuision!$G:$P,9,FALSE),VLOOKUP($A98,Cuision!$G:$P,10,FALSE),VLOOKUP(L$83,Cuision!$G:$P,9,FALSE),VLOOKUP(L$83,Cuision!$G:$P,10,FALSE)))</f>
        <v>9682.2722423006198</v>
      </c>
      <c r="M98" s="33">
        <f>IF($A98=M$83, 0, distance(VLOOKUP($A98,Cuision!$G:$P,9,FALSE),VLOOKUP($A98,Cuision!$G:$P,10,FALSE),VLOOKUP(M$83,Cuision!$G:$P,9,FALSE),VLOOKUP(M$83,Cuision!$G:$P,10,FALSE)))</f>
        <v>-1</v>
      </c>
      <c r="N98" s="33">
        <f>IF($A98=N$83, 0, distance(VLOOKUP($A98,Cuision!$G:$P,9,FALSE),VLOOKUP($A98,Cuision!$G:$P,10,FALSE),VLOOKUP(N$83,Cuision!$G:$P,9,FALSE),VLOOKUP(N$83,Cuision!$G:$P,10,FALSE)))</f>
        <v>4808.414862126243</v>
      </c>
      <c r="O98" s="33">
        <f>IF($A98=O$83, 0, distance(VLOOKUP($A98,Cuision!$G:$P,9,FALSE),VLOOKUP($A98,Cuision!$G:$P,10,FALSE),VLOOKUP(O$83,Cuision!$G:$P,9,FALSE),VLOOKUP(O$83,Cuision!$G:$P,10,FALSE)))</f>
        <v>5578.7276228351775</v>
      </c>
      <c r="P98" s="33">
        <f>IF($A98=P$83, 0, distance(VLOOKUP($A98,Cuision!$G:$P,9,FALSE),VLOOKUP($A98,Cuision!$G:$P,10,FALSE),VLOOKUP(P$83,Cuision!$G:$P,9,FALSE),VLOOKUP(P$83,Cuision!$G:$P,10,FALSE)))</f>
        <v>0</v>
      </c>
      <c r="Q98" s="33">
        <f>IF($A98=Q$83, 0, distance(VLOOKUP($A98,Cuision!$G:$P,9,FALSE),VLOOKUP($A98,Cuision!$G:$P,10,FALSE),VLOOKUP(Q$83,Cuision!$G:$P,9,FALSE),VLOOKUP(Q$83,Cuision!$G:$P,10,FALSE)))</f>
        <v>-1</v>
      </c>
      <c r="R98" s="33">
        <f>IF($A98=R$83, 0, distance(VLOOKUP($A98,Cuision!$G:$P,9,FALSE),VLOOKUP($A98,Cuision!$G:$P,10,FALSE),VLOOKUP(R$83,Cuision!$G:$P,9,FALSE),VLOOKUP(R$83,Cuision!$G:$P,10,FALSE)))</f>
        <v>5463.5769797547719</v>
      </c>
      <c r="S98" s="33">
        <f>IF($A98=S$83, 0, distance(VLOOKUP($A98,Cuision!$G:$P,9,FALSE),VLOOKUP($A98,Cuision!$G:$P,10,FALSE),VLOOKUP(S$83,Cuision!$G:$P,9,FALSE),VLOOKUP(S$83,Cuision!$G:$P,10,FALSE)))</f>
        <v>-1</v>
      </c>
      <c r="T98" s="33">
        <f>IF($A98=T$83, 0, distance(VLOOKUP($A98,Cuision!$G:$P,9,FALSE),VLOOKUP($A98,Cuision!$G:$P,10,FALSE),VLOOKUP(T$83,Cuision!$G:$P,9,FALSE),VLOOKUP(T$83,Cuision!$G:$P,10,FALSE)))</f>
        <v>10059.991644854044</v>
      </c>
      <c r="U98" s="33">
        <f>IF($A98=U$83, 0, distance(VLOOKUP($A98,Cuision!$G:$P,9,FALSE),VLOOKUP($A98,Cuision!$G:$P,10,FALSE),VLOOKUP(U$83,Cuision!$G:$P,9,FALSE),VLOOKUP(U$83,Cuision!$G:$P,10,FALSE)))</f>
        <v>-1</v>
      </c>
      <c r="V98" s="33">
        <f>IF($A98=V$83, 0, distance(VLOOKUP($A98,Cuision!$G:$P,9,FALSE),VLOOKUP($A98,Cuision!$G:$P,10,FALSE),VLOOKUP(V$83,Cuision!$G:$P,9,FALSE),VLOOKUP(V$83,Cuision!$G:$P,10,FALSE)))</f>
        <v>4220.2104754152506</v>
      </c>
      <c r="W98" s="33">
        <f>IF($A98=W$83, 0, distance(VLOOKUP($A98,Cuision!$G:$P,9,FALSE),VLOOKUP($A98,Cuision!$G:$P,10,FALSE),VLOOKUP(W$83,Cuision!$G:$P,9,FALSE),VLOOKUP(W$83,Cuision!$G:$P,10,FALSE)))</f>
        <v>10591.812133575635</v>
      </c>
      <c r="X98" s="33">
        <f>IF($A98=X$83, 0, distance(VLOOKUP($A98,Cuision!$G:$P,9,FALSE),VLOOKUP($A98,Cuision!$G:$P,10,FALSE),VLOOKUP(X$83,Cuision!$G:$P,9,FALSE),VLOOKUP(X$83,Cuision!$G:$P,10,FALSE)))</f>
        <v>4808.414862126243</v>
      </c>
      <c r="Y98" s="33">
        <f>IF($A98=Y$83, 0, distance(VLOOKUP($A98,Cuision!$G:$P,9,FALSE),VLOOKUP($A98,Cuision!$G:$P,10,FALSE),VLOOKUP(Y$83,Cuision!$G:$P,9,FALSE),VLOOKUP(Y$83,Cuision!$G:$P,10,FALSE)))</f>
        <v>10520.638165397544</v>
      </c>
      <c r="Z98" s="33">
        <f>IF($A98=Z$83, 0, distance(VLOOKUP($A98,Cuision!$G:$P,9,FALSE),VLOOKUP($A98,Cuision!$G:$P,10,FALSE),VLOOKUP(Z$83,Cuision!$G:$P,9,FALSE),VLOOKUP(Z$83,Cuision!$G:$P,10,FALSE)))</f>
        <v>-1</v>
      </c>
      <c r="AA98" s="33">
        <f>IF($A98=AA$83, 0, distance(VLOOKUP($A98,Cuision!$G:$P,9,FALSE),VLOOKUP($A98,Cuision!$G:$P,10,FALSE),VLOOKUP(AA$83,Cuision!$G:$P,9,FALSE),VLOOKUP(AA$83,Cuision!$G:$P,10,FALSE)))</f>
        <v>3556.0352024441054</v>
      </c>
      <c r="AB98" s="33">
        <f>IF($A98=AB$83, 0, distance(VLOOKUP($A98,Cuision!$G:$P,9,FALSE),VLOOKUP($A98,Cuision!$G:$P,10,FALSE),VLOOKUP(AB$83,Cuision!$G:$P,9,FALSE),VLOOKUP(AB$83,Cuision!$G:$P,10,FALSE)))</f>
        <v>5909.3257673925382</v>
      </c>
      <c r="AC98" s="33">
        <f>IF($A98=AC$83, 0, distance(VLOOKUP($A98,Cuision!$G:$P,9,FALSE),VLOOKUP($A98,Cuision!$G:$P,10,FALSE),VLOOKUP(AC$83,Cuision!$G:$P,9,FALSE),VLOOKUP(AC$83,Cuision!$G:$P,10,FALSE)))</f>
        <v>6168.9905154653488</v>
      </c>
      <c r="AD98" s="33">
        <f>IF($A98=AD$83, 0, distance(VLOOKUP($A98,Cuision!$G:$P,9,FALSE),VLOOKUP($A98,Cuision!$G:$P,10,FALSE),VLOOKUP(AD$83,Cuision!$G:$P,9,FALSE),VLOOKUP(AD$83,Cuision!$G:$P,10,FALSE)))</f>
        <v>11692.375686027855</v>
      </c>
      <c r="AE98" s="33">
        <f>IF($A98=AE$83, 0, distance(VLOOKUP($A98,Cuision!$G:$P,9,FALSE),VLOOKUP($A98,Cuision!$G:$P,10,FALSE),VLOOKUP(AE$83,Cuision!$G:$P,9,FALSE),VLOOKUP(AE$83,Cuision!$G:$P,10,FALSE)))</f>
        <v>6292.2904088275618</v>
      </c>
      <c r="AF98" s="33">
        <f>IF($A98=AF$83, 0, distance(VLOOKUP($A98,Cuision!$G:$P,9,FALSE),VLOOKUP($A98,Cuision!$G:$P,10,FALSE),VLOOKUP(AF$83,Cuision!$G:$P,9,FALSE),VLOOKUP(AF$83,Cuision!$G:$P,10,FALSE)))</f>
        <v>5421.464479253983</v>
      </c>
      <c r="AG98" s="33">
        <f>IF($A98=AG$83, 0, distance(VLOOKUP($A98,Cuision!$G:$P,9,FALSE),VLOOKUP($A98,Cuision!$G:$P,10,FALSE),VLOOKUP(AG$83,Cuision!$G:$P,9,FALSE),VLOOKUP(AG$83,Cuision!$G:$P,10,FALSE)))</f>
        <v>5960.4859989613515</v>
      </c>
      <c r="AH98" s="33">
        <f>IF($A98=AH$83, 0, distance(VLOOKUP($A98,Cuision!$G:$P,9,FALSE),VLOOKUP($A98,Cuision!$G:$P,10,FALSE),VLOOKUP(AH$83,Cuision!$G:$P,9,FALSE),VLOOKUP(AH$83,Cuision!$G:$P,10,FALSE)))</f>
        <v>-1</v>
      </c>
      <c r="AI98" s="33">
        <f>IF($A98=AI$83, 0, distance(VLOOKUP($A98,Cuision!$G:$P,9,FALSE),VLOOKUP($A98,Cuision!$G:$P,10,FALSE),VLOOKUP(AI$83,Cuision!$G:$P,9,FALSE),VLOOKUP(AI$83,Cuision!$G:$P,10,FALSE)))</f>
        <v>5935.031229795346</v>
      </c>
      <c r="AJ98" s="33">
        <f>IF($A98=AJ$83, 0, distance(VLOOKUP($A98,Cuision!$G:$P,9,FALSE),VLOOKUP($A98,Cuision!$G:$P,10,FALSE),VLOOKUP(AJ$83,Cuision!$G:$P,9,FALSE),VLOOKUP(AJ$83,Cuision!$G:$P,10,FALSE)))</f>
        <v>6774.6208964587368</v>
      </c>
      <c r="AK98" s="33">
        <f>IF($A98=AK$83, 0, distance(VLOOKUP($A98,Cuision!$G:$P,9,FALSE),VLOOKUP($A98,Cuision!$G:$P,10,FALSE),VLOOKUP(AK$83,Cuision!$G:$P,9,FALSE),VLOOKUP(AK$83,Cuision!$G:$P,10,FALSE)))</f>
        <v>7705.4434359119568</v>
      </c>
      <c r="AL98" s="33">
        <f>IF($A98=AL$83, 0, distance(VLOOKUP($A98,Cuision!$G:$P,9,FALSE),VLOOKUP($A98,Cuision!$G:$P,10,FALSE),VLOOKUP(AL$83,Cuision!$G:$P,9,FALSE),VLOOKUP(AL$83,Cuision!$G:$P,10,FALSE)))</f>
        <v>9344.5313803699919</v>
      </c>
      <c r="AM98" s="33">
        <f>IF($A98=AM$83, 0, distance(VLOOKUP($A98,Cuision!$G:$P,9,FALSE),VLOOKUP($A98,Cuision!$G:$P,10,FALSE),VLOOKUP(AM$83,Cuision!$G:$P,9,FALSE),VLOOKUP(AM$83,Cuision!$G:$P,10,FALSE)))</f>
        <v>-1</v>
      </c>
      <c r="AN98" s="33">
        <f>IF($A98=AN$83, 0, distance(VLOOKUP($A98,Cuision!$G:$P,9,FALSE),VLOOKUP($A98,Cuision!$G:$P,10,FALSE),VLOOKUP(AN$83,Cuision!$G:$P,9,FALSE),VLOOKUP(AN$83,Cuision!$G:$P,10,FALSE)))</f>
        <v>6004.8652435523318</v>
      </c>
      <c r="AO98" s="33">
        <f>IF($A98=AO$83, 0, distance(VLOOKUP($A98,Cuision!$G:$P,9,FALSE),VLOOKUP($A98,Cuision!$G:$P,10,FALSE),VLOOKUP(AO$83,Cuision!$G:$P,9,FALSE),VLOOKUP(AO$83,Cuision!$G:$P,10,FALSE)))</f>
        <v>4808.414862126243</v>
      </c>
      <c r="AP98" s="33">
        <f>IF($A98=AP$83, 0, distance(VLOOKUP($A98,Cuision!$G:$P,9,FALSE),VLOOKUP($A98,Cuision!$G:$P,10,FALSE),VLOOKUP(AP$83,Cuision!$G:$P,9,FALSE),VLOOKUP(AP$83,Cuision!$G:$P,10,FALSE)))</f>
        <v>8848.1398519372233</v>
      </c>
      <c r="AQ98" s="33">
        <f>IF($A98=AQ$83, 0, distance(VLOOKUP($A98,Cuision!$G:$P,9,FALSE),VLOOKUP($A98,Cuision!$G:$P,10,FALSE),VLOOKUP(AQ$83,Cuision!$G:$P,9,FALSE),VLOOKUP(AQ$83,Cuision!$G:$P,10,FALSE)))</f>
        <v>10137.312517016759</v>
      </c>
      <c r="AR98" s="33">
        <f>IF($A98=AR$83, 0, distance(VLOOKUP($A98,Cuision!$G:$P,9,FALSE),VLOOKUP($A98,Cuision!$G:$P,10,FALSE),VLOOKUP(AR$83,Cuision!$G:$P,9,FALSE),VLOOKUP(AR$83,Cuision!$G:$P,10,FALSE)))</f>
        <v>5463.5769797547719</v>
      </c>
      <c r="AS98" s="33">
        <f>IF($A98=AS$83, 0, distance(VLOOKUP($A98,Cuision!$G:$P,9,FALSE),VLOOKUP($A98,Cuision!$G:$P,10,FALSE),VLOOKUP(AS$83,Cuision!$G:$P,9,FALSE),VLOOKUP(AS$83,Cuision!$G:$P,10,FALSE)))</f>
        <v>5533.1817556068936</v>
      </c>
      <c r="AT98" s="33">
        <f>IF($A98=AT$83, 0, distance(VLOOKUP($A98,Cuision!$G:$P,9,FALSE),VLOOKUP($A98,Cuision!$G:$P,10,FALSE),VLOOKUP(AT$83,Cuision!$G:$P,9,FALSE),VLOOKUP(AT$83,Cuision!$G:$P,10,FALSE)))</f>
        <v>10982.511527538807</v>
      </c>
      <c r="AU98" s="33">
        <f>IF($A98=AU$83, 0, distance(VLOOKUP($A98,Cuision!$G:$P,9,FALSE),VLOOKUP($A98,Cuision!$G:$P,10,FALSE),VLOOKUP(AU$83,Cuision!$G:$P,9,FALSE),VLOOKUP(AU$83,Cuision!$G:$P,10,FALSE)))</f>
        <v>10898.971726737744</v>
      </c>
      <c r="AV98" s="33">
        <f>IF($A98=AV$83, 0, distance(VLOOKUP($A98,Cuision!$G:$P,9,FALSE),VLOOKUP($A98,Cuision!$G:$P,10,FALSE),VLOOKUP(AV$83,Cuision!$G:$P,9,FALSE),VLOOKUP(AV$83,Cuision!$G:$P,10,FALSE)))</f>
        <v>6282.7257698699468</v>
      </c>
      <c r="AW98" s="33">
        <f>IF($A98=AW$83, 0, distance(VLOOKUP($A98,Cuision!$G:$P,9,FALSE),VLOOKUP($A98,Cuision!$G:$P,10,FALSE),VLOOKUP(AW$83,Cuision!$G:$P,9,FALSE),VLOOKUP(AW$83,Cuision!$G:$P,10,FALSE)))</f>
        <v>10483.92506970791</v>
      </c>
      <c r="AX98" s="33">
        <f>IF($A98=AX$83, 0, distance(VLOOKUP($A98,Cuision!$G:$P,9,FALSE),VLOOKUP($A98,Cuision!$G:$P,10,FALSE),VLOOKUP(AX$83,Cuision!$G:$P,9,FALSE),VLOOKUP(AX$83,Cuision!$G:$P,10,FALSE)))</f>
        <v>1200.3502837047415</v>
      </c>
      <c r="AY98" s="33">
        <f>IF($A98=AY$83, 0, distance(VLOOKUP($A98,Cuision!$G:$P,9,FALSE),VLOOKUP($A98,Cuision!$G:$P,10,FALSE),VLOOKUP(AY$83,Cuision!$G:$P,9,FALSE),VLOOKUP(AY$83,Cuision!$G:$P,10,FALSE)))</f>
        <v>-1</v>
      </c>
      <c r="AZ98" s="33">
        <f>IF($A98=AZ$83, 0, distance(VLOOKUP($A98,Cuision!$G:$P,9,FALSE),VLOOKUP($A98,Cuision!$G:$P,10,FALSE),VLOOKUP(AZ$83,Cuision!$G:$P,9,FALSE),VLOOKUP(AZ$83,Cuision!$G:$P,10,FALSE)))</f>
        <v>10193.990869011852</v>
      </c>
      <c r="BA98" s="33">
        <f>IF($A98=BA$83, 0, distance(VLOOKUP($A98,Cuision!$G:$P,9,FALSE),VLOOKUP($A98,Cuision!$G:$P,10,FALSE),VLOOKUP(BA$83,Cuision!$G:$P,9,FALSE),VLOOKUP(BA$83,Cuision!$G:$P,10,FALSE)))</f>
        <v>5548.2740641013424</v>
      </c>
      <c r="BB98" s="33">
        <f>IF($A98=BB$83, 0, distance(VLOOKUP($A98,Cuision!$G:$P,9,FALSE),VLOOKUP($A98,Cuision!$G:$P,10,FALSE),VLOOKUP(BB$83,Cuision!$G:$P,9,FALSE),VLOOKUP(BB$83,Cuision!$G:$P,10,FALSE)))</f>
        <v>4244.4141478026977</v>
      </c>
      <c r="BC98" s="33">
        <f>IF($A98=BC$83, 0, distance(VLOOKUP($A98,Cuision!$G:$P,9,FALSE),VLOOKUP($A98,Cuision!$G:$P,10,FALSE),VLOOKUP(BC$83,Cuision!$G:$P,9,FALSE),VLOOKUP(BC$83,Cuision!$G:$P,10,FALSE)))</f>
        <v>6774.6208964587368</v>
      </c>
      <c r="BD98" s="33">
        <f>IF($A98=BD$83, 0, distance(VLOOKUP($A98,Cuision!$G:$P,9,FALSE),VLOOKUP($A98,Cuision!$G:$P,10,FALSE),VLOOKUP(BD$83,Cuision!$G:$P,9,FALSE),VLOOKUP(BD$83,Cuision!$G:$P,10,FALSE)))</f>
        <v>9794.6882070393131</v>
      </c>
      <c r="BE98" s="33">
        <f>IF($A98=BE$83, 0, distance(VLOOKUP($A98,Cuision!$G:$P,9,FALSE),VLOOKUP($A98,Cuision!$G:$P,10,FALSE),VLOOKUP(BE$83,Cuision!$G:$P,9,FALSE),VLOOKUP(BE$83,Cuision!$G:$P,10,FALSE)))</f>
        <v>4374.772351817498</v>
      </c>
      <c r="BF98" s="33">
        <f>IF($A98=BF$83, 0, distance(VLOOKUP($A98,Cuision!$G:$P,9,FALSE),VLOOKUP($A98,Cuision!$G:$P,10,FALSE),VLOOKUP(BF$83,Cuision!$G:$P,9,FALSE),VLOOKUP(BF$83,Cuision!$G:$P,10,FALSE)))</f>
        <v>8584.6487244139735</v>
      </c>
      <c r="BG98" s="33">
        <f>IF($A98=BG$83, 0, distance(VLOOKUP($A98,Cuision!$G:$P,9,FALSE),VLOOKUP($A98,Cuision!$G:$P,10,FALSE),VLOOKUP(BG$83,Cuision!$G:$P,9,FALSE),VLOOKUP(BG$83,Cuision!$G:$P,10,FALSE)))</f>
        <v>7364.7569620862851</v>
      </c>
      <c r="BH98" s="33">
        <f>IF($A98=BH$83, 0, distance(VLOOKUP($A98,Cuision!$G:$P,9,FALSE),VLOOKUP($A98,Cuision!$G:$P,10,FALSE),VLOOKUP(BH$83,Cuision!$G:$P,9,FALSE),VLOOKUP(BH$83,Cuision!$G:$P,10,FALSE)))</f>
        <v>1966.951209775483</v>
      </c>
      <c r="BI98" s="33">
        <f>IF($A98=BI$83, 0, distance(VLOOKUP($A98,Cuision!$G:$P,9,FALSE),VLOOKUP($A98,Cuision!$G:$P,10,FALSE),VLOOKUP(BI$83,Cuision!$G:$P,9,FALSE),VLOOKUP(BI$83,Cuision!$G:$P,10,FALSE)))</f>
        <v>6230.6233158800196</v>
      </c>
      <c r="BJ98" s="33">
        <f>IF($A98=BJ$83, 0, distance(VLOOKUP($A98,Cuision!$G:$P,9,FALSE),VLOOKUP($A98,Cuision!$G:$P,10,FALSE),VLOOKUP(BJ$83,Cuision!$G:$P,9,FALSE),VLOOKUP(BJ$83,Cuision!$G:$P,10,FALSE)))</f>
        <v>4523.9382412492259</v>
      </c>
      <c r="BK98" s="33">
        <f>IF($A98=BK$83, 0, distance(VLOOKUP($A98,Cuision!$G:$P,9,FALSE),VLOOKUP($A98,Cuision!$G:$P,10,FALSE),VLOOKUP(BK$83,Cuision!$G:$P,9,FALSE),VLOOKUP(BK$83,Cuision!$G:$P,10,FALSE)))</f>
        <v>6945.6751114739591</v>
      </c>
      <c r="BL98" s="33">
        <f>IF($A98=BL$83, 0, distance(VLOOKUP($A98,Cuision!$G:$P,9,FALSE),VLOOKUP($A98,Cuision!$G:$P,10,FALSE),VLOOKUP(BL$83,Cuision!$G:$P,9,FALSE),VLOOKUP(BL$83,Cuision!$G:$P,10,FALSE)))</f>
        <v>-1</v>
      </c>
      <c r="BM98" s="33">
        <f>IF($A98=BM$83, 0, distance(VLOOKUP($A98,Cuision!$G:$P,9,FALSE),VLOOKUP($A98,Cuision!$G:$P,10,FALSE),VLOOKUP(BM$83,Cuision!$G:$P,9,FALSE),VLOOKUP(BM$83,Cuision!$G:$P,10,FALSE)))</f>
        <v>-1</v>
      </c>
      <c r="BN98" s="33">
        <f>IF($A98=BN$83, 0, distance(VLOOKUP($A98,Cuision!$G:$P,9,FALSE),VLOOKUP($A98,Cuision!$G:$P,10,FALSE),VLOOKUP(BN$83,Cuision!$G:$P,9,FALSE),VLOOKUP(BN$83,Cuision!$G:$P,10,FALSE)))</f>
        <v>5463.5769797547719</v>
      </c>
      <c r="BO98" s="33">
        <f>IF($A98=BO$83, 0, distance(VLOOKUP($A98,Cuision!$G:$P,9,FALSE),VLOOKUP($A98,Cuision!$G:$P,10,FALSE),VLOOKUP(BO$83,Cuision!$G:$P,9,FALSE),VLOOKUP(BO$83,Cuision!$G:$P,10,FALSE)))</f>
        <v>10268.959396286917</v>
      </c>
      <c r="BP98" s="33">
        <f>IF($A98=BP$83, 0, distance(VLOOKUP($A98,Cuision!$G:$P,9,FALSE),VLOOKUP($A98,Cuision!$G:$P,10,FALSE),VLOOKUP(BP$83,Cuision!$G:$P,9,FALSE),VLOOKUP(BP$83,Cuision!$G:$P,10,FALSE)))</f>
        <v>5947.276414534369</v>
      </c>
      <c r="BQ98" s="33">
        <f>IF($A98=BQ$83, 0, distance(VLOOKUP($A98,Cuision!$G:$P,9,FALSE),VLOOKUP($A98,Cuision!$G:$P,10,FALSE),VLOOKUP(BQ$83,Cuision!$G:$P,9,FALSE),VLOOKUP(BQ$83,Cuision!$G:$P,10,FALSE)))</f>
        <v>-1</v>
      </c>
      <c r="BR98" s="33">
        <f>IF($A98=BR$83, 0, distance(VLOOKUP($A98,Cuision!$G:$P,9,FALSE),VLOOKUP($A98,Cuision!$G:$P,10,FALSE),VLOOKUP(BR$83,Cuision!$G:$P,9,FALSE),VLOOKUP(BR$83,Cuision!$G:$P,10,FALSE)))</f>
        <v>4220.2104754152506</v>
      </c>
      <c r="BS98" s="33">
        <f>IF($A98=BS$83, 0, distance(VLOOKUP($A98,Cuision!$G:$P,9,FALSE),VLOOKUP($A98,Cuision!$G:$P,10,FALSE),VLOOKUP(BS$83,Cuision!$G:$P,9,FALSE),VLOOKUP(BS$83,Cuision!$G:$P,10,FALSE)))</f>
        <v>10520.638165397544</v>
      </c>
      <c r="BT98" s="33">
        <f>IF($A98=BT$83, 0, distance(VLOOKUP($A98,Cuision!$G:$P,9,FALSE),VLOOKUP($A98,Cuision!$G:$P,10,FALSE),VLOOKUP(BT$83,Cuision!$G:$P,9,FALSE),VLOOKUP(BT$83,Cuision!$G:$P,10,FALSE)))</f>
        <v>4808.414862126243</v>
      </c>
      <c r="BU98" s="33">
        <f>IF($A98=BU$83, 0, distance(VLOOKUP($A98,Cuision!$G:$P,9,FALSE),VLOOKUP($A98,Cuision!$G:$P,10,FALSE),VLOOKUP(BU$83,Cuision!$G:$P,9,FALSE),VLOOKUP(BU$83,Cuision!$G:$P,10,FALSE)))</f>
        <v>10324.307699030536</v>
      </c>
      <c r="BV98" s="33">
        <f>IF($A98=BV$83, 0, distance(VLOOKUP($A98,Cuision!$G:$P,9,FALSE),VLOOKUP($A98,Cuision!$G:$P,10,FALSE),VLOOKUP(BV$83,Cuision!$G:$P,9,FALSE),VLOOKUP(BV$83,Cuision!$G:$P,10,FALSE)))</f>
        <v>6440.9218225688019</v>
      </c>
      <c r="BW98" s="33">
        <f>IF($A98=BW$83, 0, distance(VLOOKUP($A98,Cuision!$G:$P,9,FALSE),VLOOKUP($A98,Cuision!$G:$P,10,FALSE),VLOOKUP(BW$83,Cuision!$G:$P,9,FALSE),VLOOKUP(BW$83,Cuision!$G:$P,10,FALSE)))</f>
        <v>6562.9329304413359</v>
      </c>
      <c r="BX98" s="33">
        <f>IF($A98=BX$83, 0, distance(VLOOKUP($A98,Cuision!$G:$P,9,FALSE),VLOOKUP($A98,Cuision!$G:$P,10,FALSE),VLOOKUP(BX$83,Cuision!$G:$P,9,FALSE),VLOOKUP(BX$83,Cuision!$G:$P,10,FALSE)))</f>
        <v>8334.0945259113923</v>
      </c>
      <c r="BY98" s="33">
        <f>IF($A98=BY$83, 0, distance(VLOOKUP($A98,Cuision!$G:$P,9,FALSE),VLOOKUP($A98,Cuision!$G:$P,10,FALSE),VLOOKUP(BY$83,Cuision!$G:$P,9,FALSE),VLOOKUP(BY$83,Cuision!$G:$P,10,FALSE)))</f>
        <v>-1</v>
      </c>
      <c r="BZ98" s="33">
        <f>IF($A98=BZ$83, 0, distance(VLOOKUP($A98,Cuision!$G:$P,9,FALSE),VLOOKUP($A98,Cuision!$G:$P,10,FALSE),VLOOKUP(BZ$83,Cuision!$G:$P,9,FALSE),VLOOKUP(BZ$83,Cuision!$G:$P,10,FALSE)))</f>
        <v>-1</v>
      </c>
      <c r="CA98" s="33">
        <f>IF($A98=CA$83, 0, distance(VLOOKUP($A98,Cuision!$G:$P,9,FALSE),VLOOKUP($A98,Cuision!$G:$P,10,FALSE),VLOOKUP(CA$83,Cuision!$G:$P,9,FALSE),VLOOKUP(CA$83,Cuision!$G:$P,10,FALSE)))</f>
        <v>10681.198358644449</v>
      </c>
    </row>
    <row r="99" spans="1:79" ht="14.25" x14ac:dyDescent="0.2">
      <c r="A99" s="30" t="s">
        <v>56</v>
      </c>
      <c r="B99" s="33">
        <f>IF($A99=B$83, 0, distance(VLOOKUP($A99,Cuision!$G:$P,9,FALSE),VLOOKUP($A99,Cuision!$G:$P,10,FALSE),VLOOKUP(B$83,Cuision!$G:$P,9,FALSE),VLOOKUP(B$83,Cuision!$G:$P,10,FALSE)))</f>
        <v>-1</v>
      </c>
      <c r="C99" s="33">
        <f>IF($A99=C$83, 0, distance(VLOOKUP($A99,Cuision!$G:$P,9,FALSE),VLOOKUP($A99,Cuision!$G:$P,10,FALSE),VLOOKUP(C$83,Cuision!$G:$P,9,FALSE),VLOOKUP(C$83,Cuision!$G:$P,10,FALSE)))</f>
        <v>-1</v>
      </c>
      <c r="D99" s="33">
        <f>IF($A99=D$83, 0, distance(VLOOKUP($A99,Cuision!$G:$P,9,FALSE),VLOOKUP($A99,Cuision!$G:$P,10,FALSE),VLOOKUP(D$83,Cuision!$G:$P,9,FALSE),VLOOKUP(D$83,Cuision!$G:$P,10,FALSE)))</f>
        <v>-1</v>
      </c>
      <c r="E99" s="33">
        <f>IF($A99=E$83, 0, distance(VLOOKUP($A99,Cuision!$G:$P,9,FALSE),VLOOKUP($A99,Cuision!$G:$P,10,FALSE),VLOOKUP(E$83,Cuision!$G:$P,9,FALSE),VLOOKUP(E$83,Cuision!$G:$P,10,FALSE)))</f>
        <v>-1</v>
      </c>
      <c r="F99" s="33">
        <f>IF($A99=F$83, 0, distance(VLOOKUP($A99,Cuision!$G:$P,9,FALSE),VLOOKUP($A99,Cuision!$G:$P,10,FALSE),VLOOKUP(F$83,Cuision!$G:$P,9,FALSE),VLOOKUP(F$83,Cuision!$G:$P,10,FALSE)))</f>
        <v>-1</v>
      </c>
      <c r="G99" s="33">
        <f>IF($A99=G$83, 0, distance(VLOOKUP($A99,Cuision!$G:$P,9,FALSE),VLOOKUP($A99,Cuision!$G:$P,10,FALSE),VLOOKUP(G$83,Cuision!$G:$P,9,FALSE),VLOOKUP(G$83,Cuision!$G:$P,10,FALSE)))</f>
        <v>-1</v>
      </c>
      <c r="H99" s="33">
        <f>IF($A99=H$83, 0, distance(VLOOKUP($A99,Cuision!$G:$P,9,FALSE),VLOOKUP($A99,Cuision!$G:$P,10,FALSE),VLOOKUP(H$83,Cuision!$G:$P,9,FALSE),VLOOKUP(H$83,Cuision!$G:$P,10,FALSE)))</f>
        <v>-1</v>
      </c>
      <c r="I99" s="33">
        <f>IF($A99=I$83, 0, distance(VLOOKUP($A99,Cuision!$G:$P,9,FALSE),VLOOKUP($A99,Cuision!$G:$P,10,FALSE),VLOOKUP(I$83,Cuision!$G:$P,9,FALSE),VLOOKUP(I$83,Cuision!$G:$P,10,FALSE)))</f>
        <v>-1</v>
      </c>
      <c r="J99" s="33">
        <f>IF($A99=J$83, 0, distance(VLOOKUP($A99,Cuision!$G:$P,9,FALSE),VLOOKUP($A99,Cuision!$G:$P,10,FALSE),VLOOKUP(J$83,Cuision!$G:$P,9,FALSE),VLOOKUP(J$83,Cuision!$G:$P,10,FALSE)))</f>
        <v>-1</v>
      </c>
      <c r="K99" s="33">
        <f>IF($A99=K$83, 0, distance(VLOOKUP($A99,Cuision!$G:$P,9,FALSE),VLOOKUP($A99,Cuision!$G:$P,10,FALSE),VLOOKUP(K$83,Cuision!$G:$P,9,FALSE),VLOOKUP(K$83,Cuision!$G:$P,10,FALSE)))</f>
        <v>-1</v>
      </c>
      <c r="L99" s="33">
        <f>IF($A99=L$83, 0, distance(VLOOKUP($A99,Cuision!$G:$P,9,FALSE),VLOOKUP($A99,Cuision!$G:$P,10,FALSE),VLOOKUP(L$83,Cuision!$G:$P,9,FALSE),VLOOKUP(L$83,Cuision!$G:$P,10,FALSE)))</f>
        <v>-1</v>
      </c>
      <c r="M99" s="33">
        <f>IF($A99=M$83, 0, distance(VLOOKUP($A99,Cuision!$G:$P,9,FALSE),VLOOKUP($A99,Cuision!$G:$P,10,FALSE),VLOOKUP(M$83,Cuision!$G:$P,9,FALSE),VLOOKUP(M$83,Cuision!$G:$P,10,FALSE)))</f>
        <v>-1</v>
      </c>
      <c r="N99" s="33">
        <f>IF($A99=N$83, 0, distance(VLOOKUP($A99,Cuision!$G:$P,9,FALSE),VLOOKUP($A99,Cuision!$G:$P,10,FALSE),VLOOKUP(N$83,Cuision!$G:$P,9,FALSE),VLOOKUP(N$83,Cuision!$G:$P,10,FALSE)))</f>
        <v>-1</v>
      </c>
      <c r="O99" s="33">
        <f>IF($A99=O$83, 0, distance(VLOOKUP($A99,Cuision!$G:$P,9,FALSE),VLOOKUP($A99,Cuision!$G:$P,10,FALSE),VLOOKUP(O$83,Cuision!$G:$P,9,FALSE),VLOOKUP(O$83,Cuision!$G:$P,10,FALSE)))</f>
        <v>-1</v>
      </c>
      <c r="P99" s="33">
        <f>IF($A99=P$83, 0, distance(VLOOKUP($A99,Cuision!$G:$P,9,FALSE),VLOOKUP($A99,Cuision!$G:$P,10,FALSE),VLOOKUP(P$83,Cuision!$G:$P,9,FALSE),VLOOKUP(P$83,Cuision!$G:$P,10,FALSE)))</f>
        <v>-1</v>
      </c>
      <c r="Q99" s="33">
        <f>IF($A99=Q$83, 0, distance(VLOOKUP($A99,Cuision!$G:$P,9,FALSE),VLOOKUP($A99,Cuision!$G:$P,10,FALSE),VLOOKUP(Q$83,Cuision!$G:$P,9,FALSE),VLOOKUP(Q$83,Cuision!$G:$P,10,FALSE)))</f>
        <v>0</v>
      </c>
      <c r="R99" s="33">
        <f>IF($A99=R$83, 0, distance(VLOOKUP($A99,Cuision!$G:$P,9,FALSE),VLOOKUP($A99,Cuision!$G:$P,10,FALSE),VLOOKUP(R$83,Cuision!$G:$P,9,FALSE),VLOOKUP(R$83,Cuision!$G:$P,10,FALSE)))</f>
        <v>-1</v>
      </c>
      <c r="S99" s="33">
        <f>IF($A99=S$83, 0, distance(VLOOKUP($A99,Cuision!$G:$P,9,FALSE),VLOOKUP($A99,Cuision!$G:$P,10,FALSE),VLOOKUP(S$83,Cuision!$G:$P,9,FALSE),VLOOKUP(S$83,Cuision!$G:$P,10,FALSE)))</f>
        <v>-1</v>
      </c>
      <c r="T99" s="33">
        <f>IF($A99=T$83, 0, distance(VLOOKUP($A99,Cuision!$G:$P,9,FALSE),VLOOKUP($A99,Cuision!$G:$P,10,FALSE),VLOOKUP(T$83,Cuision!$G:$P,9,FALSE),VLOOKUP(T$83,Cuision!$G:$P,10,FALSE)))</f>
        <v>-1</v>
      </c>
      <c r="U99" s="33">
        <f>IF($A99=U$83, 0, distance(VLOOKUP($A99,Cuision!$G:$P,9,FALSE),VLOOKUP($A99,Cuision!$G:$P,10,FALSE),VLOOKUP(U$83,Cuision!$G:$P,9,FALSE),VLOOKUP(U$83,Cuision!$G:$P,10,FALSE)))</f>
        <v>-1</v>
      </c>
      <c r="V99" s="33">
        <f>IF($A99=V$83, 0, distance(VLOOKUP($A99,Cuision!$G:$P,9,FALSE),VLOOKUP($A99,Cuision!$G:$P,10,FALSE),VLOOKUP(V$83,Cuision!$G:$P,9,FALSE),VLOOKUP(V$83,Cuision!$G:$P,10,FALSE)))</f>
        <v>-1</v>
      </c>
      <c r="W99" s="33">
        <f>IF($A99=W$83, 0, distance(VLOOKUP($A99,Cuision!$G:$P,9,FALSE),VLOOKUP($A99,Cuision!$G:$P,10,FALSE),VLOOKUP(W$83,Cuision!$G:$P,9,FALSE),VLOOKUP(W$83,Cuision!$G:$P,10,FALSE)))</f>
        <v>-1</v>
      </c>
      <c r="X99" s="33">
        <f>IF($A99=X$83, 0, distance(VLOOKUP($A99,Cuision!$G:$P,9,FALSE),VLOOKUP($A99,Cuision!$G:$P,10,FALSE),VLOOKUP(X$83,Cuision!$G:$P,9,FALSE),VLOOKUP(X$83,Cuision!$G:$P,10,FALSE)))</f>
        <v>-1</v>
      </c>
      <c r="Y99" s="33">
        <f>IF($A99=Y$83, 0, distance(VLOOKUP($A99,Cuision!$G:$P,9,FALSE),VLOOKUP($A99,Cuision!$G:$P,10,FALSE),VLOOKUP(Y$83,Cuision!$G:$P,9,FALSE),VLOOKUP(Y$83,Cuision!$G:$P,10,FALSE)))</f>
        <v>-1</v>
      </c>
      <c r="Z99" s="33">
        <f>IF($A99=Z$83, 0, distance(VLOOKUP($A99,Cuision!$G:$P,9,FALSE),VLOOKUP($A99,Cuision!$G:$P,10,FALSE),VLOOKUP(Z$83,Cuision!$G:$P,9,FALSE),VLOOKUP(Z$83,Cuision!$G:$P,10,FALSE)))</f>
        <v>-1</v>
      </c>
      <c r="AA99" s="33">
        <f>IF($A99=AA$83, 0, distance(VLOOKUP($A99,Cuision!$G:$P,9,FALSE),VLOOKUP($A99,Cuision!$G:$P,10,FALSE),VLOOKUP(AA$83,Cuision!$G:$P,9,FALSE),VLOOKUP(AA$83,Cuision!$G:$P,10,FALSE)))</f>
        <v>-1</v>
      </c>
      <c r="AB99" s="33">
        <f>IF($A99=AB$83, 0, distance(VLOOKUP($A99,Cuision!$G:$P,9,FALSE),VLOOKUP($A99,Cuision!$G:$P,10,FALSE),VLOOKUP(AB$83,Cuision!$G:$P,9,FALSE),VLOOKUP(AB$83,Cuision!$G:$P,10,FALSE)))</f>
        <v>-1</v>
      </c>
      <c r="AC99" s="33">
        <f>IF($A99=AC$83, 0, distance(VLOOKUP($A99,Cuision!$G:$P,9,FALSE),VLOOKUP($A99,Cuision!$G:$P,10,FALSE),VLOOKUP(AC$83,Cuision!$G:$P,9,FALSE),VLOOKUP(AC$83,Cuision!$G:$P,10,FALSE)))</f>
        <v>-1</v>
      </c>
      <c r="AD99" s="33">
        <f>IF($A99=AD$83, 0, distance(VLOOKUP($A99,Cuision!$G:$P,9,FALSE),VLOOKUP($A99,Cuision!$G:$P,10,FALSE),VLOOKUP(AD$83,Cuision!$G:$P,9,FALSE),VLOOKUP(AD$83,Cuision!$G:$P,10,FALSE)))</f>
        <v>-1</v>
      </c>
      <c r="AE99" s="33">
        <f>IF($A99=AE$83, 0, distance(VLOOKUP($A99,Cuision!$G:$P,9,FALSE),VLOOKUP($A99,Cuision!$G:$P,10,FALSE),VLOOKUP(AE$83,Cuision!$G:$P,9,FALSE),VLOOKUP(AE$83,Cuision!$G:$P,10,FALSE)))</f>
        <v>-1</v>
      </c>
      <c r="AF99" s="33">
        <f>IF($A99=AF$83, 0, distance(VLOOKUP($A99,Cuision!$G:$P,9,FALSE),VLOOKUP($A99,Cuision!$G:$P,10,FALSE),VLOOKUP(AF$83,Cuision!$G:$P,9,FALSE),VLOOKUP(AF$83,Cuision!$G:$P,10,FALSE)))</f>
        <v>-1</v>
      </c>
      <c r="AG99" s="33">
        <f>IF($A99=AG$83, 0, distance(VLOOKUP($A99,Cuision!$G:$P,9,FALSE),VLOOKUP($A99,Cuision!$G:$P,10,FALSE),VLOOKUP(AG$83,Cuision!$G:$P,9,FALSE),VLOOKUP(AG$83,Cuision!$G:$P,10,FALSE)))</f>
        <v>-1</v>
      </c>
      <c r="AH99" s="33">
        <f>IF($A99=AH$83, 0, distance(VLOOKUP($A99,Cuision!$G:$P,9,FALSE),VLOOKUP($A99,Cuision!$G:$P,10,FALSE),VLOOKUP(AH$83,Cuision!$G:$P,9,FALSE),VLOOKUP(AH$83,Cuision!$G:$P,10,FALSE)))</f>
        <v>-1</v>
      </c>
      <c r="AI99" s="33">
        <f>IF($A99=AI$83, 0, distance(VLOOKUP($A99,Cuision!$G:$P,9,FALSE),VLOOKUP($A99,Cuision!$G:$P,10,FALSE),VLOOKUP(AI$83,Cuision!$G:$P,9,FALSE),VLOOKUP(AI$83,Cuision!$G:$P,10,FALSE)))</f>
        <v>-1</v>
      </c>
      <c r="AJ99" s="33">
        <f>IF($A99=AJ$83, 0, distance(VLOOKUP($A99,Cuision!$G:$P,9,FALSE),VLOOKUP($A99,Cuision!$G:$P,10,FALSE),VLOOKUP(AJ$83,Cuision!$G:$P,9,FALSE),VLOOKUP(AJ$83,Cuision!$G:$P,10,FALSE)))</f>
        <v>-1</v>
      </c>
      <c r="AK99" s="33">
        <f>IF($A99=AK$83, 0, distance(VLOOKUP($A99,Cuision!$G:$P,9,FALSE),VLOOKUP($A99,Cuision!$G:$P,10,FALSE),VLOOKUP(AK$83,Cuision!$G:$P,9,FALSE),VLOOKUP(AK$83,Cuision!$G:$P,10,FALSE)))</f>
        <v>-1</v>
      </c>
      <c r="AL99" s="33">
        <f>IF($A99=AL$83, 0, distance(VLOOKUP($A99,Cuision!$G:$P,9,FALSE),VLOOKUP($A99,Cuision!$G:$P,10,FALSE),VLOOKUP(AL$83,Cuision!$G:$P,9,FALSE),VLOOKUP(AL$83,Cuision!$G:$P,10,FALSE)))</f>
        <v>-1</v>
      </c>
      <c r="AM99" s="33">
        <f>IF($A99=AM$83, 0, distance(VLOOKUP($A99,Cuision!$G:$P,9,FALSE),VLOOKUP($A99,Cuision!$G:$P,10,FALSE),VLOOKUP(AM$83,Cuision!$G:$P,9,FALSE),VLOOKUP(AM$83,Cuision!$G:$P,10,FALSE)))</f>
        <v>-1</v>
      </c>
      <c r="AN99" s="33">
        <f>IF($A99=AN$83, 0, distance(VLOOKUP($A99,Cuision!$G:$P,9,FALSE),VLOOKUP($A99,Cuision!$G:$P,10,FALSE),VLOOKUP(AN$83,Cuision!$G:$P,9,FALSE),VLOOKUP(AN$83,Cuision!$G:$P,10,FALSE)))</f>
        <v>-1</v>
      </c>
      <c r="AO99" s="33">
        <f>IF($A99=AO$83, 0, distance(VLOOKUP($A99,Cuision!$G:$P,9,FALSE),VLOOKUP($A99,Cuision!$G:$P,10,FALSE),VLOOKUP(AO$83,Cuision!$G:$P,9,FALSE),VLOOKUP(AO$83,Cuision!$G:$P,10,FALSE)))</f>
        <v>-1</v>
      </c>
      <c r="AP99" s="33">
        <f>IF($A99=AP$83, 0, distance(VLOOKUP($A99,Cuision!$G:$P,9,FALSE),VLOOKUP($A99,Cuision!$G:$P,10,FALSE),VLOOKUP(AP$83,Cuision!$G:$P,9,FALSE),VLOOKUP(AP$83,Cuision!$G:$P,10,FALSE)))</f>
        <v>-1</v>
      </c>
      <c r="AQ99" s="33">
        <f>IF($A99=AQ$83, 0, distance(VLOOKUP($A99,Cuision!$G:$P,9,FALSE),VLOOKUP($A99,Cuision!$G:$P,10,FALSE),VLOOKUP(AQ$83,Cuision!$G:$P,9,FALSE),VLOOKUP(AQ$83,Cuision!$G:$P,10,FALSE)))</f>
        <v>-1</v>
      </c>
      <c r="AR99" s="33">
        <f>IF($A99=AR$83, 0, distance(VLOOKUP($A99,Cuision!$G:$P,9,FALSE),VLOOKUP($A99,Cuision!$G:$P,10,FALSE),VLOOKUP(AR$83,Cuision!$G:$P,9,FALSE),VLOOKUP(AR$83,Cuision!$G:$P,10,FALSE)))</f>
        <v>-1</v>
      </c>
      <c r="AS99" s="33">
        <f>IF($A99=AS$83, 0, distance(VLOOKUP($A99,Cuision!$G:$P,9,FALSE),VLOOKUP($A99,Cuision!$G:$P,10,FALSE),VLOOKUP(AS$83,Cuision!$G:$P,9,FALSE),VLOOKUP(AS$83,Cuision!$G:$P,10,FALSE)))</f>
        <v>-1</v>
      </c>
      <c r="AT99" s="33">
        <f>IF($A99=AT$83, 0, distance(VLOOKUP($A99,Cuision!$G:$P,9,FALSE),VLOOKUP($A99,Cuision!$G:$P,10,FALSE),VLOOKUP(AT$83,Cuision!$G:$P,9,FALSE),VLOOKUP(AT$83,Cuision!$G:$P,10,FALSE)))</f>
        <v>-1</v>
      </c>
      <c r="AU99" s="33">
        <f>IF($A99=AU$83, 0, distance(VLOOKUP($A99,Cuision!$G:$P,9,FALSE),VLOOKUP($A99,Cuision!$G:$P,10,FALSE),VLOOKUP(AU$83,Cuision!$G:$P,9,FALSE),VLOOKUP(AU$83,Cuision!$G:$P,10,FALSE)))</f>
        <v>-1</v>
      </c>
      <c r="AV99" s="33">
        <f>IF($A99=AV$83, 0, distance(VLOOKUP($A99,Cuision!$G:$P,9,FALSE),VLOOKUP($A99,Cuision!$G:$P,10,FALSE),VLOOKUP(AV$83,Cuision!$G:$P,9,FALSE),VLOOKUP(AV$83,Cuision!$G:$P,10,FALSE)))</f>
        <v>-1</v>
      </c>
      <c r="AW99" s="33">
        <f>IF($A99=AW$83, 0, distance(VLOOKUP($A99,Cuision!$G:$P,9,FALSE),VLOOKUP($A99,Cuision!$G:$P,10,FALSE),VLOOKUP(AW$83,Cuision!$G:$P,9,FALSE),VLOOKUP(AW$83,Cuision!$G:$P,10,FALSE)))</f>
        <v>-1</v>
      </c>
      <c r="AX99" s="33">
        <f>IF($A99=AX$83, 0, distance(VLOOKUP($A99,Cuision!$G:$P,9,FALSE),VLOOKUP($A99,Cuision!$G:$P,10,FALSE),VLOOKUP(AX$83,Cuision!$G:$P,9,FALSE),VLOOKUP(AX$83,Cuision!$G:$P,10,FALSE)))</f>
        <v>-1</v>
      </c>
      <c r="AY99" s="33">
        <f>IF($A99=AY$83, 0, distance(VLOOKUP($A99,Cuision!$G:$P,9,FALSE),VLOOKUP($A99,Cuision!$G:$P,10,FALSE),VLOOKUP(AY$83,Cuision!$G:$P,9,FALSE),VLOOKUP(AY$83,Cuision!$G:$P,10,FALSE)))</f>
        <v>-1</v>
      </c>
      <c r="AZ99" s="33">
        <f>IF($A99=AZ$83, 0, distance(VLOOKUP($A99,Cuision!$G:$P,9,FALSE),VLOOKUP($A99,Cuision!$G:$P,10,FALSE),VLOOKUP(AZ$83,Cuision!$G:$P,9,FALSE),VLOOKUP(AZ$83,Cuision!$G:$P,10,FALSE)))</f>
        <v>-1</v>
      </c>
      <c r="BA99" s="33">
        <f>IF($A99=BA$83, 0, distance(VLOOKUP($A99,Cuision!$G:$P,9,FALSE),VLOOKUP($A99,Cuision!$G:$P,10,FALSE),VLOOKUP(BA$83,Cuision!$G:$P,9,FALSE),VLOOKUP(BA$83,Cuision!$G:$P,10,FALSE)))</f>
        <v>-1</v>
      </c>
      <c r="BB99" s="33">
        <f>IF($A99=BB$83, 0, distance(VLOOKUP($A99,Cuision!$G:$P,9,FALSE),VLOOKUP($A99,Cuision!$G:$P,10,FALSE),VLOOKUP(BB$83,Cuision!$G:$P,9,FALSE),VLOOKUP(BB$83,Cuision!$G:$P,10,FALSE)))</f>
        <v>-1</v>
      </c>
      <c r="BC99" s="33">
        <f>IF($A99=BC$83, 0, distance(VLOOKUP($A99,Cuision!$G:$P,9,FALSE),VLOOKUP($A99,Cuision!$G:$P,10,FALSE),VLOOKUP(BC$83,Cuision!$G:$P,9,FALSE),VLOOKUP(BC$83,Cuision!$G:$P,10,FALSE)))</f>
        <v>-1</v>
      </c>
      <c r="BD99" s="33">
        <f>IF($A99=BD$83, 0, distance(VLOOKUP($A99,Cuision!$G:$P,9,FALSE),VLOOKUP($A99,Cuision!$G:$P,10,FALSE),VLOOKUP(BD$83,Cuision!$G:$P,9,FALSE),VLOOKUP(BD$83,Cuision!$G:$P,10,FALSE)))</f>
        <v>-1</v>
      </c>
      <c r="BE99" s="33">
        <f>IF($A99=BE$83, 0, distance(VLOOKUP($A99,Cuision!$G:$P,9,FALSE),VLOOKUP($A99,Cuision!$G:$P,10,FALSE),VLOOKUP(BE$83,Cuision!$G:$P,9,FALSE),VLOOKUP(BE$83,Cuision!$G:$P,10,FALSE)))</f>
        <v>-1</v>
      </c>
      <c r="BF99" s="33">
        <f>IF($A99=BF$83, 0, distance(VLOOKUP($A99,Cuision!$G:$P,9,FALSE),VLOOKUP($A99,Cuision!$G:$P,10,FALSE),VLOOKUP(BF$83,Cuision!$G:$P,9,FALSE),VLOOKUP(BF$83,Cuision!$G:$P,10,FALSE)))</f>
        <v>-1</v>
      </c>
      <c r="BG99" s="33">
        <f>IF($A99=BG$83, 0, distance(VLOOKUP($A99,Cuision!$G:$P,9,FALSE),VLOOKUP($A99,Cuision!$G:$P,10,FALSE),VLOOKUP(BG$83,Cuision!$G:$P,9,FALSE),VLOOKUP(BG$83,Cuision!$G:$P,10,FALSE)))</f>
        <v>-1</v>
      </c>
      <c r="BH99" s="33">
        <f>IF($A99=BH$83, 0, distance(VLOOKUP($A99,Cuision!$G:$P,9,FALSE),VLOOKUP($A99,Cuision!$G:$P,10,FALSE),VLOOKUP(BH$83,Cuision!$G:$P,9,FALSE),VLOOKUP(BH$83,Cuision!$G:$P,10,FALSE)))</f>
        <v>-1</v>
      </c>
      <c r="BI99" s="33">
        <f>IF($A99=BI$83, 0, distance(VLOOKUP($A99,Cuision!$G:$P,9,FALSE),VLOOKUP($A99,Cuision!$G:$P,10,FALSE),VLOOKUP(BI$83,Cuision!$G:$P,9,FALSE),VLOOKUP(BI$83,Cuision!$G:$P,10,FALSE)))</f>
        <v>-1</v>
      </c>
      <c r="BJ99" s="33">
        <f>IF($A99=BJ$83, 0, distance(VLOOKUP($A99,Cuision!$G:$P,9,FALSE),VLOOKUP($A99,Cuision!$G:$P,10,FALSE),VLOOKUP(BJ$83,Cuision!$G:$P,9,FALSE),VLOOKUP(BJ$83,Cuision!$G:$P,10,FALSE)))</f>
        <v>-1</v>
      </c>
      <c r="BK99" s="33">
        <f>IF($A99=BK$83, 0, distance(VLOOKUP($A99,Cuision!$G:$P,9,FALSE),VLOOKUP($A99,Cuision!$G:$P,10,FALSE),VLOOKUP(BK$83,Cuision!$G:$P,9,FALSE),VLOOKUP(BK$83,Cuision!$G:$P,10,FALSE)))</f>
        <v>-1</v>
      </c>
      <c r="BL99" s="33">
        <f>IF($A99=BL$83, 0, distance(VLOOKUP($A99,Cuision!$G:$P,9,FALSE),VLOOKUP($A99,Cuision!$G:$P,10,FALSE),VLOOKUP(BL$83,Cuision!$G:$P,9,FALSE),VLOOKUP(BL$83,Cuision!$G:$P,10,FALSE)))</f>
        <v>-1</v>
      </c>
      <c r="BM99" s="33">
        <f>IF($A99=BM$83, 0, distance(VLOOKUP($A99,Cuision!$G:$P,9,FALSE),VLOOKUP($A99,Cuision!$G:$P,10,FALSE),VLOOKUP(BM$83,Cuision!$G:$P,9,FALSE),VLOOKUP(BM$83,Cuision!$G:$P,10,FALSE)))</f>
        <v>-1</v>
      </c>
      <c r="BN99" s="33">
        <f>IF($A99=BN$83, 0, distance(VLOOKUP($A99,Cuision!$G:$P,9,FALSE),VLOOKUP($A99,Cuision!$G:$P,10,FALSE),VLOOKUP(BN$83,Cuision!$G:$P,9,FALSE),VLOOKUP(BN$83,Cuision!$G:$P,10,FALSE)))</f>
        <v>-1</v>
      </c>
      <c r="BO99" s="33">
        <f>IF($A99=BO$83, 0, distance(VLOOKUP($A99,Cuision!$G:$P,9,FALSE),VLOOKUP($A99,Cuision!$G:$P,10,FALSE),VLOOKUP(BO$83,Cuision!$G:$P,9,FALSE),VLOOKUP(BO$83,Cuision!$G:$P,10,FALSE)))</f>
        <v>-1</v>
      </c>
      <c r="BP99" s="33">
        <f>IF($A99=BP$83, 0, distance(VLOOKUP($A99,Cuision!$G:$P,9,FALSE),VLOOKUP($A99,Cuision!$G:$P,10,FALSE),VLOOKUP(BP$83,Cuision!$G:$P,9,FALSE),VLOOKUP(BP$83,Cuision!$G:$P,10,FALSE)))</f>
        <v>-1</v>
      </c>
      <c r="BQ99" s="33">
        <f>IF($A99=BQ$83, 0, distance(VLOOKUP($A99,Cuision!$G:$P,9,FALSE),VLOOKUP($A99,Cuision!$G:$P,10,FALSE),VLOOKUP(BQ$83,Cuision!$G:$P,9,FALSE),VLOOKUP(BQ$83,Cuision!$G:$P,10,FALSE)))</f>
        <v>-1</v>
      </c>
      <c r="BR99" s="33">
        <f>IF($A99=BR$83, 0, distance(VLOOKUP($A99,Cuision!$G:$P,9,FALSE),VLOOKUP($A99,Cuision!$G:$P,10,FALSE),VLOOKUP(BR$83,Cuision!$G:$P,9,FALSE),VLOOKUP(BR$83,Cuision!$G:$P,10,FALSE)))</f>
        <v>-1</v>
      </c>
      <c r="BS99" s="33">
        <f>IF($A99=BS$83, 0, distance(VLOOKUP($A99,Cuision!$G:$P,9,FALSE),VLOOKUP($A99,Cuision!$G:$P,10,FALSE),VLOOKUP(BS$83,Cuision!$G:$P,9,FALSE),VLOOKUP(BS$83,Cuision!$G:$P,10,FALSE)))</f>
        <v>-1</v>
      </c>
      <c r="BT99" s="33">
        <f>IF($A99=BT$83, 0, distance(VLOOKUP($A99,Cuision!$G:$P,9,FALSE),VLOOKUP($A99,Cuision!$G:$P,10,FALSE),VLOOKUP(BT$83,Cuision!$G:$P,9,FALSE),VLOOKUP(BT$83,Cuision!$G:$P,10,FALSE)))</f>
        <v>-1</v>
      </c>
      <c r="BU99" s="33">
        <f>IF($A99=BU$83, 0, distance(VLOOKUP($A99,Cuision!$G:$P,9,FALSE),VLOOKUP($A99,Cuision!$G:$P,10,FALSE),VLOOKUP(BU$83,Cuision!$G:$P,9,FALSE),VLOOKUP(BU$83,Cuision!$G:$P,10,FALSE)))</f>
        <v>-1</v>
      </c>
      <c r="BV99" s="33">
        <f>IF($A99=BV$83, 0, distance(VLOOKUP($A99,Cuision!$G:$P,9,FALSE),VLOOKUP($A99,Cuision!$G:$P,10,FALSE),VLOOKUP(BV$83,Cuision!$G:$P,9,FALSE),VLOOKUP(BV$83,Cuision!$G:$P,10,FALSE)))</f>
        <v>-1</v>
      </c>
      <c r="BW99" s="33">
        <f>IF($A99=BW$83, 0, distance(VLOOKUP($A99,Cuision!$G:$P,9,FALSE),VLOOKUP($A99,Cuision!$G:$P,10,FALSE),VLOOKUP(BW$83,Cuision!$G:$P,9,FALSE),VLOOKUP(BW$83,Cuision!$G:$P,10,FALSE)))</f>
        <v>-1</v>
      </c>
      <c r="BX99" s="33">
        <f>IF($A99=BX$83, 0, distance(VLOOKUP($A99,Cuision!$G:$P,9,FALSE),VLOOKUP($A99,Cuision!$G:$P,10,FALSE),VLOOKUP(BX$83,Cuision!$G:$P,9,FALSE),VLOOKUP(BX$83,Cuision!$G:$P,10,FALSE)))</f>
        <v>-1</v>
      </c>
      <c r="BY99" s="33">
        <f>IF($A99=BY$83, 0, distance(VLOOKUP($A99,Cuision!$G:$P,9,FALSE),VLOOKUP($A99,Cuision!$G:$P,10,FALSE),VLOOKUP(BY$83,Cuision!$G:$P,9,FALSE),VLOOKUP(BY$83,Cuision!$G:$P,10,FALSE)))</f>
        <v>-1</v>
      </c>
      <c r="BZ99" s="33">
        <f>IF($A99=BZ$83, 0, distance(VLOOKUP($A99,Cuision!$G:$P,9,FALSE),VLOOKUP($A99,Cuision!$G:$P,10,FALSE),VLOOKUP(BZ$83,Cuision!$G:$P,9,FALSE),VLOOKUP(BZ$83,Cuision!$G:$P,10,FALSE)))</f>
        <v>-1</v>
      </c>
      <c r="CA99" s="33">
        <f>IF($A99=CA$83, 0, distance(VLOOKUP($A99,Cuision!$G:$P,9,FALSE),VLOOKUP($A99,Cuision!$G:$P,10,FALSE),VLOOKUP(CA$83,Cuision!$G:$P,9,FALSE),VLOOKUP(CA$83,Cuision!$G:$P,10,FALSE)))</f>
        <v>-1</v>
      </c>
    </row>
    <row r="100" spans="1:79" ht="14.25" x14ac:dyDescent="0.2">
      <c r="A100" s="30" t="s">
        <v>57</v>
      </c>
      <c r="B100" s="33">
        <f>IF($A100=B$83, 0, distance(VLOOKUP($A100,Cuision!$G:$P,9,FALSE),VLOOKUP($A100,Cuision!$G:$P,10,FALSE),VLOOKUP(B$83,Cuision!$G:$P,9,FALSE),VLOOKUP(B$83,Cuision!$G:$P,10,FALSE)))</f>
        <v>3545.9953210408289</v>
      </c>
      <c r="C100" s="33">
        <f>IF($A100=C$83, 0, distance(VLOOKUP($A100,Cuision!$G:$P,9,FALSE),VLOOKUP($A100,Cuision!$G:$P,10,FALSE),VLOOKUP(C$83,Cuision!$G:$P,9,FALSE),VLOOKUP(C$83,Cuision!$G:$P,10,FALSE)))</f>
        <v>4647.0290979849078</v>
      </c>
      <c r="D100" s="33">
        <f>IF($A100=D$83, 0, distance(VLOOKUP($A100,Cuision!$G:$P,9,FALSE),VLOOKUP($A100,Cuision!$G:$P,10,FALSE),VLOOKUP(D$83,Cuision!$G:$P,9,FALSE),VLOOKUP(D$83,Cuision!$G:$P,10,FALSE)))</f>
        <v>3664.7380839482948</v>
      </c>
      <c r="E100" s="33">
        <f>IF($A100=E$83, 0, distance(VLOOKUP($A100,Cuision!$G:$P,9,FALSE),VLOOKUP($A100,Cuision!$G:$P,10,FALSE),VLOOKUP(E$83,Cuision!$G:$P,9,FALSE),VLOOKUP(E$83,Cuision!$G:$P,10,FALSE)))</f>
        <v>3664.7380839482948</v>
      </c>
      <c r="F100" s="33">
        <f>IF($A100=F$83, 0, distance(VLOOKUP($A100,Cuision!$G:$P,9,FALSE),VLOOKUP($A100,Cuision!$G:$P,10,FALSE),VLOOKUP(F$83,Cuision!$G:$P,9,FALSE),VLOOKUP(F$83,Cuision!$G:$P,10,FALSE)))</f>
        <v>2663.5886544931418</v>
      </c>
      <c r="G100" s="33">
        <f>IF($A100=G$83, 0, distance(VLOOKUP($A100,Cuision!$G:$P,9,FALSE),VLOOKUP($A100,Cuision!$G:$P,10,FALSE),VLOOKUP(G$83,Cuision!$G:$P,9,FALSE),VLOOKUP(G$83,Cuision!$G:$P,10,FALSE)))</f>
        <v>6914.536194099418</v>
      </c>
      <c r="H100" s="33">
        <f>IF($A100=H$83, 0, distance(VLOOKUP($A100,Cuision!$G:$P,9,FALSE),VLOOKUP($A100,Cuision!$G:$P,10,FALSE),VLOOKUP(H$83,Cuision!$G:$P,9,FALSE),VLOOKUP(H$83,Cuision!$G:$P,10,FALSE)))</f>
        <v>2245.7727898826438</v>
      </c>
      <c r="I100" s="33">
        <f>IF($A100=I$83, 0, distance(VLOOKUP($A100,Cuision!$G:$P,9,FALSE),VLOOKUP($A100,Cuision!$G:$P,10,FALSE),VLOOKUP(I$83,Cuision!$G:$P,9,FALSE),VLOOKUP(I$83,Cuision!$G:$P,10,FALSE)))</f>
        <v>4836.1876543609851</v>
      </c>
      <c r="J100" s="33">
        <f>IF($A100=J$83, 0, distance(VLOOKUP($A100,Cuision!$G:$P,9,FALSE),VLOOKUP($A100,Cuision!$G:$P,10,FALSE),VLOOKUP(J$83,Cuision!$G:$P,9,FALSE),VLOOKUP(J$83,Cuision!$G:$P,10,FALSE)))</f>
        <v>10551.28590300766</v>
      </c>
      <c r="K100" s="33">
        <f>IF($A100=K$83, 0, distance(VLOOKUP($A100,Cuision!$G:$P,9,FALSE),VLOOKUP($A100,Cuision!$G:$P,10,FALSE),VLOOKUP(K$83,Cuision!$G:$P,9,FALSE),VLOOKUP(K$83,Cuision!$G:$P,10,FALSE)))</f>
        <v>767.52659004292161</v>
      </c>
      <c r="L100" s="33">
        <f>IF($A100=L$83, 0, distance(VLOOKUP($A100,Cuision!$G:$P,9,FALSE),VLOOKUP($A100,Cuision!$G:$P,10,FALSE),VLOOKUP(L$83,Cuision!$G:$P,9,FALSE),VLOOKUP(L$83,Cuision!$G:$P,10,FALSE)))</f>
        <v>4973.0281715853507</v>
      </c>
      <c r="M100" s="33">
        <f>IF($A100=M$83, 0, distance(VLOOKUP($A100,Cuision!$G:$P,9,FALSE),VLOOKUP($A100,Cuision!$G:$P,10,FALSE),VLOOKUP(M$83,Cuision!$G:$P,9,FALSE),VLOOKUP(M$83,Cuision!$G:$P,10,FALSE)))</f>
        <v>-1</v>
      </c>
      <c r="N100" s="33">
        <f>IF($A100=N$83, 0, distance(VLOOKUP($A100,Cuision!$G:$P,9,FALSE),VLOOKUP($A100,Cuision!$G:$P,10,FALSE),VLOOKUP(N$83,Cuision!$G:$P,9,FALSE),VLOOKUP(N$83,Cuision!$G:$P,10,FALSE)))</f>
        <v>784.90553114647901</v>
      </c>
      <c r="O100" s="33">
        <f>IF($A100=O$83, 0, distance(VLOOKUP($A100,Cuision!$G:$P,9,FALSE),VLOOKUP($A100,Cuision!$G:$P,10,FALSE),VLOOKUP(O$83,Cuision!$G:$P,9,FALSE),VLOOKUP(O$83,Cuision!$G:$P,10,FALSE)))</f>
        <v>199.28363710695942</v>
      </c>
      <c r="P100" s="33">
        <f>IF($A100=P$83, 0, distance(VLOOKUP($A100,Cuision!$G:$P,9,FALSE),VLOOKUP($A100,Cuision!$G:$P,10,FALSE),VLOOKUP(P$83,Cuision!$G:$P,9,FALSE),VLOOKUP(P$83,Cuision!$G:$P,10,FALSE)))</f>
        <v>5463.5769797547719</v>
      </c>
      <c r="Q100" s="33">
        <f>IF($A100=Q$83, 0, distance(VLOOKUP($A100,Cuision!$G:$P,9,FALSE),VLOOKUP($A100,Cuision!$G:$P,10,FALSE),VLOOKUP(Q$83,Cuision!$G:$P,9,FALSE),VLOOKUP(Q$83,Cuision!$G:$P,10,FALSE)))</f>
        <v>-1</v>
      </c>
      <c r="R100" s="33">
        <f>IF($A100=R$83, 0, distance(VLOOKUP($A100,Cuision!$G:$P,9,FALSE),VLOOKUP($A100,Cuision!$G:$P,10,FALSE),VLOOKUP(R$83,Cuision!$G:$P,9,FALSE),VLOOKUP(R$83,Cuision!$G:$P,10,FALSE)))</f>
        <v>0</v>
      </c>
      <c r="S100" s="33">
        <f>IF($A100=S$83, 0, distance(VLOOKUP($A100,Cuision!$G:$P,9,FALSE),VLOOKUP($A100,Cuision!$G:$P,10,FALSE),VLOOKUP(S$83,Cuision!$G:$P,9,FALSE),VLOOKUP(S$83,Cuision!$G:$P,10,FALSE)))</f>
        <v>-1</v>
      </c>
      <c r="T100" s="33">
        <f>IF($A100=T$83, 0, distance(VLOOKUP($A100,Cuision!$G:$P,9,FALSE),VLOOKUP($A100,Cuision!$G:$P,10,FALSE),VLOOKUP(T$83,Cuision!$G:$P,9,FALSE),VLOOKUP(T$83,Cuision!$G:$P,10,FALSE)))</f>
        <v>5418.5031452549056</v>
      </c>
      <c r="U100" s="33">
        <f>IF($A100=U$83, 0, distance(VLOOKUP($A100,Cuision!$G:$P,9,FALSE),VLOOKUP($A100,Cuision!$G:$P,10,FALSE),VLOOKUP(U$83,Cuision!$G:$P,9,FALSE),VLOOKUP(U$83,Cuision!$G:$P,10,FALSE)))</f>
        <v>-1</v>
      </c>
      <c r="V100" s="33">
        <f>IF($A100=V$83, 0, distance(VLOOKUP($A100,Cuision!$G:$P,9,FALSE),VLOOKUP($A100,Cuision!$G:$P,10,FALSE),VLOOKUP(V$83,Cuision!$G:$P,9,FALSE),VLOOKUP(V$83,Cuision!$G:$P,10,FALSE)))</f>
        <v>3664.7380839482948</v>
      </c>
      <c r="W100" s="33">
        <f>IF($A100=W$83, 0, distance(VLOOKUP($A100,Cuision!$G:$P,9,FALSE),VLOOKUP($A100,Cuision!$G:$P,10,FALSE),VLOOKUP(W$83,Cuision!$G:$P,9,FALSE),VLOOKUP(W$83,Cuision!$G:$P,10,FALSE)))</f>
        <v>6223.9505523929802</v>
      </c>
      <c r="X100" s="33">
        <f>IF($A100=X$83, 0, distance(VLOOKUP($A100,Cuision!$G:$P,9,FALSE),VLOOKUP($A100,Cuision!$G:$P,10,FALSE),VLOOKUP(X$83,Cuision!$G:$P,9,FALSE),VLOOKUP(X$83,Cuision!$G:$P,10,FALSE)))</f>
        <v>784.90553114647901</v>
      </c>
      <c r="Y100" s="33">
        <f>IF($A100=Y$83, 0, distance(VLOOKUP($A100,Cuision!$G:$P,9,FALSE),VLOOKUP($A100,Cuision!$G:$P,10,FALSE),VLOOKUP(Y$83,Cuision!$G:$P,9,FALSE),VLOOKUP(Y$83,Cuision!$G:$P,10,FALSE)))</f>
        <v>5057.7634483185511</v>
      </c>
      <c r="Z100" s="33">
        <f>IF($A100=Z$83, 0, distance(VLOOKUP($A100,Cuision!$G:$P,9,FALSE),VLOOKUP($A100,Cuision!$G:$P,10,FALSE),VLOOKUP(Z$83,Cuision!$G:$P,9,FALSE),VLOOKUP(Z$83,Cuision!$G:$P,10,FALSE)))</f>
        <v>-1</v>
      </c>
      <c r="AA100" s="33">
        <f>IF($A100=AA$83, 0, distance(VLOOKUP($A100,Cuision!$G:$P,9,FALSE),VLOOKUP($A100,Cuision!$G:$P,10,FALSE),VLOOKUP(AA$83,Cuision!$G:$P,9,FALSE),VLOOKUP(AA$83,Cuision!$G:$P,10,FALSE)))</f>
        <v>4655.1556265181625</v>
      </c>
      <c r="AB100" s="33">
        <f>IF($A100=AB$83, 0, distance(VLOOKUP($A100,Cuision!$G:$P,9,FALSE),VLOOKUP($A100,Cuision!$G:$P,10,FALSE),VLOOKUP(AB$83,Cuision!$G:$P,9,FALSE),VLOOKUP(AB$83,Cuision!$G:$P,10,FALSE)))</f>
        <v>641.77956632363794</v>
      </c>
      <c r="AC100" s="33">
        <f>IF($A100=AC$83, 0, distance(VLOOKUP($A100,Cuision!$G:$P,9,FALSE),VLOOKUP($A100,Cuision!$G:$P,10,FALSE),VLOOKUP(AC$83,Cuision!$G:$P,9,FALSE),VLOOKUP(AC$83,Cuision!$G:$P,10,FALSE)))</f>
        <v>3664.7179459095614</v>
      </c>
      <c r="AD100" s="33">
        <f>IF($A100=AD$83, 0, distance(VLOOKUP($A100,Cuision!$G:$P,9,FALSE),VLOOKUP($A100,Cuision!$G:$P,10,FALSE),VLOOKUP(AD$83,Cuision!$G:$P,9,FALSE),VLOOKUP(AD$83,Cuision!$G:$P,10,FALSE)))</f>
        <v>6669.9184350642254</v>
      </c>
      <c r="AE100" s="33">
        <f>IF($A100=AE$83, 0, distance(VLOOKUP($A100,Cuision!$G:$P,9,FALSE),VLOOKUP($A100,Cuision!$G:$P,10,FALSE),VLOOKUP(AE$83,Cuision!$G:$P,9,FALSE),VLOOKUP(AE$83,Cuision!$G:$P,10,FALSE)))</f>
        <v>876.99149719592697</v>
      </c>
      <c r="AF100" s="33">
        <f>IF($A100=AF$83, 0, distance(VLOOKUP($A100,Cuision!$G:$P,9,FALSE),VLOOKUP($A100,Cuision!$G:$P,10,FALSE),VLOOKUP(AF$83,Cuision!$G:$P,9,FALSE),VLOOKUP(AF$83,Cuision!$G:$P,10,FALSE)))</f>
        <v>214.01332790653947</v>
      </c>
      <c r="AG100" s="33">
        <f>IF($A100=AG$83, 0, distance(VLOOKUP($A100,Cuision!$G:$P,9,FALSE),VLOOKUP($A100,Cuision!$G:$P,10,FALSE),VLOOKUP(AG$83,Cuision!$G:$P,9,FALSE),VLOOKUP(AG$83,Cuision!$G:$P,10,FALSE)))</f>
        <v>579.08706893054705</v>
      </c>
      <c r="AH100" s="33">
        <f>IF($A100=AH$83, 0, distance(VLOOKUP($A100,Cuision!$G:$P,9,FALSE),VLOOKUP($A100,Cuision!$G:$P,10,FALSE),VLOOKUP(AH$83,Cuision!$G:$P,9,FALSE),VLOOKUP(AH$83,Cuision!$G:$P,10,FALSE)))</f>
        <v>-1</v>
      </c>
      <c r="AI100" s="33">
        <f>IF($A100=AI$83, 0, distance(VLOOKUP($A100,Cuision!$G:$P,9,FALSE),VLOOKUP($A100,Cuision!$G:$P,10,FALSE),VLOOKUP(AI$83,Cuision!$G:$P,9,FALSE),VLOOKUP(AI$83,Cuision!$G:$P,10,FALSE)))</f>
        <v>1486.0996154984921</v>
      </c>
      <c r="AJ100" s="33">
        <f>IF($A100=AJ$83, 0, distance(VLOOKUP($A100,Cuision!$G:$P,9,FALSE),VLOOKUP($A100,Cuision!$G:$P,10,FALSE),VLOOKUP(AJ$83,Cuision!$G:$P,9,FALSE),VLOOKUP(AJ$83,Cuision!$G:$P,10,FALSE)))</f>
        <v>2663.5886544931418</v>
      </c>
      <c r="AK100" s="33">
        <f>IF($A100=AK$83, 0, distance(VLOOKUP($A100,Cuision!$G:$P,9,FALSE),VLOOKUP($A100,Cuision!$G:$P,10,FALSE),VLOOKUP(AK$83,Cuision!$G:$P,9,FALSE),VLOOKUP(AK$83,Cuision!$G:$P,10,FALSE)))</f>
        <v>7283.7203694867039</v>
      </c>
      <c r="AL100" s="33">
        <f>IF($A100=AL$83, 0, distance(VLOOKUP($A100,Cuision!$G:$P,9,FALSE),VLOOKUP($A100,Cuision!$G:$P,10,FALSE),VLOOKUP(AL$83,Cuision!$G:$P,9,FALSE),VLOOKUP(AL$83,Cuision!$G:$P,10,FALSE)))</f>
        <v>4556.397932645692</v>
      </c>
      <c r="AM100" s="33">
        <f>IF($A100=AM$83, 0, distance(VLOOKUP($A100,Cuision!$G:$P,9,FALSE),VLOOKUP($A100,Cuision!$G:$P,10,FALSE),VLOOKUP(AM$83,Cuision!$G:$P,9,FALSE),VLOOKUP(AM$83,Cuision!$G:$P,10,FALSE)))</f>
        <v>-1</v>
      </c>
      <c r="AN100" s="33">
        <f>IF($A100=AN$83, 0, distance(VLOOKUP($A100,Cuision!$G:$P,9,FALSE),VLOOKUP($A100,Cuision!$G:$P,10,FALSE),VLOOKUP(AN$83,Cuision!$G:$P,9,FALSE),VLOOKUP(AN$83,Cuision!$G:$P,10,FALSE)))</f>
        <v>900.52613160456258</v>
      </c>
      <c r="AO100" s="33">
        <f>IF($A100=AO$83, 0, distance(VLOOKUP($A100,Cuision!$G:$P,9,FALSE),VLOOKUP($A100,Cuision!$G:$P,10,FALSE),VLOOKUP(AO$83,Cuision!$G:$P,9,FALSE),VLOOKUP(AO$83,Cuision!$G:$P,10,FALSE)))</f>
        <v>784.90553114647901</v>
      </c>
      <c r="AP100" s="33">
        <f>IF($A100=AP$83, 0, distance(VLOOKUP($A100,Cuision!$G:$P,9,FALSE),VLOOKUP($A100,Cuision!$G:$P,10,FALSE),VLOOKUP(AP$83,Cuision!$G:$P,9,FALSE),VLOOKUP(AP$83,Cuision!$G:$P,10,FALSE)))</f>
        <v>4169.2137652284846</v>
      </c>
      <c r="AQ100" s="33">
        <f>IF($A100=AQ$83, 0, distance(VLOOKUP($A100,Cuision!$G:$P,9,FALSE),VLOOKUP($A100,Cuision!$G:$P,10,FALSE),VLOOKUP(AQ$83,Cuision!$G:$P,9,FALSE),VLOOKUP(AQ$83,Cuision!$G:$P,10,FALSE)))</f>
        <v>7281.2813396087786</v>
      </c>
      <c r="AR100" s="33">
        <f>IF($A100=AR$83, 0, distance(VLOOKUP($A100,Cuision!$G:$P,9,FALSE),VLOOKUP($A100,Cuision!$G:$P,10,FALSE),VLOOKUP(AR$83,Cuision!$G:$P,9,FALSE),VLOOKUP(AR$83,Cuision!$G:$P,10,FALSE)))</f>
        <v>0</v>
      </c>
      <c r="AS100" s="33">
        <f>IF($A100=AS$83, 0, distance(VLOOKUP($A100,Cuision!$G:$P,9,FALSE),VLOOKUP($A100,Cuision!$G:$P,10,FALSE),VLOOKUP(AS$83,Cuision!$G:$P,9,FALSE),VLOOKUP(AS$83,Cuision!$G:$P,10,FALSE)))</f>
        <v>891.24715926506883</v>
      </c>
      <c r="AT100" s="33">
        <f>IF($A100=AT$83, 0, distance(VLOOKUP($A100,Cuision!$G:$P,9,FALSE),VLOOKUP($A100,Cuision!$G:$P,10,FALSE),VLOOKUP(AT$83,Cuision!$G:$P,9,FALSE),VLOOKUP(AT$83,Cuision!$G:$P,10,FALSE)))</f>
        <v>5939.0503914372766</v>
      </c>
      <c r="AU100" s="33">
        <f>IF($A100=AU$83, 0, distance(VLOOKUP($A100,Cuision!$G:$P,9,FALSE),VLOOKUP($A100,Cuision!$G:$P,10,FALSE),VLOOKUP(AU$83,Cuision!$G:$P,9,FALSE),VLOOKUP(AU$83,Cuision!$G:$P,10,FALSE)))</f>
        <v>5503.2087828027024</v>
      </c>
      <c r="AV100" s="33">
        <f>IF($A100=AV$83, 0, distance(VLOOKUP($A100,Cuision!$G:$P,9,FALSE),VLOOKUP($A100,Cuision!$G:$P,10,FALSE),VLOOKUP(AV$83,Cuision!$G:$P,9,FALSE),VLOOKUP(AV$83,Cuision!$G:$P,10,FALSE)))</f>
        <v>1933.043342393614</v>
      </c>
      <c r="AW100" s="33">
        <f>IF($A100=AW$83, 0, distance(VLOOKUP($A100,Cuision!$G:$P,9,FALSE),VLOOKUP($A100,Cuision!$G:$P,10,FALSE),VLOOKUP(AW$83,Cuision!$G:$P,9,FALSE),VLOOKUP(AW$83,Cuision!$G:$P,10,FALSE)))</f>
        <v>5777.680954062439</v>
      </c>
      <c r="AX100" s="33">
        <f>IF($A100=AX$83, 0, distance(VLOOKUP($A100,Cuision!$G:$P,9,FALSE),VLOOKUP($A100,Cuision!$G:$P,10,FALSE),VLOOKUP(AX$83,Cuision!$G:$P,9,FALSE),VLOOKUP(AX$83,Cuision!$G:$P,10,FALSE)))</f>
        <v>5265.4454220242496</v>
      </c>
      <c r="AY100" s="33">
        <f>IF($A100=AY$83, 0, distance(VLOOKUP($A100,Cuision!$G:$P,9,FALSE),VLOOKUP($A100,Cuision!$G:$P,10,FALSE),VLOOKUP(AY$83,Cuision!$G:$P,9,FALSE),VLOOKUP(AY$83,Cuision!$G:$P,10,FALSE)))</f>
        <v>-1</v>
      </c>
      <c r="AZ100" s="33">
        <f>IF($A100=AZ$83, 0, distance(VLOOKUP($A100,Cuision!$G:$P,9,FALSE),VLOOKUP($A100,Cuision!$G:$P,10,FALSE),VLOOKUP(AZ$83,Cuision!$G:$P,9,FALSE),VLOOKUP(AZ$83,Cuision!$G:$P,10,FALSE)))</f>
        <v>6552.6845975258957</v>
      </c>
      <c r="BA100" s="33">
        <f>IF($A100=BA$83, 0, distance(VLOOKUP($A100,Cuision!$G:$P,9,FALSE),VLOOKUP($A100,Cuision!$G:$P,10,FALSE),VLOOKUP(BA$83,Cuision!$G:$P,9,FALSE),VLOOKUP(BA$83,Cuision!$G:$P,10,FALSE)))</f>
        <v>1479.7592745115071</v>
      </c>
      <c r="BB100" s="33">
        <f>IF($A100=BB$83, 0, distance(VLOOKUP($A100,Cuision!$G:$P,9,FALSE),VLOOKUP($A100,Cuision!$G:$P,10,FALSE),VLOOKUP(BB$83,Cuision!$G:$P,9,FALSE),VLOOKUP(BB$83,Cuision!$G:$P,10,FALSE)))</f>
        <v>5547.650971384187</v>
      </c>
      <c r="BC100" s="33">
        <f>IF($A100=BC$83, 0, distance(VLOOKUP($A100,Cuision!$G:$P,9,FALSE),VLOOKUP($A100,Cuision!$G:$P,10,FALSE),VLOOKUP(BC$83,Cuision!$G:$P,9,FALSE),VLOOKUP(BC$83,Cuision!$G:$P,10,FALSE)))</f>
        <v>2663.5886544931418</v>
      </c>
      <c r="BD100" s="33">
        <f>IF($A100=BD$83, 0, distance(VLOOKUP($A100,Cuision!$G:$P,9,FALSE),VLOOKUP($A100,Cuision!$G:$P,10,FALSE),VLOOKUP(BD$83,Cuision!$G:$P,9,FALSE),VLOOKUP(BD$83,Cuision!$G:$P,10,FALSE)))</f>
        <v>4331.238021210751</v>
      </c>
      <c r="BE100" s="33">
        <f>IF($A100=BE$83, 0, distance(VLOOKUP($A100,Cuision!$G:$P,9,FALSE),VLOOKUP($A100,Cuision!$G:$P,10,FALSE),VLOOKUP(BE$83,Cuision!$G:$P,9,FALSE),VLOOKUP(BE$83,Cuision!$G:$P,10,FALSE)))</f>
        <v>1254.6271238950251</v>
      </c>
      <c r="BF100" s="33">
        <f>IF($A100=BF$83, 0, distance(VLOOKUP($A100,Cuision!$G:$P,9,FALSE),VLOOKUP($A100,Cuision!$G:$P,10,FALSE),VLOOKUP(BF$83,Cuision!$G:$P,9,FALSE),VLOOKUP(BF$83,Cuision!$G:$P,10,FALSE)))</f>
        <v>3747.4201000013099</v>
      </c>
      <c r="BG100" s="33">
        <f>IF($A100=BG$83, 0, distance(VLOOKUP($A100,Cuision!$G:$P,9,FALSE),VLOOKUP($A100,Cuision!$G:$P,10,FALSE),VLOOKUP(BG$83,Cuision!$G:$P,9,FALSE),VLOOKUP(BG$83,Cuision!$G:$P,10,FALSE)))</f>
        <v>2733.1643793800176</v>
      </c>
      <c r="BH100" s="33">
        <f>IF($A100=BH$83, 0, distance(VLOOKUP($A100,Cuision!$G:$P,9,FALSE),VLOOKUP($A100,Cuision!$G:$P,10,FALSE),VLOOKUP(BH$83,Cuision!$G:$P,9,FALSE),VLOOKUP(BH$83,Cuision!$G:$P,10,FALSE)))</f>
        <v>6318.3047804818971</v>
      </c>
      <c r="BI100" s="33">
        <f>IF($A100=BI$83, 0, distance(VLOOKUP($A100,Cuision!$G:$P,9,FALSE),VLOOKUP($A100,Cuision!$G:$P,10,FALSE),VLOOKUP(BI$83,Cuision!$G:$P,9,FALSE),VLOOKUP(BI$83,Cuision!$G:$P,10,FALSE)))</f>
        <v>899.98395122183263</v>
      </c>
      <c r="BJ100" s="33">
        <f>IF($A100=BJ$83, 0, distance(VLOOKUP($A100,Cuision!$G:$P,9,FALSE),VLOOKUP($A100,Cuision!$G:$P,10,FALSE),VLOOKUP(BJ$83,Cuision!$G:$P,9,FALSE),VLOOKUP(BJ$83,Cuision!$G:$P,10,FALSE)))</f>
        <v>984.87470919039413</v>
      </c>
      <c r="BK100" s="33">
        <f>IF($A100=BK$83, 0, distance(VLOOKUP($A100,Cuision!$G:$P,9,FALSE),VLOOKUP($A100,Cuision!$G:$P,10,FALSE),VLOOKUP(BK$83,Cuision!$G:$P,9,FALSE),VLOOKUP(BK$83,Cuision!$G:$P,10,FALSE)))</f>
        <v>1553.833295887762</v>
      </c>
      <c r="BL100" s="33">
        <f>IF($A100=BL$83, 0, distance(VLOOKUP($A100,Cuision!$G:$P,9,FALSE),VLOOKUP($A100,Cuision!$G:$P,10,FALSE),VLOOKUP(BL$83,Cuision!$G:$P,9,FALSE),VLOOKUP(BL$83,Cuision!$G:$P,10,FALSE)))</f>
        <v>-1</v>
      </c>
      <c r="BM100" s="33">
        <f>IF($A100=BM$83, 0, distance(VLOOKUP($A100,Cuision!$G:$P,9,FALSE),VLOOKUP($A100,Cuision!$G:$P,10,FALSE),VLOOKUP(BM$83,Cuision!$G:$P,9,FALSE),VLOOKUP(BM$83,Cuision!$G:$P,10,FALSE)))</f>
        <v>-1</v>
      </c>
      <c r="BN100" s="33">
        <f>IF($A100=BN$83, 0, distance(VLOOKUP($A100,Cuision!$G:$P,9,FALSE),VLOOKUP($A100,Cuision!$G:$P,10,FALSE),VLOOKUP(BN$83,Cuision!$G:$P,9,FALSE),VLOOKUP(BN$83,Cuision!$G:$P,10,FALSE)))</f>
        <v>0</v>
      </c>
      <c r="BO100" s="33">
        <f>IF($A100=BO$83, 0, distance(VLOOKUP($A100,Cuision!$G:$P,9,FALSE),VLOOKUP($A100,Cuision!$G:$P,10,FALSE),VLOOKUP(BO$83,Cuision!$G:$P,9,FALSE),VLOOKUP(BO$83,Cuision!$G:$P,10,FALSE)))</f>
        <v>6744.9428067144308</v>
      </c>
      <c r="BP100" s="33">
        <f>IF($A100=BP$83, 0, distance(VLOOKUP($A100,Cuision!$G:$P,9,FALSE),VLOOKUP($A100,Cuision!$G:$P,10,FALSE),VLOOKUP(BP$83,Cuision!$G:$P,9,FALSE),VLOOKUP(BP$83,Cuision!$G:$P,10,FALSE)))</f>
        <v>800.46477971837828</v>
      </c>
      <c r="BQ100" s="33">
        <f>IF($A100=BQ$83, 0, distance(VLOOKUP($A100,Cuision!$G:$P,9,FALSE),VLOOKUP($A100,Cuision!$G:$P,10,FALSE),VLOOKUP(BQ$83,Cuision!$G:$P,9,FALSE),VLOOKUP(BQ$83,Cuision!$G:$P,10,FALSE)))</f>
        <v>-1</v>
      </c>
      <c r="BR100" s="33">
        <f>IF($A100=BR$83, 0, distance(VLOOKUP($A100,Cuision!$G:$P,9,FALSE),VLOOKUP($A100,Cuision!$G:$P,10,FALSE),VLOOKUP(BR$83,Cuision!$G:$P,9,FALSE),VLOOKUP(BR$83,Cuision!$G:$P,10,FALSE)))</f>
        <v>3664.7380839482948</v>
      </c>
      <c r="BS100" s="33">
        <f>IF($A100=BS$83, 0, distance(VLOOKUP($A100,Cuision!$G:$P,9,FALSE),VLOOKUP($A100,Cuision!$G:$P,10,FALSE),VLOOKUP(BS$83,Cuision!$G:$P,9,FALSE),VLOOKUP(BS$83,Cuision!$G:$P,10,FALSE)))</f>
        <v>5057.7634483185511</v>
      </c>
      <c r="BT100" s="33">
        <f>IF($A100=BT$83, 0, distance(VLOOKUP($A100,Cuision!$G:$P,9,FALSE),VLOOKUP($A100,Cuision!$G:$P,10,FALSE),VLOOKUP(BT$83,Cuision!$G:$P,9,FALSE),VLOOKUP(BT$83,Cuision!$G:$P,10,FALSE)))</f>
        <v>784.90553114647901</v>
      </c>
      <c r="BU100" s="33">
        <f>IF($A100=BU$83, 0, distance(VLOOKUP($A100,Cuision!$G:$P,9,FALSE),VLOOKUP($A100,Cuision!$G:$P,10,FALSE),VLOOKUP(BU$83,Cuision!$G:$P,9,FALSE),VLOOKUP(BU$83,Cuision!$G:$P,10,FALSE)))</f>
        <v>5922.8208662926518</v>
      </c>
      <c r="BV100" s="33">
        <f>IF($A100=BV$83, 0, distance(VLOOKUP($A100,Cuision!$G:$P,9,FALSE),VLOOKUP($A100,Cuision!$G:$P,10,FALSE),VLOOKUP(BV$83,Cuision!$G:$P,9,FALSE),VLOOKUP(BV$83,Cuision!$G:$P,10,FALSE)))</f>
        <v>1760.794163609836</v>
      </c>
      <c r="BW100" s="33">
        <f>IF($A100=BW$83, 0, distance(VLOOKUP($A100,Cuision!$G:$P,9,FALSE),VLOOKUP($A100,Cuision!$G:$P,10,FALSE),VLOOKUP(BW$83,Cuision!$G:$P,9,FALSE),VLOOKUP(BW$83,Cuision!$G:$P,10,FALSE)))</f>
        <v>1325.4637208913487</v>
      </c>
      <c r="BX100" s="33">
        <f>IF($A100=BX$83, 0, distance(VLOOKUP($A100,Cuision!$G:$P,9,FALSE),VLOOKUP($A100,Cuision!$G:$P,10,FALSE),VLOOKUP(BX$83,Cuision!$G:$P,9,FALSE),VLOOKUP(BX$83,Cuision!$G:$P,10,FALSE)))</f>
        <v>3251.6711474408617</v>
      </c>
      <c r="BY100" s="33">
        <f>IF($A100=BY$83, 0, distance(VLOOKUP($A100,Cuision!$G:$P,9,FALSE),VLOOKUP($A100,Cuision!$G:$P,10,FALSE),VLOOKUP(BY$83,Cuision!$G:$P,9,FALSE),VLOOKUP(BY$83,Cuision!$G:$P,10,FALSE)))</f>
        <v>-1</v>
      </c>
      <c r="BZ100" s="33">
        <f>IF($A100=BZ$83, 0, distance(VLOOKUP($A100,Cuision!$G:$P,9,FALSE),VLOOKUP($A100,Cuision!$G:$P,10,FALSE),VLOOKUP(BZ$83,Cuision!$G:$P,9,FALSE),VLOOKUP(BZ$83,Cuision!$G:$P,10,FALSE)))</f>
        <v>-1</v>
      </c>
      <c r="CA100" s="33">
        <f>IF($A100=CA$83, 0, distance(VLOOKUP($A100,Cuision!$G:$P,9,FALSE),VLOOKUP($A100,Cuision!$G:$P,10,FALSE),VLOOKUP(CA$83,Cuision!$G:$P,9,FALSE),VLOOKUP(CA$83,Cuision!$G:$P,10,FALSE)))</f>
        <v>5738.2829531316083</v>
      </c>
    </row>
    <row r="101" spans="1:79" ht="14.25" x14ac:dyDescent="0.2">
      <c r="A101" s="30" t="s">
        <v>58</v>
      </c>
      <c r="B101" s="33">
        <f>IF($A101=B$83, 0, distance(VLOOKUP($A101,Cuision!$G:$P,9,FALSE),VLOOKUP($A101,Cuision!$G:$P,10,FALSE),VLOOKUP(B$83,Cuision!$G:$P,9,FALSE),VLOOKUP(B$83,Cuision!$G:$P,10,FALSE)))</f>
        <v>-1</v>
      </c>
      <c r="C101" s="33">
        <f>IF($A101=C$83, 0, distance(VLOOKUP($A101,Cuision!$G:$P,9,FALSE),VLOOKUP($A101,Cuision!$G:$P,10,FALSE),VLOOKUP(C$83,Cuision!$G:$P,9,FALSE),VLOOKUP(C$83,Cuision!$G:$P,10,FALSE)))</f>
        <v>-1</v>
      </c>
      <c r="D101" s="33">
        <f>IF($A101=D$83, 0, distance(VLOOKUP($A101,Cuision!$G:$P,9,FALSE),VLOOKUP($A101,Cuision!$G:$P,10,FALSE),VLOOKUP(D$83,Cuision!$G:$P,9,FALSE),VLOOKUP(D$83,Cuision!$G:$P,10,FALSE)))</f>
        <v>-1</v>
      </c>
      <c r="E101" s="33">
        <f>IF($A101=E$83, 0, distance(VLOOKUP($A101,Cuision!$G:$P,9,FALSE),VLOOKUP($A101,Cuision!$G:$P,10,FALSE),VLOOKUP(E$83,Cuision!$G:$P,9,FALSE),VLOOKUP(E$83,Cuision!$G:$P,10,FALSE)))</f>
        <v>-1</v>
      </c>
      <c r="F101" s="33">
        <f>IF($A101=F$83, 0, distance(VLOOKUP($A101,Cuision!$G:$P,9,FALSE),VLOOKUP($A101,Cuision!$G:$P,10,FALSE),VLOOKUP(F$83,Cuision!$G:$P,9,FALSE),VLOOKUP(F$83,Cuision!$G:$P,10,FALSE)))</f>
        <v>-1</v>
      </c>
      <c r="G101" s="33">
        <f>IF($A101=G$83, 0, distance(VLOOKUP($A101,Cuision!$G:$P,9,FALSE),VLOOKUP($A101,Cuision!$G:$P,10,FALSE),VLOOKUP(G$83,Cuision!$G:$P,9,FALSE),VLOOKUP(G$83,Cuision!$G:$P,10,FALSE)))</f>
        <v>-1</v>
      </c>
      <c r="H101" s="33">
        <f>IF($A101=H$83, 0, distance(VLOOKUP($A101,Cuision!$G:$P,9,FALSE),VLOOKUP($A101,Cuision!$G:$P,10,FALSE),VLOOKUP(H$83,Cuision!$G:$P,9,FALSE),VLOOKUP(H$83,Cuision!$G:$P,10,FALSE)))</f>
        <v>-1</v>
      </c>
      <c r="I101" s="33">
        <f>IF($A101=I$83, 0, distance(VLOOKUP($A101,Cuision!$G:$P,9,FALSE),VLOOKUP($A101,Cuision!$G:$P,10,FALSE),VLOOKUP(I$83,Cuision!$G:$P,9,FALSE),VLOOKUP(I$83,Cuision!$G:$P,10,FALSE)))</f>
        <v>-1</v>
      </c>
      <c r="J101" s="33">
        <f>IF($A101=J$83, 0, distance(VLOOKUP($A101,Cuision!$G:$P,9,FALSE),VLOOKUP($A101,Cuision!$G:$P,10,FALSE),VLOOKUP(J$83,Cuision!$G:$P,9,FALSE),VLOOKUP(J$83,Cuision!$G:$P,10,FALSE)))</f>
        <v>-1</v>
      </c>
      <c r="K101" s="33">
        <f>IF($A101=K$83, 0, distance(VLOOKUP($A101,Cuision!$G:$P,9,FALSE),VLOOKUP($A101,Cuision!$G:$P,10,FALSE),VLOOKUP(K$83,Cuision!$G:$P,9,FALSE),VLOOKUP(K$83,Cuision!$G:$P,10,FALSE)))</f>
        <v>-1</v>
      </c>
      <c r="L101" s="33">
        <f>IF($A101=L$83, 0, distance(VLOOKUP($A101,Cuision!$G:$P,9,FALSE),VLOOKUP($A101,Cuision!$G:$P,10,FALSE),VLOOKUP(L$83,Cuision!$G:$P,9,FALSE),VLOOKUP(L$83,Cuision!$G:$P,10,FALSE)))</f>
        <v>-1</v>
      </c>
      <c r="M101" s="33">
        <f>IF($A101=M$83, 0, distance(VLOOKUP($A101,Cuision!$G:$P,9,FALSE),VLOOKUP($A101,Cuision!$G:$P,10,FALSE),VLOOKUP(M$83,Cuision!$G:$P,9,FALSE),VLOOKUP(M$83,Cuision!$G:$P,10,FALSE)))</f>
        <v>-1</v>
      </c>
      <c r="N101" s="33">
        <f>IF($A101=N$83, 0, distance(VLOOKUP($A101,Cuision!$G:$P,9,FALSE),VLOOKUP($A101,Cuision!$G:$P,10,FALSE),VLOOKUP(N$83,Cuision!$G:$P,9,FALSE),VLOOKUP(N$83,Cuision!$G:$P,10,FALSE)))</f>
        <v>-1</v>
      </c>
      <c r="O101" s="33">
        <f>IF($A101=O$83, 0, distance(VLOOKUP($A101,Cuision!$G:$P,9,FALSE),VLOOKUP($A101,Cuision!$G:$P,10,FALSE),VLOOKUP(O$83,Cuision!$G:$P,9,FALSE),VLOOKUP(O$83,Cuision!$G:$P,10,FALSE)))</f>
        <v>-1</v>
      </c>
      <c r="P101" s="33">
        <f>IF($A101=P$83, 0, distance(VLOOKUP($A101,Cuision!$G:$P,9,FALSE),VLOOKUP($A101,Cuision!$G:$P,10,FALSE),VLOOKUP(P$83,Cuision!$G:$P,9,FALSE),VLOOKUP(P$83,Cuision!$G:$P,10,FALSE)))</f>
        <v>-1</v>
      </c>
      <c r="Q101" s="33">
        <f>IF($A101=Q$83, 0, distance(VLOOKUP($A101,Cuision!$G:$P,9,FALSE),VLOOKUP($A101,Cuision!$G:$P,10,FALSE),VLOOKUP(Q$83,Cuision!$G:$P,9,FALSE),VLOOKUP(Q$83,Cuision!$G:$P,10,FALSE)))</f>
        <v>-1</v>
      </c>
      <c r="R101" s="33">
        <f>IF($A101=R$83, 0, distance(VLOOKUP($A101,Cuision!$G:$P,9,FALSE),VLOOKUP($A101,Cuision!$G:$P,10,FALSE),VLOOKUP(R$83,Cuision!$G:$P,9,FALSE),VLOOKUP(R$83,Cuision!$G:$P,10,FALSE)))</f>
        <v>-1</v>
      </c>
      <c r="S101" s="33">
        <f>IF($A101=S$83, 0, distance(VLOOKUP($A101,Cuision!$G:$P,9,FALSE),VLOOKUP($A101,Cuision!$G:$P,10,FALSE),VLOOKUP(S$83,Cuision!$G:$P,9,FALSE),VLOOKUP(S$83,Cuision!$G:$P,10,FALSE)))</f>
        <v>0</v>
      </c>
      <c r="T101" s="33">
        <f>IF($A101=T$83, 0, distance(VLOOKUP($A101,Cuision!$G:$P,9,FALSE),VLOOKUP($A101,Cuision!$G:$P,10,FALSE),VLOOKUP(T$83,Cuision!$G:$P,9,FALSE),VLOOKUP(T$83,Cuision!$G:$P,10,FALSE)))</f>
        <v>-1</v>
      </c>
      <c r="U101" s="33">
        <f>IF($A101=U$83, 0, distance(VLOOKUP($A101,Cuision!$G:$P,9,FALSE),VLOOKUP($A101,Cuision!$G:$P,10,FALSE),VLOOKUP(U$83,Cuision!$G:$P,9,FALSE),VLOOKUP(U$83,Cuision!$G:$P,10,FALSE)))</f>
        <v>-1</v>
      </c>
      <c r="V101" s="33">
        <f>IF($A101=V$83, 0, distance(VLOOKUP($A101,Cuision!$G:$P,9,FALSE),VLOOKUP($A101,Cuision!$G:$P,10,FALSE),VLOOKUP(V$83,Cuision!$G:$P,9,FALSE),VLOOKUP(V$83,Cuision!$G:$P,10,FALSE)))</f>
        <v>-1</v>
      </c>
      <c r="W101" s="33">
        <f>IF($A101=W$83, 0, distance(VLOOKUP($A101,Cuision!$G:$P,9,FALSE),VLOOKUP($A101,Cuision!$G:$P,10,FALSE),VLOOKUP(W$83,Cuision!$G:$P,9,FALSE),VLOOKUP(W$83,Cuision!$G:$P,10,FALSE)))</f>
        <v>-1</v>
      </c>
      <c r="X101" s="33">
        <f>IF($A101=X$83, 0, distance(VLOOKUP($A101,Cuision!$G:$P,9,FALSE),VLOOKUP($A101,Cuision!$G:$P,10,FALSE),VLOOKUP(X$83,Cuision!$G:$P,9,FALSE),VLOOKUP(X$83,Cuision!$G:$P,10,FALSE)))</f>
        <v>-1</v>
      </c>
      <c r="Y101" s="33">
        <f>IF($A101=Y$83, 0, distance(VLOOKUP($A101,Cuision!$G:$P,9,FALSE),VLOOKUP($A101,Cuision!$G:$P,10,FALSE),VLOOKUP(Y$83,Cuision!$G:$P,9,FALSE),VLOOKUP(Y$83,Cuision!$G:$P,10,FALSE)))</f>
        <v>-1</v>
      </c>
      <c r="Z101" s="33">
        <f>IF($A101=Z$83, 0, distance(VLOOKUP($A101,Cuision!$G:$P,9,FALSE),VLOOKUP($A101,Cuision!$G:$P,10,FALSE),VLOOKUP(Z$83,Cuision!$G:$P,9,FALSE),VLOOKUP(Z$83,Cuision!$G:$P,10,FALSE)))</f>
        <v>-1</v>
      </c>
      <c r="AA101" s="33">
        <f>IF($A101=AA$83, 0, distance(VLOOKUP($A101,Cuision!$G:$P,9,FALSE),VLOOKUP($A101,Cuision!$G:$P,10,FALSE),VLOOKUP(AA$83,Cuision!$G:$P,9,FALSE),VLOOKUP(AA$83,Cuision!$G:$P,10,FALSE)))</f>
        <v>-1</v>
      </c>
      <c r="AB101" s="33">
        <f>IF($A101=AB$83, 0, distance(VLOOKUP($A101,Cuision!$G:$P,9,FALSE),VLOOKUP($A101,Cuision!$G:$P,10,FALSE),VLOOKUP(AB$83,Cuision!$G:$P,9,FALSE),VLOOKUP(AB$83,Cuision!$G:$P,10,FALSE)))</f>
        <v>-1</v>
      </c>
      <c r="AC101" s="33">
        <f>IF($A101=AC$83, 0, distance(VLOOKUP($A101,Cuision!$G:$P,9,FALSE),VLOOKUP($A101,Cuision!$G:$P,10,FALSE),VLOOKUP(AC$83,Cuision!$G:$P,9,FALSE),VLOOKUP(AC$83,Cuision!$G:$P,10,FALSE)))</f>
        <v>-1</v>
      </c>
      <c r="AD101" s="33">
        <f>IF($A101=AD$83, 0, distance(VLOOKUP($A101,Cuision!$G:$P,9,FALSE),VLOOKUP($A101,Cuision!$G:$P,10,FALSE),VLOOKUP(AD$83,Cuision!$G:$P,9,FALSE),VLOOKUP(AD$83,Cuision!$G:$P,10,FALSE)))</f>
        <v>-1</v>
      </c>
      <c r="AE101" s="33">
        <f>IF($A101=AE$83, 0, distance(VLOOKUP($A101,Cuision!$G:$P,9,FALSE),VLOOKUP($A101,Cuision!$G:$P,10,FALSE),VLOOKUP(AE$83,Cuision!$G:$P,9,FALSE),VLOOKUP(AE$83,Cuision!$G:$P,10,FALSE)))</f>
        <v>-1</v>
      </c>
      <c r="AF101" s="33">
        <f>IF($A101=AF$83, 0, distance(VLOOKUP($A101,Cuision!$G:$P,9,FALSE),VLOOKUP($A101,Cuision!$G:$P,10,FALSE),VLOOKUP(AF$83,Cuision!$G:$P,9,FALSE),VLOOKUP(AF$83,Cuision!$G:$P,10,FALSE)))</f>
        <v>-1</v>
      </c>
      <c r="AG101" s="33">
        <f>IF($A101=AG$83, 0, distance(VLOOKUP($A101,Cuision!$G:$P,9,FALSE),VLOOKUP($A101,Cuision!$G:$P,10,FALSE),VLOOKUP(AG$83,Cuision!$G:$P,9,FALSE),VLOOKUP(AG$83,Cuision!$G:$P,10,FALSE)))</f>
        <v>-1</v>
      </c>
      <c r="AH101" s="33">
        <f>IF($A101=AH$83, 0, distance(VLOOKUP($A101,Cuision!$G:$P,9,FALSE),VLOOKUP($A101,Cuision!$G:$P,10,FALSE),VLOOKUP(AH$83,Cuision!$G:$P,9,FALSE),VLOOKUP(AH$83,Cuision!$G:$P,10,FALSE)))</f>
        <v>-1</v>
      </c>
      <c r="AI101" s="33">
        <f>IF($A101=AI$83, 0, distance(VLOOKUP($A101,Cuision!$G:$P,9,FALSE),VLOOKUP($A101,Cuision!$G:$P,10,FALSE),VLOOKUP(AI$83,Cuision!$G:$P,9,FALSE),VLOOKUP(AI$83,Cuision!$G:$P,10,FALSE)))</f>
        <v>-1</v>
      </c>
      <c r="AJ101" s="33">
        <f>IF($A101=AJ$83, 0, distance(VLOOKUP($A101,Cuision!$G:$P,9,FALSE),VLOOKUP($A101,Cuision!$G:$P,10,FALSE),VLOOKUP(AJ$83,Cuision!$G:$P,9,FALSE),VLOOKUP(AJ$83,Cuision!$G:$P,10,FALSE)))</f>
        <v>-1</v>
      </c>
      <c r="AK101" s="33">
        <f>IF($A101=AK$83, 0, distance(VLOOKUP($A101,Cuision!$G:$P,9,FALSE),VLOOKUP($A101,Cuision!$G:$P,10,FALSE),VLOOKUP(AK$83,Cuision!$G:$P,9,FALSE),VLOOKUP(AK$83,Cuision!$G:$P,10,FALSE)))</f>
        <v>-1</v>
      </c>
      <c r="AL101" s="33">
        <f>IF($A101=AL$83, 0, distance(VLOOKUP($A101,Cuision!$G:$P,9,FALSE),VLOOKUP($A101,Cuision!$G:$P,10,FALSE),VLOOKUP(AL$83,Cuision!$G:$P,9,FALSE),VLOOKUP(AL$83,Cuision!$G:$P,10,FALSE)))</f>
        <v>-1</v>
      </c>
      <c r="AM101" s="33">
        <f>IF($A101=AM$83, 0, distance(VLOOKUP($A101,Cuision!$G:$P,9,FALSE),VLOOKUP($A101,Cuision!$G:$P,10,FALSE),VLOOKUP(AM$83,Cuision!$G:$P,9,FALSE),VLOOKUP(AM$83,Cuision!$G:$P,10,FALSE)))</f>
        <v>-1</v>
      </c>
      <c r="AN101" s="33">
        <f>IF($A101=AN$83, 0, distance(VLOOKUP($A101,Cuision!$G:$P,9,FALSE),VLOOKUP($A101,Cuision!$G:$P,10,FALSE),VLOOKUP(AN$83,Cuision!$G:$P,9,FALSE),VLOOKUP(AN$83,Cuision!$G:$P,10,FALSE)))</f>
        <v>-1</v>
      </c>
      <c r="AO101" s="33">
        <f>IF($A101=AO$83, 0, distance(VLOOKUP($A101,Cuision!$G:$P,9,FALSE),VLOOKUP($A101,Cuision!$G:$P,10,FALSE),VLOOKUP(AO$83,Cuision!$G:$P,9,FALSE),VLOOKUP(AO$83,Cuision!$G:$P,10,FALSE)))</f>
        <v>-1</v>
      </c>
      <c r="AP101" s="33">
        <f>IF($A101=AP$83, 0, distance(VLOOKUP($A101,Cuision!$G:$P,9,FALSE),VLOOKUP($A101,Cuision!$G:$P,10,FALSE),VLOOKUP(AP$83,Cuision!$G:$P,9,FALSE),VLOOKUP(AP$83,Cuision!$G:$P,10,FALSE)))</f>
        <v>-1</v>
      </c>
      <c r="AQ101" s="33">
        <f>IF($A101=AQ$83, 0, distance(VLOOKUP($A101,Cuision!$G:$P,9,FALSE),VLOOKUP($A101,Cuision!$G:$P,10,FALSE),VLOOKUP(AQ$83,Cuision!$G:$P,9,FALSE),VLOOKUP(AQ$83,Cuision!$G:$P,10,FALSE)))</f>
        <v>-1</v>
      </c>
      <c r="AR101" s="33">
        <f>IF($A101=AR$83, 0, distance(VLOOKUP($A101,Cuision!$G:$P,9,FALSE),VLOOKUP($A101,Cuision!$G:$P,10,FALSE),VLOOKUP(AR$83,Cuision!$G:$P,9,FALSE),VLOOKUP(AR$83,Cuision!$G:$P,10,FALSE)))</f>
        <v>-1</v>
      </c>
      <c r="AS101" s="33">
        <f>IF($A101=AS$83, 0, distance(VLOOKUP($A101,Cuision!$G:$P,9,FALSE),VLOOKUP($A101,Cuision!$G:$P,10,FALSE),VLOOKUP(AS$83,Cuision!$G:$P,9,FALSE),VLOOKUP(AS$83,Cuision!$G:$P,10,FALSE)))</f>
        <v>-1</v>
      </c>
      <c r="AT101" s="33">
        <f>IF($A101=AT$83, 0, distance(VLOOKUP($A101,Cuision!$G:$P,9,FALSE),VLOOKUP($A101,Cuision!$G:$P,10,FALSE),VLOOKUP(AT$83,Cuision!$G:$P,9,FALSE),VLOOKUP(AT$83,Cuision!$G:$P,10,FALSE)))</f>
        <v>-1</v>
      </c>
      <c r="AU101" s="33">
        <f>IF($A101=AU$83, 0, distance(VLOOKUP($A101,Cuision!$G:$P,9,FALSE),VLOOKUP($A101,Cuision!$G:$P,10,FALSE),VLOOKUP(AU$83,Cuision!$G:$P,9,FALSE),VLOOKUP(AU$83,Cuision!$G:$P,10,FALSE)))</f>
        <v>-1</v>
      </c>
      <c r="AV101" s="33">
        <f>IF($A101=AV$83, 0, distance(VLOOKUP($A101,Cuision!$G:$P,9,FALSE),VLOOKUP($A101,Cuision!$G:$P,10,FALSE),VLOOKUP(AV$83,Cuision!$G:$P,9,FALSE),VLOOKUP(AV$83,Cuision!$G:$P,10,FALSE)))</f>
        <v>-1</v>
      </c>
      <c r="AW101" s="33">
        <f>IF($A101=AW$83, 0, distance(VLOOKUP($A101,Cuision!$G:$P,9,FALSE),VLOOKUP($A101,Cuision!$G:$P,10,FALSE),VLOOKUP(AW$83,Cuision!$G:$P,9,FALSE),VLOOKUP(AW$83,Cuision!$G:$P,10,FALSE)))</f>
        <v>-1</v>
      </c>
      <c r="AX101" s="33">
        <f>IF($A101=AX$83, 0, distance(VLOOKUP($A101,Cuision!$G:$P,9,FALSE),VLOOKUP($A101,Cuision!$G:$P,10,FALSE),VLOOKUP(AX$83,Cuision!$G:$P,9,FALSE),VLOOKUP(AX$83,Cuision!$G:$P,10,FALSE)))</f>
        <v>-1</v>
      </c>
      <c r="AY101" s="33">
        <f>IF($A101=AY$83, 0, distance(VLOOKUP($A101,Cuision!$G:$P,9,FALSE),VLOOKUP($A101,Cuision!$G:$P,10,FALSE),VLOOKUP(AY$83,Cuision!$G:$P,9,FALSE),VLOOKUP(AY$83,Cuision!$G:$P,10,FALSE)))</f>
        <v>-1</v>
      </c>
      <c r="AZ101" s="33">
        <f>IF($A101=AZ$83, 0, distance(VLOOKUP($A101,Cuision!$G:$P,9,FALSE),VLOOKUP($A101,Cuision!$G:$P,10,FALSE),VLOOKUP(AZ$83,Cuision!$G:$P,9,FALSE),VLOOKUP(AZ$83,Cuision!$G:$P,10,FALSE)))</f>
        <v>-1</v>
      </c>
      <c r="BA101" s="33">
        <f>IF($A101=BA$83, 0, distance(VLOOKUP($A101,Cuision!$G:$P,9,FALSE),VLOOKUP($A101,Cuision!$G:$P,10,FALSE),VLOOKUP(BA$83,Cuision!$G:$P,9,FALSE),VLOOKUP(BA$83,Cuision!$G:$P,10,FALSE)))</f>
        <v>-1</v>
      </c>
      <c r="BB101" s="33">
        <f>IF($A101=BB$83, 0, distance(VLOOKUP($A101,Cuision!$G:$P,9,FALSE),VLOOKUP($A101,Cuision!$G:$P,10,FALSE),VLOOKUP(BB$83,Cuision!$G:$P,9,FALSE),VLOOKUP(BB$83,Cuision!$G:$P,10,FALSE)))</f>
        <v>-1</v>
      </c>
      <c r="BC101" s="33">
        <f>IF($A101=BC$83, 0, distance(VLOOKUP($A101,Cuision!$G:$P,9,FALSE),VLOOKUP($A101,Cuision!$G:$P,10,FALSE),VLOOKUP(BC$83,Cuision!$G:$P,9,FALSE),VLOOKUP(BC$83,Cuision!$G:$P,10,FALSE)))</f>
        <v>-1</v>
      </c>
      <c r="BD101" s="33">
        <f>IF($A101=BD$83, 0, distance(VLOOKUP($A101,Cuision!$G:$P,9,FALSE),VLOOKUP($A101,Cuision!$G:$P,10,FALSE),VLOOKUP(BD$83,Cuision!$G:$P,9,FALSE),VLOOKUP(BD$83,Cuision!$G:$P,10,FALSE)))</f>
        <v>-1</v>
      </c>
      <c r="BE101" s="33">
        <f>IF($A101=BE$83, 0, distance(VLOOKUP($A101,Cuision!$G:$P,9,FALSE),VLOOKUP($A101,Cuision!$G:$P,10,FALSE),VLOOKUP(BE$83,Cuision!$G:$P,9,FALSE),VLOOKUP(BE$83,Cuision!$G:$P,10,FALSE)))</f>
        <v>-1</v>
      </c>
      <c r="BF101" s="33">
        <f>IF($A101=BF$83, 0, distance(VLOOKUP($A101,Cuision!$G:$P,9,FALSE),VLOOKUP($A101,Cuision!$G:$P,10,FALSE),VLOOKUP(BF$83,Cuision!$G:$P,9,FALSE),VLOOKUP(BF$83,Cuision!$G:$P,10,FALSE)))</f>
        <v>-1</v>
      </c>
      <c r="BG101" s="33">
        <f>IF($A101=BG$83, 0, distance(VLOOKUP($A101,Cuision!$G:$P,9,FALSE),VLOOKUP($A101,Cuision!$G:$P,10,FALSE),VLOOKUP(BG$83,Cuision!$G:$P,9,FALSE),VLOOKUP(BG$83,Cuision!$G:$P,10,FALSE)))</f>
        <v>-1</v>
      </c>
      <c r="BH101" s="33">
        <f>IF($A101=BH$83, 0, distance(VLOOKUP($A101,Cuision!$G:$P,9,FALSE),VLOOKUP($A101,Cuision!$G:$P,10,FALSE),VLOOKUP(BH$83,Cuision!$G:$P,9,FALSE),VLOOKUP(BH$83,Cuision!$G:$P,10,FALSE)))</f>
        <v>-1</v>
      </c>
      <c r="BI101" s="33">
        <f>IF($A101=BI$83, 0, distance(VLOOKUP($A101,Cuision!$G:$P,9,FALSE),VLOOKUP($A101,Cuision!$G:$P,10,FALSE),VLOOKUP(BI$83,Cuision!$G:$P,9,FALSE),VLOOKUP(BI$83,Cuision!$G:$P,10,FALSE)))</f>
        <v>-1</v>
      </c>
      <c r="BJ101" s="33">
        <f>IF($A101=BJ$83, 0, distance(VLOOKUP($A101,Cuision!$G:$P,9,FALSE),VLOOKUP($A101,Cuision!$G:$P,10,FALSE),VLOOKUP(BJ$83,Cuision!$G:$P,9,FALSE),VLOOKUP(BJ$83,Cuision!$G:$P,10,FALSE)))</f>
        <v>-1</v>
      </c>
      <c r="BK101" s="33">
        <f>IF($A101=BK$83, 0, distance(VLOOKUP($A101,Cuision!$G:$P,9,FALSE),VLOOKUP($A101,Cuision!$G:$P,10,FALSE),VLOOKUP(BK$83,Cuision!$G:$P,9,FALSE),VLOOKUP(BK$83,Cuision!$G:$P,10,FALSE)))</f>
        <v>-1</v>
      </c>
      <c r="BL101" s="33">
        <f>IF($A101=BL$83, 0, distance(VLOOKUP($A101,Cuision!$G:$P,9,FALSE),VLOOKUP($A101,Cuision!$G:$P,10,FALSE),VLOOKUP(BL$83,Cuision!$G:$P,9,FALSE),VLOOKUP(BL$83,Cuision!$G:$P,10,FALSE)))</f>
        <v>-1</v>
      </c>
      <c r="BM101" s="33">
        <f>IF($A101=BM$83, 0, distance(VLOOKUP($A101,Cuision!$G:$P,9,FALSE),VLOOKUP($A101,Cuision!$G:$P,10,FALSE),VLOOKUP(BM$83,Cuision!$G:$P,9,FALSE),VLOOKUP(BM$83,Cuision!$G:$P,10,FALSE)))</f>
        <v>-1</v>
      </c>
      <c r="BN101" s="33">
        <f>IF($A101=BN$83, 0, distance(VLOOKUP($A101,Cuision!$G:$P,9,FALSE),VLOOKUP($A101,Cuision!$G:$P,10,FALSE),VLOOKUP(BN$83,Cuision!$G:$P,9,FALSE),VLOOKUP(BN$83,Cuision!$G:$P,10,FALSE)))</f>
        <v>-1</v>
      </c>
      <c r="BO101" s="33">
        <f>IF($A101=BO$83, 0, distance(VLOOKUP($A101,Cuision!$G:$P,9,FALSE),VLOOKUP($A101,Cuision!$G:$P,10,FALSE),VLOOKUP(BO$83,Cuision!$G:$P,9,FALSE),VLOOKUP(BO$83,Cuision!$G:$P,10,FALSE)))</f>
        <v>-1</v>
      </c>
      <c r="BP101" s="33">
        <f>IF($A101=BP$83, 0, distance(VLOOKUP($A101,Cuision!$G:$P,9,FALSE),VLOOKUP($A101,Cuision!$G:$P,10,FALSE),VLOOKUP(BP$83,Cuision!$G:$P,9,FALSE),VLOOKUP(BP$83,Cuision!$G:$P,10,FALSE)))</f>
        <v>-1</v>
      </c>
      <c r="BQ101" s="33">
        <f>IF($A101=BQ$83, 0, distance(VLOOKUP($A101,Cuision!$G:$P,9,FALSE),VLOOKUP($A101,Cuision!$G:$P,10,FALSE),VLOOKUP(BQ$83,Cuision!$G:$P,9,FALSE),VLOOKUP(BQ$83,Cuision!$G:$P,10,FALSE)))</f>
        <v>-1</v>
      </c>
      <c r="BR101" s="33">
        <f>IF($A101=BR$83, 0, distance(VLOOKUP($A101,Cuision!$G:$P,9,FALSE),VLOOKUP($A101,Cuision!$G:$P,10,FALSE),VLOOKUP(BR$83,Cuision!$G:$P,9,FALSE),VLOOKUP(BR$83,Cuision!$G:$P,10,FALSE)))</f>
        <v>-1</v>
      </c>
      <c r="BS101" s="33">
        <f>IF($A101=BS$83, 0, distance(VLOOKUP($A101,Cuision!$G:$P,9,FALSE),VLOOKUP($A101,Cuision!$G:$P,10,FALSE),VLOOKUP(BS$83,Cuision!$G:$P,9,FALSE),VLOOKUP(BS$83,Cuision!$G:$P,10,FALSE)))</f>
        <v>-1</v>
      </c>
      <c r="BT101" s="33">
        <f>IF($A101=BT$83, 0, distance(VLOOKUP($A101,Cuision!$G:$P,9,FALSE),VLOOKUP($A101,Cuision!$G:$P,10,FALSE),VLOOKUP(BT$83,Cuision!$G:$P,9,FALSE),VLOOKUP(BT$83,Cuision!$G:$P,10,FALSE)))</f>
        <v>-1</v>
      </c>
      <c r="BU101" s="33">
        <f>IF($A101=BU$83, 0, distance(VLOOKUP($A101,Cuision!$G:$P,9,FALSE),VLOOKUP($A101,Cuision!$G:$P,10,FALSE),VLOOKUP(BU$83,Cuision!$G:$P,9,FALSE),VLOOKUP(BU$83,Cuision!$G:$P,10,FALSE)))</f>
        <v>-1</v>
      </c>
      <c r="BV101" s="33">
        <f>IF($A101=BV$83, 0, distance(VLOOKUP($A101,Cuision!$G:$P,9,FALSE),VLOOKUP($A101,Cuision!$G:$P,10,FALSE),VLOOKUP(BV$83,Cuision!$G:$P,9,FALSE),VLOOKUP(BV$83,Cuision!$G:$P,10,FALSE)))</f>
        <v>-1</v>
      </c>
      <c r="BW101" s="33">
        <f>IF($A101=BW$83, 0, distance(VLOOKUP($A101,Cuision!$G:$P,9,FALSE),VLOOKUP($A101,Cuision!$G:$P,10,FALSE),VLOOKUP(BW$83,Cuision!$G:$P,9,FALSE),VLOOKUP(BW$83,Cuision!$G:$P,10,FALSE)))</f>
        <v>-1</v>
      </c>
      <c r="BX101" s="33">
        <f>IF($A101=BX$83, 0, distance(VLOOKUP($A101,Cuision!$G:$P,9,FALSE),VLOOKUP($A101,Cuision!$G:$P,10,FALSE),VLOOKUP(BX$83,Cuision!$G:$P,9,FALSE),VLOOKUP(BX$83,Cuision!$G:$P,10,FALSE)))</f>
        <v>-1</v>
      </c>
      <c r="BY101" s="33">
        <f>IF($A101=BY$83, 0, distance(VLOOKUP($A101,Cuision!$G:$P,9,FALSE),VLOOKUP($A101,Cuision!$G:$P,10,FALSE),VLOOKUP(BY$83,Cuision!$G:$P,9,FALSE),VLOOKUP(BY$83,Cuision!$G:$P,10,FALSE)))</f>
        <v>-1</v>
      </c>
      <c r="BZ101" s="33">
        <f>IF($A101=BZ$83, 0, distance(VLOOKUP($A101,Cuision!$G:$P,9,FALSE),VLOOKUP($A101,Cuision!$G:$P,10,FALSE),VLOOKUP(BZ$83,Cuision!$G:$P,9,FALSE),VLOOKUP(BZ$83,Cuision!$G:$P,10,FALSE)))</f>
        <v>-1</v>
      </c>
      <c r="CA101" s="33">
        <f>IF($A101=CA$83, 0, distance(VLOOKUP($A101,Cuision!$G:$P,9,FALSE),VLOOKUP($A101,Cuision!$G:$P,10,FALSE),VLOOKUP(CA$83,Cuision!$G:$P,9,FALSE),VLOOKUP(CA$83,Cuision!$G:$P,10,FALSE)))</f>
        <v>-1</v>
      </c>
    </row>
    <row r="102" spans="1:79" ht="14.25" x14ac:dyDescent="0.2">
      <c r="A102" s="30" t="s">
        <v>59</v>
      </c>
      <c r="B102" s="33">
        <f>IF($A102=B$83, 0, distance(VLOOKUP($A102,Cuision!$G:$P,9,FALSE),VLOOKUP($A102,Cuision!$G:$P,10,FALSE),VLOOKUP(B$83,Cuision!$G:$P,9,FALSE),VLOOKUP(B$83,Cuision!$G:$P,10,FALSE)))</f>
        <v>1937.0449580610471</v>
      </c>
      <c r="C102" s="33">
        <f>IF($A102=C$83, 0, distance(VLOOKUP($A102,Cuision!$G:$P,9,FALSE),VLOOKUP($A102,Cuision!$G:$P,10,FALSE),VLOOKUP(C$83,Cuision!$G:$P,9,FALSE),VLOOKUP(C$83,Cuision!$G:$P,10,FALSE)))</f>
        <v>4630.0609009506625</v>
      </c>
      <c r="D102" s="33">
        <f>IF($A102=D$83, 0, distance(VLOOKUP($A102,Cuision!$G:$P,9,FALSE),VLOOKUP($A102,Cuision!$G:$P,10,FALSE),VLOOKUP(D$83,Cuision!$G:$P,9,FALSE),VLOOKUP(D$83,Cuision!$G:$P,10,FALSE)))</f>
        <v>8360.0215036814861</v>
      </c>
      <c r="E102" s="33">
        <f>IF($A102=E$83, 0, distance(VLOOKUP($A102,Cuision!$G:$P,9,FALSE),VLOOKUP($A102,Cuision!$G:$P,10,FALSE),VLOOKUP(E$83,Cuision!$G:$P,9,FALSE),VLOOKUP(E$83,Cuision!$G:$P,10,FALSE)))</f>
        <v>8360.0215036814861</v>
      </c>
      <c r="F102" s="33">
        <f>IF($A102=F$83, 0, distance(VLOOKUP($A102,Cuision!$G:$P,9,FALSE),VLOOKUP($A102,Cuision!$G:$P,10,FALSE),VLOOKUP(F$83,Cuision!$G:$P,9,FALSE),VLOOKUP(F$83,Cuision!$G:$P,10,FALSE)))</f>
        <v>3403.1363502407648</v>
      </c>
      <c r="G102" s="33">
        <f>IF($A102=G$83, 0, distance(VLOOKUP($A102,Cuision!$G:$P,9,FALSE),VLOOKUP($A102,Cuision!$G:$P,10,FALSE),VLOOKUP(G$83,Cuision!$G:$P,9,FALSE),VLOOKUP(G$83,Cuision!$G:$P,10,FALSE)))</f>
        <v>10572.055262272017</v>
      </c>
      <c r="H102" s="33">
        <f>IF($A102=H$83, 0, distance(VLOOKUP($A102,Cuision!$G:$P,9,FALSE),VLOOKUP($A102,Cuision!$G:$P,10,FALSE),VLOOKUP(H$83,Cuision!$G:$P,9,FALSE),VLOOKUP(H$83,Cuision!$G:$P,10,FALSE)))</f>
        <v>3341.0334510840466</v>
      </c>
      <c r="I102" s="33">
        <f>IF($A102=I$83, 0, distance(VLOOKUP($A102,Cuision!$G:$P,9,FALSE),VLOOKUP($A102,Cuision!$G:$P,10,FALSE),VLOOKUP(I$83,Cuision!$G:$P,9,FALSE),VLOOKUP(I$83,Cuision!$G:$P,10,FALSE)))</f>
        <v>1025.4941143807514</v>
      </c>
      <c r="J102" s="33">
        <f>IF($A102=J$83, 0, distance(VLOOKUP($A102,Cuision!$G:$P,9,FALSE),VLOOKUP($A102,Cuision!$G:$P,10,FALSE),VLOOKUP(J$83,Cuision!$G:$P,9,FALSE),VLOOKUP(J$83,Cuision!$G:$P,10,FALSE)))</f>
        <v>5147.3035003328832</v>
      </c>
      <c r="K102" s="33">
        <f>IF($A102=K$83, 0, distance(VLOOKUP($A102,Cuision!$G:$P,9,FALSE),VLOOKUP($A102,Cuision!$G:$P,10,FALSE),VLOOKUP(K$83,Cuision!$G:$P,9,FALSE),VLOOKUP(K$83,Cuision!$G:$P,10,FALSE)))</f>
        <v>4745.651525255661</v>
      </c>
      <c r="L102" s="33">
        <f>IF($A102=L$83, 0, distance(VLOOKUP($A102,Cuision!$G:$P,9,FALSE),VLOOKUP($A102,Cuision!$G:$P,10,FALSE),VLOOKUP(L$83,Cuision!$G:$P,9,FALSE),VLOOKUP(L$83,Cuision!$G:$P,10,FALSE)))</f>
        <v>457.74606823667386</v>
      </c>
      <c r="M102" s="33">
        <f>IF($A102=M$83, 0, distance(VLOOKUP($A102,Cuision!$G:$P,9,FALSE),VLOOKUP($A102,Cuision!$G:$P,10,FALSE),VLOOKUP(M$83,Cuision!$G:$P,9,FALSE),VLOOKUP(M$83,Cuision!$G:$P,10,FALSE)))</f>
        <v>-1</v>
      </c>
      <c r="N102" s="33">
        <f>IF($A102=N$83, 0, distance(VLOOKUP($A102,Cuision!$G:$P,9,FALSE),VLOOKUP($A102,Cuision!$G:$P,10,FALSE),VLOOKUP(N$83,Cuision!$G:$P,9,FALSE),VLOOKUP(N$83,Cuision!$G:$P,10,FALSE)))</f>
        <v>5834.4264171615005</v>
      </c>
      <c r="O102" s="33">
        <f>IF($A102=O$83, 0, distance(VLOOKUP($A102,Cuision!$G:$P,9,FALSE),VLOOKUP($A102,Cuision!$G:$P,10,FALSE),VLOOKUP(O$83,Cuision!$G:$P,9,FALSE),VLOOKUP(O$83,Cuision!$G:$P,10,FALSE)))</f>
        <v>5244.0103161885991</v>
      </c>
      <c r="P102" s="33">
        <f>IF($A102=P$83, 0, distance(VLOOKUP($A102,Cuision!$G:$P,9,FALSE),VLOOKUP($A102,Cuision!$G:$P,10,FALSE),VLOOKUP(P$83,Cuision!$G:$P,9,FALSE),VLOOKUP(P$83,Cuision!$G:$P,10,FALSE)))</f>
        <v>10059.991644854044</v>
      </c>
      <c r="Q102" s="33">
        <f>IF($A102=Q$83, 0, distance(VLOOKUP($A102,Cuision!$G:$P,9,FALSE),VLOOKUP($A102,Cuision!$G:$P,10,FALSE),VLOOKUP(Q$83,Cuision!$G:$P,9,FALSE),VLOOKUP(Q$83,Cuision!$G:$P,10,FALSE)))</f>
        <v>-1</v>
      </c>
      <c r="R102" s="33">
        <f>IF($A102=R$83, 0, distance(VLOOKUP($A102,Cuision!$G:$P,9,FALSE),VLOOKUP($A102,Cuision!$G:$P,10,FALSE),VLOOKUP(R$83,Cuision!$G:$P,9,FALSE),VLOOKUP(R$83,Cuision!$G:$P,10,FALSE)))</f>
        <v>5418.5031452549056</v>
      </c>
      <c r="S102" s="33">
        <f>IF($A102=S$83, 0, distance(VLOOKUP($A102,Cuision!$G:$P,9,FALSE),VLOOKUP($A102,Cuision!$G:$P,10,FALSE),VLOOKUP(S$83,Cuision!$G:$P,9,FALSE),VLOOKUP(S$83,Cuision!$G:$P,10,FALSE)))</f>
        <v>-1</v>
      </c>
      <c r="T102" s="33">
        <f>IF($A102=T$83, 0, distance(VLOOKUP($A102,Cuision!$G:$P,9,FALSE),VLOOKUP($A102,Cuision!$G:$P,10,FALSE),VLOOKUP(T$83,Cuision!$G:$P,9,FALSE),VLOOKUP(T$83,Cuision!$G:$P,10,FALSE)))</f>
        <v>0</v>
      </c>
      <c r="U102" s="33">
        <f>IF($A102=U$83, 0, distance(VLOOKUP($A102,Cuision!$G:$P,9,FALSE),VLOOKUP($A102,Cuision!$G:$P,10,FALSE),VLOOKUP(U$83,Cuision!$G:$P,9,FALSE),VLOOKUP(U$83,Cuision!$G:$P,10,FALSE)))</f>
        <v>-1</v>
      </c>
      <c r="V102" s="33">
        <f>IF($A102=V$83, 0, distance(VLOOKUP($A102,Cuision!$G:$P,9,FALSE),VLOOKUP($A102,Cuision!$G:$P,10,FALSE),VLOOKUP(V$83,Cuision!$G:$P,9,FALSE),VLOOKUP(V$83,Cuision!$G:$P,10,FALSE)))</f>
        <v>8360.0215036814861</v>
      </c>
      <c r="W102" s="33">
        <f>IF($A102=W$83, 0, distance(VLOOKUP($A102,Cuision!$G:$P,9,FALSE),VLOOKUP($A102,Cuision!$G:$P,10,FALSE),VLOOKUP(W$83,Cuision!$G:$P,9,FALSE),VLOOKUP(W$83,Cuision!$G:$P,10,FALSE)))</f>
        <v>813.24831082423577</v>
      </c>
      <c r="X102" s="33">
        <f>IF($A102=X$83, 0, distance(VLOOKUP($A102,Cuision!$G:$P,9,FALSE),VLOOKUP($A102,Cuision!$G:$P,10,FALSE),VLOOKUP(X$83,Cuision!$G:$P,9,FALSE),VLOOKUP(X$83,Cuision!$G:$P,10,FALSE)))</f>
        <v>5834.4264171615005</v>
      </c>
      <c r="Y102" s="33">
        <f>IF($A102=Y$83, 0, distance(VLOOKUP($A102,Cuision!$G:$P,9,FALSE),VLOOKUP($A102,Cuision!$G:$P,10,FALSE),VLOOKUP(Y$83,Cuision!$G:$P,9,FALSE),VLOOKUP(Y$83,Cuision!$G:$P,10,FALSE)))</f>
        <v>1838.9367806046748</v>
      </c>
      <c r="Z102" s="33">
        <f>IF($A102=Z$83, 0, distance(VLOOKUP($A102,Cuision!$G:$P,9,FALSE),VLOOKUP($A102,Cuision!$G:$P,10,FALSE),VLOOKUP(Z$83,Cuision!$G:$P,9,FALSE),VLOOKUP(Z$83,Cuision!$G:$P,10,FALSE)))</f>
        <v>-1</v>
      </c>
      <c r="AA102" s="33">
        <f>IF($A102=AA$83, 0, distance(VLOOKUP($A102,Cuision!$G:$P,9,FALSE),VLOOKUP($A102,Cuision!$G:$P,10,FALSE),VLOOKUP(AA$83,Cuision!$G:$P,9,FALSE),VLOOKUP(AA$83,Cuision!$G:$P,10,FALSE)))</f>
        <v>9471.9187136912224</v>
      </c>
      <c r="AB102" s="33">
        <f>IF($A102=AB$83, 0, distance(VLOOKUP($A102,Cuision!$G:$P,9,FALSE),VLOOKUP($A102,Cuision!$G:$P,10,FALSE),VLOOKUP(AB$83,Cuision!$G:$P,9,FALSE),VLOOKUP(AB$83,Cuision!$G:$P,10,FALSE)))</f>
        <v>4818.4062478228025</v>
      </c>
      <c r="AC102" s="33">
        <f>IF($A102=AC$83, 0, distance(VLOOKUP($A102,Cuision!$G:$P,9,FALSE),VLOOKUP($A102,Cuision!$G:$P,10,FALSE),VLOOKUP(AC$83,Cuision!$G:$P,9,FALSE),VLOOKUP(AC$83,Cuision!$G:$P,10,FALSE)))</f>
        <v>3893.5025920808644</v>
      </c>
      <c r="AD102" s="33">
        <f>IF($A102=AD$83, 0, distance(VLOOKUP($A102,Cuision!$G:$P,9,FALSE),VLOOKUP($A102,Cuision!$G:$P,10,FALSE),VLOOKUP(AD$83,Cuision!$G:$P,9,FALSE),VLOOKUP(AD$83,Cuision!$G:$P,10,FALSE)))</f>
        <v>1676.6608392471278</v>
      </c>
      <c r="AE102" s="33">
        <f>IF($A102=AE$83, 0, distance(VLOOKUP($A102,Cuision!$G:$P,9,FALSE),VLOOKUP($A102,Cuision!$G:$P,10,FALSE),VLOOKUP(AE$83,Cuision!$G:$P,9,FALSE),VLOOKUP(AE$83,Cuision!$G:$P,10,FALSE)))</f>
        <v>4817.4492852998601</v>
      </c>
      <c r="AF102" s="33">
        <f>IF($A102=AF$83, 0, distance(VLOOKUP($A102,Cuision!$G:$P,9,FALSE),VLOOKUP($A102,Cuision!$G:$P,10,FALSE),VLOOKUP(AF$83,Cuision!$G:$P,9,FALSE),VLOOKUP(AF$83,Cuision!$G:$P,10,FALSE)))</f>
        <v>5365.9105431588059</v>
      </c>
      <c r="AG102" s="33">
        <f>IF($A102=AG$83, 0, distance(VLOOKUP($A102,Cuision!$G:$P,9,FALSE),VLOOKUP($A102,Cuision!$G:$P,10,FALSE),VLOOKUP(AG$83,Cuision!$G:$P,9,FALSE),VLOOKUP(AG$83,Cuision!$G:$P,10,FALSE)))</f>
        <v>4841.7351610344067</v>
      </c>
      <c r="AH102" s="33">
        <f>IF($A102=AH$83, 0, distance(VLOOKUP($A102,Cuision!$G:$P,9,FALSE),VLOOKUP($A102,Cuision!$G:$P,10,FALSE),VLOOKUP(AH$83,Cuision!$G:$P,9,FALSE),VLOOKUP(AH$83,Cuision!$G:$P,10,FALSE)))</f>
        <v>-1</v>
      </c>
      <c r="AI102" s="33">
        <f>IF($A102=AI$83, 0, distance(VLOOKUP($A102,Cuision!$G:$P,9,FALSE),VLOOKUP($A102,Cuision!$G:$P,10,FALSE),VLOOKUP(AI$83,Cuision!$G:$P,9,FALSE),VLOOKUP(AI$83,Cuision!$G:$P,10,FALSE)))</f>
        <v>4449.150145070611</v>
      </c>
      <c r="AJ102" s="33">
        <f>IF($A102=AJ$83, 0, distance(VLOOKUP($A102,Cuision!$G:$P,9,FALSE),VLOOKUP($A102,Cuision!$G:$P,10,FALSE),VLOOKUP(AJ$83,Cuision!$G:$P,9,FALSE),VLOOKUP(AJ$83,Cuision!$G:$P,10,FALSE)))</f>
        <v>3403.1363502407648</v>
      </c>
      <c r="AK102" s="33">
        <f>IF($A102=AK$83, 0, distance(VLOOKUP($A102,Cuision!$G:$P,9,FALSE),VLOOKUP($A102,Cuision!$G:$P,10,FALSE),VLOOKUP(AK$83,Cuision!$G:$P,9,FALSE),VLOOKUP(AK$83,Cuision!$G:$P,10,FALSE)))</f>
        <v>6865.003216197184</v>
      </c>
      <c r="AL102" s="33">
        <f>IF($A102=AL$83, 0, distance(VLOOKUP($A102,Cuision!$G:$P,9,FALSE),VLOOKUP($A102,Cuision!$G:$P,10,FALSE),VLOOKUP(AL$83,Cuision!$G:$P,9,FALSE),VLOOKUP(AL$83,Cuision!$G:$P,10,FALSE)))</f>
        <v>876.23395987845367</v>
      </c>
      <c r="AM102" s="33">
        <f>IF($A102=AM$83, 0, distance(VLOOKUP($A102,Cuision!$G:$P,9,FALSE),VLOOKUP($A102,Cuision!$G:$P,10,FALSE),VLOOKUP(AM$83,Cuision!$G:$P,9,FALSE),VLOOKUP(AM$83,Cuision!$G:$P,10,FALSE)))</f>
        <v>-1</v>
      </c>
      <c r="AN102" s="33">
        <f>IF($A102=AN$83, 0, distance(VLOOKUP($A102,Cuision!$G:$P,9,FALSE),VLOOKUP($A102,Cuision!$G:$P,10,FALSE),VLOOKUP(AN$83,Cuision!$G:$P,9,FALSE),VLOOKUP(AN$83,Cuision!$G:$P,10,FALSE)))</f>
        <v>4627.0136856554218</v>
      </c>
      <c r="AO102" s="33">
        <f>IF($A102=AO$83, 0, distance(VLOOKUP($A102,Cuision!$G:$P,9,FALSE),VLOOKUP($A102,Cuision!$G:$P,10,FALSE),VLOOKUP(AO$83,Cuision!$G:$P,9,FALSE),VLOOKUP(AO$83,Cuision!$G:$P,10,FALSE)))</f>
        <v>5834.4264171615005</v>
      </c>
      <c r="AP102" s="33">
        <f>IF($A102=AP$83, 0, distance(VLOOKUP($A102,Cuision!$G:$P,9,FALSE),VLOOKUP($A102,Cuision!$G:$P,10,FALSE),VLOOKUP(AP$83,Cuision!$G:$P,9,FALSE),VLOOKUP(AP$83,Cuision!$G:$P,10,FALSE)))</f>
        <v>1338.1655627347423</v>
      </c>
      <c r="AQ102" s="33">
        <f>IF($A102=AQ$83, 0, distance(VLOOKUP($A102,Cuision!$G:$P,9,FALSE),VLOOKUP($A102,Cuision!$G:$P,10,FALSE),VLOOKUP(AQ$83,Cuision!$G:$P,9,FALSE),VLOOKUP(AQ$83,Cuision!$G:$P,10,FALSE)))</f>
        <v>1936.0103650545723</v>
      </c>
      <c r="AR102" s="33">
        <f>IF($A102=AR$83, 0, distance(VLOOKUP($A102,Cuision!$G:$P,9,FALSE),VLOOKUP($A102,Cuision!$G:$P,10,FALSE),VLOOKUP(AR$83,Cuision!$G:$P,9,FALSE),VLOOKUP(AR$83,Cuision!$G:$P,10,FALSE)))</f>
        <v>5418.5031452549056</v>
      </c>
      <c r="AS102" s="33">
        <f>IF($A102=AS$83, 0, distance(VLOOKUP($A102,Cuision!$G:$P,9,FALSE),VLOOKUP($A102,Cuision!$G:$P,10,FALSE),VLOOKUP(AS$83,Cuision!$G:$P,9,FALSE),VLOOKUP(AS$83,Cuision!$G:$P,10,FALSE)))</f>
        <v>4999.0021050544101</v>
      </c>
      <c r="AT102" s="33">
        <f>IF($A102=AT$83, 0, distance(VLOOKUP($A102,Cuision!$G:$P,9,FALSE),VLOOKUP($A102,Cuision!$G:$P,10,FALSE),VLOOKUP(AT$83,Cuision!$G:$P,9,FALSE),VLOOKUP(AT$83,Cuision!$G:$P,10,FALSE)))</f>
        <v>2854.5686806327576</v>
      </c>
      <c r="AU102" s="33">
        <f>IF($A102=AU$83, 0, distance(VLOOKUP($A102,Cuision!$G:$P,9,FALSE),VLOOKUP($A102,Cuision!$G:$P,10,FALSE),VLOOKUP(AU$83,Cuision!$G:$P,9,FALSE),VLOOKUP(AU$83,Cuision!$G:$P,10,FALSE)))</f>
        <v>2222.6012138304941</v>
      </c>
      <c r="AV102" s="33">
        <f>IF($A102=AV$83, 0, distance(VLOOKUP($A102,Cuision!$G:$P,9,FALSE),VLOOKUP($A102,Cuision!$G:$P,10,FALSE),VLOOKUP(AV$83,Cuision!$G:$P,9,FALSE),VLOOKUP(AV$83,Cuision!$G:$P,10,FALSE)))</f>
        <v>4018.0408600131586</v>
      </c>
      <c r="AW102" s="33">
        <f>IF($A102=AW$83, 0, distance(VLOOKUP($A102,Cuision!$G:$P,9,FALSE),VLOOKUP($A102,Cuision!$G:$P,10,FALSE),VLOOKUP(AW$83,Cuision!$G:$P,9,FALSE),VLOOKUP(AW$83,Cuision!$G:$P,10,FALSE)))</f>
        <v>440.48224736335879</v>
      </c>
      <c r="AX102" s="33">
        <f>IF($A102=AX$83, 0, distance(VLOOKUP($A102,Cuision!$G:$P,9,FALSE),VLOOKUP($A102,Cuision!$G:$P,10,FALSE),VLOOKUP(AX$83,Cuision!$G:$P,9,FALSE),VLOOKUP(AX$83,Cuision!$G:$P,10,FALSE)))</f>
        <v>10586.667316682921</v>
      </c>
      <c r="AY102" s="33">
        <f>IF($A102=AY$83, 0, distance(VLOOKUP($A102,Cuision!$G:$P,9,FALSE),VLOOKUP($A102,Cuision!$G:$P,10,FALSE),VLOOKUP(AY$83,Cuision!$G:$P,9,FALSE),VLOOKUP(AY$83,Cuision!$G:$P,10,FALSE)))</f>
        <v>-1</v>
      </c>
      <c r="AZ102" s="33">
        <f>IF($A102=AZ$83, 0, distance(VLOOKUP($A102,Cuision!$G:$P,9,FALSE),VLOOKUP($A102,Cuision!$G:$P,10,FALSE),VLOOKUP(AZ$83,Cuision!$G:$P,9,FALSE),VLOOKUP(AZ$83,Cuision!$G:$P,10,FALSE)))</f>
        <v>1207.3040966273766</v>
      </c>
      <c r="BA102" s="33">
        <f>IF($A102=BA$83, 0, distance(VLOOKUP($A102,Cuision!$G:$P,9,FALSE),VLOOKUP($A102,Cuision!$G:$P,10,FALSE),VLOOKUP(BA$83,Cuision!$G:$P,9,FALSE),VLOOKUP(BA$83,Cuision!$G:$P,10,FALSE)))</f>
        <v>4795.2989727343665</v>
      </c>
      <c r="BB102" s="33">
        <f>IF($A102=BB$83, 0, distance(VLOOKUP($A102,Cuision!$G:$P,9,FALSE),VLOOKUP($A102,Cuision!$G:$P,10,FALSE),VLOOKUP(BB$83,Cuision!$G:$P,9,FALSE),VLOOKUP(BB$83,Cuision!$G:$P,10,FALSE)))</f>
        <v>9538.715195143719</v>
      </c>
      <c r="BC102" s="33">
        <f>IF($A102=BC$83, 0, distance(VLOOKUP($A102,Cuision!$G:$P,9,FALSE),VLOOKUP($A102,Cuision!$G:$P,10,FALSE),VLOOKUP(BC$83,Cuision!$G:$P,9,FALSE),VLOOKUP(BC$83,Cuision!$G:$P,10,FALSE)))</f>
        <v>3403.1363502407648</v>
      </c>
      <c r="BD102" s="33">
        <f>IF($A102=BD$83, 0, distance(VLOOKUP($A102,Cuision!$G:$P,9,FALSE),VLOOKUP($A102,Cuision!$G:$P,10,FALSE),VLOOKUP(BD$83,Cuision!$G:$P,9,FALSE),VLOOKUP(BD$83,Cuision!$G:$P,10,FALSE)))</f>
        <v>2036.4986126809176</v>
      </c>
      <c r="BE102" s="33">
        <f>IF($A102=BE$83, 0, distance(VLOOKUP($A102,Cuision!$G:$P,9,FALSE),VLOOKUP($A102,Cuision!$G:$P,10,FALSE),VLOOKUP(BE$83,Cuision!$G:$P,9,FALSE),VLOOKUP(BE$83,Cuision!$G:$P,10,FALSE)))</f>
        <v>6162.5265800903917</v>
      </c>
      <c r="BF102" s="33">
        <f>IF($A102=BF$83, 0, distance(VLOOKUP($A102,Cuision!$G:$P,9,FALSE),VLOOKUP($A102,Cuision!$G:$P,10,FALSE),VLOOKUP(BF$83,Cuision!$G:$P,9,FALSE),VLOOKUP(BF$83,Cuision!$G:$P,10,FALSE)))</f>
        <v>1714.0735749948067</v>
      </c>
      <c r="BG102" s="33">
        <f>IF($A102=BG$83, 0, distance(VLOOKUP($A102,Cuision!$G:$P,9,FALSE),VLOOKUP($A102,Cuision!$G:$P,10,FALSE),VLOOKUP(BG$83,Cuision!$G:$P,9,FALSE),VLOOKUP(BG$83,Cuision!$G:$P,10,FALSE)))</f>
        <v>2918.0500640847404</v>
      </c>
      <c r="BH102" s="33">
        <f>IF($A102=BH$83, 0, distance(VLOOKUP($A102,Cuision!$G:$P,9,FALSE),VLOOKUP($A102,Cuision!$G:$P,10,FALSE),VLOOKUP(BH$83,Cuision!$G:$P,9,FALSE),VLOOKUP(BH$83,Cuision!$G:$P,10,FALSE)))</f>
        <v>11736.255544229556</v>
      </c>
      <c r="BI102" s="33">
        <f>IF($A102=BI$83, 0, distance(VLOOKUP($A102,Cuision!$G:$P,9,FALSE),VLOOKUP($A102,Cuision!$G:$P,10,FALSE),VLOOKUP(BI$83,Cuision!$G:$P,9,FALSE),VLOOKUP(BI$83,Cuision!$G:$P,10,FALSE)))</f>
        <v>4523.4150950801468</v>
      </c>
      <c r="BJ102" s="33">
        <f>IF($A102=BJ$83, 0, distance(VLOOKUP($A102,Cuision!$G:$P,9,FALSE),VLOOKUP($A102,Cuision!$G:$P,10,FALSE),VLOOKUP(BJ$83,Cuision!$G:$P,9,FALSE),VLOOKUP(BJ$83,Cuision!$G:$P,10,FALSE)))</f>
        <v>6146.445774302153</v>
      </c>
      <c r="BK102" s="33">
        <f>IF($A102=BK$83, 0, distance(VLOOKUP($A102,Cuision!$G:$P,9,FALSE),VLOOKUP($A102,Cuision!$G:$P,10,FALSE),VLOOKUP(BK$83,Cuision!$G:$P,9,FALSE),VLOOKUP(BK$83,Cuision!$G:$P,10,FALSE)))</f>
        <v>3884.235719571639</v>
      </c>
      <c r="BL102" s="33">
        <f>IF($A102=BL$83, 0, distance(VLOOKUP($A102,Cuision!$G:$P,9,FALSE),VLOOKUP($A102,Cuision!$G:$P,10,FALSE),VLOOKUP(BL$83,Cuision!$G:$P,9,FALSE),VLOOKUP(BL$83,Cuision!$G:$P,10,FALSE)))</f>
        <v>-1</v>
      </c>
      <c r="BM102" s="33">
        <f>IF($A102=BM$83, 0, distance(VLOOKUP($A102,Cuision!$G:$P,9,FALSE),VLOOKUP($A102,Cuision!$G:$P,10,FALSE),VLOOKUP(BM$83,Cuision!$G:$P,9,FALSE),VLOOKUP(BM$83,Cuision!$G:$P,10,FALSE)))</f>
        <v>-1</v>
      </c>
      <c r="BN102" s="33">
        <f>IF($A102=BN$83, 0, distance(VLOOKUP($A102,Cuision!$G:$P,9,FALSE),VLOOKUP($A102,Cuision!$G:$P,10,FALSE),VLOOKUP(BN$83,Cuision!$G:$P,9,FALSE),VLOOKUP(BN$83,Cuision!$G:$P,10,FALSE)))</f>
        <v>5418.5031452549056</v>
      </c>
      <c r="BO102" s="33">
        <f>IF($A102=BO$83, 0, distance(VLOOKUP($A102,Cuision!$G:$P,9,FALSE),VLOOKUP($A102,Cuision!$G:$P,10,FALSE),VLOOKUP(BO$83,Cuision!$G:$P,9,FALSE),VLOOKUP(BO$83,Cuision!$G:$P,10,FALSE)))</f>
        <v>1378.0449455112414</v>
      </c>
      <c r="BP102" s="33">
        <f>IF($A102=BP$83, 0, distance(VLOOKUP($A102,Cuision!$G:$P,9,FALSE),VLOOKUP($A102,Cuision!$G:$P,10,FALSE),VLOOKUP(BP$83,Cuision!$G:$P,9,FALSE),VLOOKUP(BP$83,Cuision!$G:$P,10,FALSE)))</f>
        <v>4712.1722101816813</v>
      </c>
      <c r="BQ102" s="33">
        <f>IF($A102=BQ$83, 0, distance(VLOOKUP($A102,Cuision!$G:$P,9,FALSE),VLOOKUP($A102,Cuision!$G:$P,10,FALSE),VLOOKUP(BQ$83,Cuision!$G:$P,9,FALSE),VLOOKUP(BQ$83,Cuision!$G:$P,10,FALSE)))</f>
        <v>-1</v>
      </c>
      <c r="BR102" s="33">
        <f>IF($A102=BR$83, 0, distance(VLOOKUP($A102,Cuision!$G:$P,9,FALSE),VLOOKUP($A102,Cuision!$G:$P,10,FALSE),VLOOKUP(BR$83,Cuision!$G:$P,9,FALSE),VLOOKUP(BR$83,Cuision!$G:$P,10,FALSE)))</f>
        <v>8360.0215036814861</v>
      </c>
      <c r="BS102" s="33">
        <f>IF($A102=BS$83, 0, distance(VLOOKUP($A102,Cuision!$G:$P,9,FALSE),VLOOKUP($A102,Cuision!$G:$P,10,FALSE),VLOOKUP(BS$83,Cuision!$G:$P,9,FALSE),VLOOKUP(BS$83,Cuision!$G:$P,10,FALSE)))</f>
        <v>1838.9367806046748</v>
      </c>
      <c r="BT102" s="33">
        <f>IF($A102=BT$83, 0, distance(VLOOKUP($A102,Cuision!$G:$P,9,FALSE),VLOOKUP($A102,Cuision!$G:$P,10,FALSE),VLOOKUP(BT$83,Cuision!$G:$P,9,FALSE),VLOOKUP(BT$83,Cuision!$G:$P,10,FALSE)))</f>
        <v>5834.4264171615005</v>
      </c>
      <c r="BU102" s="33">
        <f>IF($A102=BU$83, 0, distance(VLOOKUP($A102,Cuision!$G:$P,9,FALSE),VLOOKUP($A102,Cuision!$G:$P,10,FALSE),VLOOKUP(BU$83,Cuision!$G:$P,9,FALSE),VLOOKUP(BU$83,Cuision!$G:$P,10,FALSE)))</f>
        <v>505.30114208402148</v>
      </c>
      <c r="BV102" s="33">
        <f>IF($A102=BV$83, 0, distance(VLOOKUP($A102,Cuision!$G:$P,9,FALSE),VLOOKUP($A102,Cuision!$G:$P,10,FALSE),VLOOKUP(BV$83,Cuision!$G:$P,9,FALSE),VLOOKUP(BV$83,Cuision!$G:$P,10,FALSE)))</f>
        <v>3953.3873429422297</v>
      </c>
      <c r="BW102" s="33">
        <f>IF($A102=BW$83, 0, distance(VLOOKUP($A102,Cuision!$G:$P,9,FALSE),VLOOKUP($A102,Cuision!$G:$P,10,FALSE),VLOOKUP(BW$83,Cuision!$G:$P,9,FALSE),VLOOKUP(BW$83,Cuision!$G:$P,10,FALSE)))</f>
        <v>4108.580385292802</v>
      </c>
      <c r="BX102" s="33">
        <f>IF($A102=BX$83, 0, distance(VLOOKUP($A102,Cuision!$G:$P,9,FALSE),VLOOKUP($A102,Cuision!$G:$P,10,FALSE),VLOOKUP(BX$83,Cuision!$G:$P,9,FALSE),VLOOKUP(BX$83,Cuision!$G:$P,10,FALSE)))</f>
        <v>2167.9584517511544</v>
      </c>
      <c r="BY102" s="33">
        <f>IF($A102=BY$83, 0, distance(VLOOKUP($A102,Cuision!$G:$P,9,FALSE),VLOOKUP($A102,Cuision!$G:$P,10,FALSE),VLOOKUP(BY$83,Cuision!$G:$P,9,FALSE),VLOOKUP(BY$83,Cuision!$G:$P,10,FALSE)))</f>
        <v>-1</v>
      </c>
      <c r="BZ102" s="33">
        <f>IF($A102=BZ$83, 0, distance(VLOOKUP($A102,Cuision!$G:$P,9,FALSE),VLOOKUP($A102,Cuision!$G:$P,10,FALSE),VLOOKUP(BZ$83,Cuision!$G:$P,9,FALSE),VLOOKUP(BZ$83,Cuision!$G:$P,10,FALSE)))</f>
        <v>-1</v>
      </c>
      <c r="CA102" s="33">
        <f>IF($A102=CA$83, 0, distance(VLOOKUP($A102,Cuision!$G:$P,9,FALSE),VLOOKUP($A102,Cuision!$G:$P,10,FALSE),VLOOKUP(CA$83,Cuision!$G:$P,9,FALSE),VLOOKUP(CA$83,Cuision!$G:$P,10,FALSE)))</f>
        <v>634.83318216662462</v>
      </c>
    </row>
    <row r="103" spans="1:79" ht="14.25" x14ac:dyDescent="0.2">
      <c r="A103" s="30" t="s">
        <v>60</v>
      </c>
      <c r="B103" s="33">
        <f>IF($A103=B$83, 0, distance(VLOOKUP($A103,Cuision!$G:$P,9,FALSE),VLOOKUP($A103,Cuision!$G:$P,10,FALSE),VLOOKUP(B$83,Cuision!$G:$P,9,FALSE),VLOOKUP(B$83,Cuision!$G:$P,10,FALSE)))</f>
        <v>-1</v>
      </c>
      <c r="C103" s="33">
        <f>IF($A103=C$83, 0, distance(VLOOKUP($A103,Cuision!$G:$P,9,FALSE),VLOOKUP($A103,Cuision!$G:$P,10,FALSE),VLOOKUP(C$83,Cuision!$G:$P,9,FALSE),VLOOKUP(C$83,Cuision!$G:$P,10,FALSE)))</f>
        <v>-1</v>
      </c>
      <c r="D103" s="33">
        <f>IF($A103=D$83, 0, distance(VLOOKUP($A103,Cuision!$G:$P,9,FALSE),VLOOKUP($A103,Cuision!$G:$P,10,FALSE),VLOOKUP(D$83,Cuision!$G:$P,9,FALSE),VLOOKUP(D$83,Cuision!$G:$P,10,FALSE)))</f>
        <v>-1</v>
      </c>
      <c r="E103" s="33">
        <f>IF($A103=E$83, 0, distance(VLOOKUP($A103,Cuision!$G:$P,9,FALSE),VLOOKUP($A103,Cuision!$G:$P,10,FALSE),VLOOKUP(E$83,Cuision!$G:$P,9,FALSE),VLOOKUP(E$83,Cuision!$G:$P,10,FALSE)))</f>
        <v>-1</v>
      </c>
      <c r="F103" s="33">
        <f>IF($A103=F$83, 0, distance(VLOOKUP($A103,Cuision!$G:$P,9,FALSE),VLOOKUP($A103,Cuision!$G:$P,10,FALSE),VLOOKUP(F$83,Cuision!$G:$P,9,FALSE),VLOOKUP(F$83,Cuision!$G:$P,10,FALSE)))</f>
        <v>-1</v>
      </c>
      <c r="G103" s="33">
        <f>IF($A103=G$83, 0, distance(VLOOKUP($A103,Cuision!$G:$P,9,FALSE),VLOOKUP($A103,Cuision!$G:$P,10,FALSE),VLOOKUP(G$83,Cuision!$G:$P,9,FALSE),VLOOKUP(G$83,Cuision!$G:$P,10,FALSE)))</f>
        <v>-1</v>
      </c>
      <c r="H103" s="33">
        <f>IF($A103=H$83, 0, distance(VLOOKUP($A103,Cuision!$G:$P,9,FALSE),VLOOKUP($A103,Cuision!$G:$P,10,FALSE),VLOOKUP(H$83,Cuision!$G:$P,9,FALSE),VLOOKUP(H$83,Cuision!$G:$P,10,FALSE)))</f>
        <v>-1</v>
      </c>
      <c r="I103" s="33">
        <f>IF($A103=I$83, 0, distance(VLOOKUP($A103,Cuision!$G:$P,9,FALSE),VLOOKUP($A103,Cuision!$G:$P,10,FALSE),VLOOKUP(I$83,Cuision!$G:$P,9,FALSE),VLOOKUP(I$83,Cuision!$G:$P,10,FALSE)))</f>
        <v>-1</v>
      </c>
      <c r="J103" s="33">
        <f>IF($A103=J$83, 0, distance(VLOOKUP($A103,Cuision!$G:$P,9,FALSE),VLOOKUP($A103,Cuision!$G:$P,10,FALSE),VLOOKUP(J$83,Cuision!$G:$P,9,FALSE),VLOOKUP(J$83,Cuision!$G:$P,10,FALSE)))</f>
        <v>-1</v>
      </c>
      <c r="K103" s="33">
        <f>IF($A103=K$83, 0, distance(VLOOKUP($A103,Cuision!$G:$P,9,FALSE),VLOOKUP($A103,Cuision!$G:$P,10,FALSE),VLOOKUP(K$83,Cuision!$G:$P,9,FALSE),VLOOKUP(K$83,Cuision!$G:$P,10,FALSE)))</f>
        <v>-1</v>
      </c>
      <c r="L103" s="33">
        <f>IF($A103=L$83, 0, distance(VLOOKUP($A103,Cuision!$G:$P,9,FALSE),VLOOKUP($A103,Cuision!$G:$P,10,FALSE),VLOOKUP(L$83,Cuision!$G:$P,9,FALSE),VLOOKUP(L$83,Cuision!$G:$P,10,FALSE)))</f>
        <v>-1</v>
      </c>
      <c r="M103" s="33">
        <f>IF($A103=M$83, 0, distance(VLOOKUP($A103,Cuision!$G:$P,9,FALSE),VLOOKUP($A103,Cuision!$G:$P,10,FALSE),VLOOKUP(M$83,Cuision!$G:$P,9,FALSE),VLOOKUP(M$83,Cuision!$G:$P,10,FALSE)))</f>
        <v>-1</v>
      </c>
      <c r="N103" s="33">
        <f>IF($A103=N$83, 0, distance(VLOOKUP($A103,Cuision!$G:$P,9,FALSE),VLOOKUP($A103,Cuision!$G:$P,10,FALSE),VLOOKUP(N$83,Cuision!$G:$P,9,FALSE),VLOOKUP(N$83,Cuision!$G:$P,10,FALSE)))</f>
        <v>-1</v>
      </c>
      <c r="O103" s="33">
        <f>IF($A103=O$83, 0, distance(VLOOKUP($A103,Cuision!$G:$P,9,FALSE),VLOOKUP($A103,Cuision!$G:$P,10,FALSE),VLOOKUP(O$83,Cuision!$G:$P,9,FALSE),VLOOKUP(O$83,Cuision!$G:$P,10,FALSE)))</f>
        <v>-1</v>
      </c>
      <c r="P103" s="33">
        <f>IF($A103=P$83, 0, distance(VLOOKUP($A103,Cuision!$G:$P,9,FALSE),VLOOKUP($A103,Cuision!$G:$P,10,FALSE),VLOOKUP(P$83,Cuision!$G:$P,9,FALSE),VLOOKUP(P$83,Cuision!$G:$P,10,FALSE)))</f>
        <v>-1</v>
      </c>
      <c r="Q103" s="33">
        <f>IF($A103=Q$83, 0, distance(VLOOKUP($A103,Cuision!$G:$P,9,FALSE),VLOOKUP($A103,Cuision!$G:$P,10,FALSE),VLOOKUP(Q$83,Cuision!$G:$P,9,FALSE),VLOOKUP(Q$83,Cuision!$G:$P,10,FALSE)))</f>
        <v>-1</v>
      </c>
      <c r="R103" s="33">
        <f>IF($A103=R$83, 0, distance(VLOOKUP($A103,Cuision!$G:$P,9,FALSE),VLOOKUP($A103,Cuision!$G:$P,10,FALSE),VLOOKUP(R$83,Cuision!$G:$P,9,FALSE),VLOOKUP(R$83,Cuision!$G:$P,10,FALSE)))</f>
        <v>-1</v>
      </c>
      <c r="S103" s="33">
        <f>IF($A103=S$83, 0, distance(VLOOKUP($A103,Cuision!$G:$P,9,FALSE),VLOOKUP($A103,Cuision!$G:$P,10,FALSE),VLOOKUP(S$83,Cuision!$G:$P,9,FALSE),VLOOKUP(S$83,Cuision!$G:$P,10,FALSE)))</f>
        <v>-1</v>
      </c>
      <c r="T103" s="33">
        <f>IF($A103=T$83, 0, distance(VLOOKUP($A103,Cuision!$G:$P,9,FALSE),VLOOKUP($A103,Cuision!$G:$P,10,FALSE),VLOOKUP(T$83,Cuision!$G:$P,9,FALSE),VLOOKUP(T$83,Cuision!$G:$P,10,FALSE)))</f>
        <v>-1</v>
      </c>
      <c r="U103" s="33">
        <f>IF($A103=U$83, 0, distance(VLOOKUP($A103,Cuision!$G:$P,9,FALSE),VLOOKUP($A103,Cuision!$G:$P,10,FALSE),VLOOKUP(U$83,Cuision!$G:$P,9,FALSE),VLOOKUP(U$83,Cuision!$G:$P,10,FALSE)))</f>
        <v>0</v>
      </c>
      <c r="V103" s="33">
        <f>IF($A103=V$83, 0, distance(VLOOKUP($A103,Cuision!$G:$P,9,FALSE),VLOOKUP($A103,Cuision!$G:$P,10,FALSE),VLOOKUP(V$83,Cuision!$G:$P,9,FALSE),VLOOKUP(V$83,Cuision!$G:$P,10,FALSE)))</f>
        <v>-1</v>
      </c>
      <c r="W103" s="33">
        <f>IF($A103=W$83, 0, distance(VLOOKUP($A103,Cuision!$G:$P,9,FALSE),VLOOKUP($A103,Cuision!$G:$P,10,FALSE),VLOOKUP(W$83,Cuision!$G:$P,9,FALSE),VLOOKUP(W$83,Cuision!$G:$P,10,FALSE)))</f>
        <v>-1</v>
      </c>
      <c r="X103" s="33">
        <f>IF($A103=X$83, 0, distance(VLOOKUP($A103,Cuision!$G:$P,9,FALSE),VLOOKUP($A103,Cuision!$G:$P,10,FALSE),VLOOKUP(X$83,Cuision!$G:$P,9,FALSE),VLOOKUP(X$83,Cuision!$G:$P,10,FALSE)))</f>
        <v>-1</v>
      </c>
      <c r="Y103" s="33">
        <f>IF($A103=Y$83, 0, distance(VLOOKUP($A103,Cuision!$G:$P,9,FALSE),VLOOKUP($A103,Cuision!$G:$P,10,FALSE),VLOOKUP(Y$83,Cuision!$G:$P,9,FALSE),VLOOKUP(Y$83,Cuision!$G:$P,10,FALSE)))</f>
        <v>-1</v>
      </c>
      <c r="Z103" s="33">
        <f>IF($A103=Z$83, 0, distance(VLOOKUP($A103,Cuision!$G:$P,9,FALSE),VLOOKUP($A103,Cuision!$G:$P,10,FALSE),VLOOKUP(Z$83,Cuision!$G:$P,9,FALSE),VLOOKUP(Z$83,Cuision!$G:$P,10,FALSE)))</f>
        <v>-1</v>
      </c>
      <c r="AA103" s="33">
        <f>IF($A103=AA$83, 0, distance(VLOOKUP($A103,Cuision!$G:$P,9,FALSE),VLOOKUP($A103,Cuision!$G:$P,10,FALSE),VLOOKUP(AA$83,Cuision!$G:$P,9,FALSE),VLOOKUP(AA$83,Cuision!$G:$P,10,FALSE)))</f>
        <v>-1</v>
      </c>
      <c r="AB103" s="33">
        <f>IF($A103=AB$83, 0, distance(VLOOKUP($A103,Cuision!$G:$P,9,FALSE),VLOOKUP($A103,Cuision!$G:$P,10,FALSE),VLOOKUP(AB$83,Cuision!$G:$P,9,FALSE),VLOOKUP(AB$83,Cuision!$G:$P,10,FALSE)))</f>
        <v>-1</v>
      </c>
      <c r="AC103" s="33">
        <f>IF($A103=AC$83, 0, distance(VLOOKUP($A103,Cuision!$G:$P,9,FALSE),VLOOKUP($A103,Cuision!$G:$P,10,FALSE),VLOOKUP(AC$83,Cuision!$G:$P,9,FALSE),VLOOKUP(AC$83,Cuision!$G:$P,10,FALSE)))</f>
        <v>-1</v>
      </c>
      <c r="AD103" s="33">
        <f>IF($A103=AD$83, 0, distance(VLOOKUP($A103,Cuision!$G:$P,9,FALSE),VLOOKUP($A103,Cuision!$G:$P,10,FALSE),VLOOKUP(AD$83,Cuision!$G:$P,9,FALSE),VLOOKUP(AD$83,Cuision!$G:$P,10,FALSE)))</f>
        <v>-1</v>
      </c>
      <c r="AE103" s="33">
        <f>IF($A103=AE$83, 0, distance(VLOOKUP($A103,Cuision!$G:$P,9,FALSE),VLOOKUP($A103,Cuision!$G:$P,10,FALSE),VLOOKUP(AE$83,Cuision!$G:$P,9,FALSE),VLOOKUP(AE$83,Cuision!$G:$P,10,FALSE)))</f>
        <v>-1</v>
      </c>
      <c r="AF103" s="33">
        <f>IF($A103=AF$83, 0, distance(VLOOKUP($A103,Cuision!$G:$P,9,FALSE),VLOOKUP($A103,Cuision!$G:$P,10,FALSE),VLOOKUP(AF$83,Cuision!$G:$P,9,FALSE),VLOOKUP(AF$83,Cuision!$G:$P,10,FALSE)))</f>
        <v>-1</v>
      </c>
      <c r="AG103" s="33">
        <f>IF($A103=AG$83, 0, distance(VLOOKUP($A103,Cuision!$G:$P,9,FALSE),VLOOKUP($A103,Cuision!$G:$P,10,FALSE),VLOOKUP(AG$83,Cuision!$G:$P,9,FALSE),VLOOKUP(AG$83,Cuision!$G:$P,10,FALSE)))</f>
        <v>-1</v>
      </c>
      <c r="AH103" s="33">
        <f>IF($A103=AH$83, 0, distance(VLOOKUP($A103,Cuision!$G:$P,9,FALSE),VLOOKUP($A103,Cuision!$G:$P,10,FALSE),VLOOKUP(AH$83,Cuision!$G:$P,9,FALSE),VLOOKUP(AH$83,Cuision!$G:$P,10,FALSE)))</f>
        <v>-1</v>
      </c>
      <c r="AI103" s="33">
        <f>IF($A103=AI$83, 0, distance(VLOOKUP($A103,Cuision!$G:$P,9,FALSE),VLOOKUP($A103,Cuision!$G:$P,10,FALSE),VLOOKUP(AI$83,Cuision!$G:$P,9,FALSE),VLOOKUP(AI$83,Cuision!$G:$P,10,FALSE)))</f>
        <v>-1</v>
      </c>
      <c r="AJ103" s="33">
        <f>IF($A103=AJ$83, 0, distance(VLOOKUP($A103,Cuision!$G:$P,9,FALSE),VLOOKUP($A103,Cuision!$G:$P,10,FALSE),VLOOKUP(AJ$83,Cuision!$G:$P,9,FALSE),VLOOKUP(AJ$83,Cuision!$G:$P,10,FALSE)))</f>
        <v>-1</v>
      </c>
      <c r="AK103" s="33">
        <f>IF($A103=AK$83, 0, distance(VLOOKUP($A103,Cuision!$G:$P,9,FALSE),VLOOKUP($A103,Cuision!$G:$P,10,FALSE),VLOOKUP(AK$83,Cuision!$G:$P,9,FALSE),VLOOKUP(AK$83,Cuision!$G:$P,10,FALSE)))</f>
        <v>-1</v>
      </c>
      <c r="AL103" s="33">
        <f>IF($A103=AL$83, 0, distance(VLOOKUP($A103,Cuision!$G:$P,9,FALSE),VLOOKUP($A103,Cuision!$G:$P,10,FALSE),VLOOKUP(AL$83,Cuision!$G:$P,9,FALSE),VLOOKUP(AL$83,Cuision!$G:$P,10,FALSE)))</f>
        <v>-1</v>
      </c>
      <c r="AM103" s="33">
        <f>IF($A103=AM$83, 0, distance(VLOOKUP($A103,Cuision!$G:$P,9,FALSE),VLOOKUP($A103,Cuision!$G:$P,10,FALSE),VLOOKUP(AM$83,Cuision!$G:$P,9,FALSE),VLOOKUP(AM$83,Cuision!$G:$P,10,FALSE)))</f>
        <v>-1</v>
      </c>
      <c r="AN103" s="33">
        <f>IF($A103=AN$83, 0, distance(VLOOKUP($A103,Cuision!$G:$P,9,FALSE),VLOOKUP($A103,Cuision!$G:$P,10,FALSE),VLOOKUP(AN$83,Cuision!$G:$P,9,FALSE),VLOOKUP(AN$83,Cuision!$G:$P,10,FALSE)))</f>
        <v>-1</v>
      </c>
      <c r="AO103" s="33">
        <f>IF($A103=AO$83, 0, distance(VLOOKUP($A103,Cuision!$G:$P,9,FALSE),VLOOKUP($A103,Cuision!$G:$P,10,FALSE),VLOOKUP(AO$83,Cuision!$G:$P,9,FALSE),VLOOKUP(AO$83,Cuision!$G:$P,10,FALSE)))</f>
        <v>-1</v>
      </c>
      <c r="AP103" s="33">
        <f>IF($A103=AP$83, 0, distance(VLOOKUP($A103,Cuision!$G:$P,9,FALSE),VLOOKUP($A103,Cuision!$G:$P,10,FALSE),VLOOKUP(AP$83,Cuision!$G:$P,9,FALSE),VLOOKUP(AP$83,Cuision!$G:$P,10,FALSE)))</f>
        <v>-1</v>
      </c>
      <c r="AQ103" s="33">
        <f>IF($A103=AQ$83, 0, distance(VLOOKUP($A103,Cuision!$G:$P,9,FALSE),VLOOKUP($A103,Cuision!$G:$P,10,FALSE),VLOOKUP(AQ$83,Cuision!$G:$P,9,FALSE),VLOOKUP(AQ$83,Cuision!$G:$P,10,FALSE)))</f>
        <v>-1</v>
      </c>
      <c r="AR103" s="33">
        <f>IF($A103=AR$83, 0, distance(VLOOKUP($A103,Cuision!$G:$P,9,FALSE),VLOOKUP($A103,Cuision!$G:$P,10,FALSE),VLOOKUP(AR$83,Cuision!$G:$P,9,FALSE),VLOOKUP(AR$83,Cuision!$G:$P,10,FALSE)))</f>
        <v>-1</v>
      </c>
      <c r="AS103" s="33">
        <f>IF($A103=AS$83, 0, distance(VLOOKUP($A103,Cuision!$G:$P,9,FALSE),VLOOKUP($A103,Cuision!$G:$P,10,FALSE),VLOOKUP(AS$83,Cuision!$G:$P,9,FALSE),VLOOKUP(AS$83,Cuision!$G:$P,10,FALSE)))</f>
        <v>-1</v>
      </c>
      <c r="AT103" s="33">
        <f>IF($A103=AT$83, 0, distance(VLOOKUP($A103,Cuision!$G:$P,9,FALSE),VLOOKUP($A103,Cuision!$G:$P,10,FALSE),VLOOKUP(AT$83,Cuision!$G:$P,9,FALSE),VLOOKUP(AT$83,Cuision!$G:$P,10,FALSE)))</f>
        <v>-1</v>
      </c>
      <c r="AU103" s="33">
        <f>IF($A103=AU$83, 0, distance(VLOOKUP($A103,Cuision!$G:$P,9,FALSE),VLOOKUP($A103,Cuision!$G:$P,10,FALSE),VLOOKUP(AU$83,Cuision!$G:$P,9,FALSE),VLOOKUP(AU$83,Cuision!$G:$P,10,FALSE)))</f>
        <v>-1</v>
      </c>
      <c r="AV103" s="33">
        <f>IF($A103=AV$83, 0, distance(VLOOKUP($A103,Cuision!$G:$P,9,FALSE),VLOOKUP($A103,Cuision!$G:$P,10,FALSE),VLOOKUP(AV$83,Cuision!$G:$P,9,FALSE),VLOOKUP(AV$83,Cuision!$G:$P,10,FALSE)))</f>
        <v>-1</v>
      </c>
      <c r="AW103" s="33">
        <f>IF($A103=AW$83, 0, distance(VLOOKUP($A103,Cuision!$G:$P,9,FALSE),VLOOKUP($A103,Cuision!$G:$P,10,FALSE),VLOOKUP(AW$83,Cuision!$G:$P,9,FALSE),VLOOKUP(AW$83,Cuision!$G:$P,10,FALSE)))</f>
        <v>-1</v>
      </c>
      <c r="AX103" s="33">
        <f>IF($A103=AX$83, 0, distance(VLOOKUP($A103,Cuision!$G:$P,9,FALSE),VLOOKUP($A103,Cuision!$G:$P,10,FALSE),VLOOKUP(AX$83,Cuision!$G:$P,9,FALSE),VLOOKUP(AX$83,Cuision!$G:$P,10,FALSE)))</f>
        <v>-1</v>
      </c>
      <c r="AY103" s="33">
        <f>IF($A103=AY$83, 0, distance(VLOOKUP($A103,Cuision!$G:$P,9,FALSE),VLOOKUP($A103,Cuision!$G:$P,10,FALSE),VLOOKUP(AY$83,Cuision!$G:$P,9,FALSE),VLOOKUP(AY$83,Cuision!$G:$P,10,FALSE)))</f>
        <v>-1</v>
      </c>
      <c r="AZ103" s="33">
        <f>IF($A103=AZ$83, 0, distance(VLOOKUP($A103,Cuision!$G:$P,9,FALSE),VLOOKUP($A103,Cuision!$G:$P,10,FALSE),VLOOKUP(AZ$83,Cuision!$G:$P,9,FALSE),VLOOKUP(AZ$83,Cuision!$G:$P,10,FALSE)))</f>
        <v>-1</v>
      </c>
      <c r="BA103" s="33">
        <f>IF($A103=BA$83, 0, distance(VLOOKUP($A103,Cuision!$G:$P,9,FALSE),VLOOKUP($A103,Cuision!$G:$P,10,FALSE),VLOOKUP(BA$83,Cuision!$G:$P,9,FALSE),VLOOKUP(BA$83,Cuision!$G:$P,10,FALSE)))</f>
        <v>-1</v>
      </c>
      <c r="BB103" s="33">
        <f>IF($A103=BB$83, 0, distance(VLOOKUP($A103,Cuision!$G:$P,9,FALSE),VLOOKUP($A103,Cuision!$G:$P,10,FALSE),VLOOKUP(BB$83,Cuision!$G:$P,9,FALSE),VLOOKUP(BB$83,Cuision!$G:$P,10,FALSE)))</f>
        <v>-1</v>
      </c>
      <c r="BC103" s="33">
        <f>IF($A103=BC$83, 0, distance(VLOOKUP($A103,Cuision!$G:$P,9,FALSE),VLOOKUP($A103,Cuision!$G:$P,10,FALSE),VLOOKUP(BC$83,Cuision!$G:$P,9,FALSE),VLOOKUP(BC$83,Cuision!$G:$P,10,FALSE)))</f>
        <v>-1</v>
      </c>
      <c r="BD103" s="33">
        <f>IF($A103=BD$83, 0, distance(VLOOKUP($A103,Cuision!$G:$P,9,FALSE),VLOOKUP($A103,Cuision!$G:$P,10,FALSE),VLOOKUP(BD$83,Cuision!$G:$P,9,FALSE),VLOOKUP(BD$83,Cuision!$G:$P,10,FALSE)))</f>
        <v>-1</v>
      </c>
      <c r="BE103" s="33">
        <f>IF($A103=BE$83, 0, distance(VLOOKUP($A103,Cuision!$G:$P,9,FALSE),VLOOKUP($A103,Cuision!$G:$P,10,FALSE),VLOOKUP(BE$83,Cuision!$G:$P,9,FALSE),VLOOKUP(BE$83,Cuision!$G:$P,10,FALSE)))</f>
        <v>-1</v>
      </c>
      <c r="BF103" s="33">
        <f>IF($A103=BF$83, 0, distance(VLOOKUP($A103,Cuision!$G:$P,9,FALSE),VLOOKUP($A103,Cuision!$G:$P,10,FALSE),VLOOKUP(BF$83,Cuision!$G:$P,9,FALSE),VLOOKUP(BF$83,Cuision!$G:$P,10,FALSE)))</f>
        <v>-1</v>
      </c>
      <c r="BG103" s="33">
        <f>IF($A103=BG$83, 0, distance(VLOOKUP($A103,Cuision!$G:$P,9,FALSE),VLOOKUP($A103,Cuision!$G:$P,10,FALSE),VLOOKUP(BG$83,Cuision!$G:$P,9,FALSE),VLOOKUP(BG$83,Cuision!$G:$P,10,FALSE)))</f>
        <v>-1</v>
      </c>
      <c r="BH103" s="33">
        <f>IF($A103=BH$83, 0, distance(VLOOKUP($A103,Cuision!$G:$P,9,FALSE),VLOOKUP($A103,Cuision!$G:$P,10,FALSE),VLOOKUP(BH$83,Cuision!$G:$P,9,FALSE),VLOOKUP(BH$83,Cuision!$G:$P,10,FALSE)))</f>
        <v>-1</v>
      </c>
      <c r="BI103" s="33">
        <f>IF($A103=BI$83, 0, distance(VLOOKUP($A103,Cuision!$G:$P,9,FALSE),VLOOKUP($A103,Cuision!$G:$P,10,FALSE),VLOOKUP(BI$83,Cuision!$G:$P,9,FALSE),VLOOKUP(BI$83,Cuision!$G:$P,10,FALSE)))</f>
        <v>-1</v>
      </c>
      <c r="BJ103" s="33">
        <f>IF($A103=BJ$83, 0, distance(VLOOKUP($A103,Cuision!$G:$P,9,FALSE),VLOOKUP($A103,Cuision!$G:$P,10,FALSE),VLOOKUP(BJ$83,Cuision!$G:$P,9,FALSE),VLOOKUP(BJ$83,Cuision!$G:$P,10,FALSE)))</f>
        <v>-1</v>
      </c>
      <c r="BK103" s="33">
        <f>IF($A103=BK$83, 0, distance(VLOOKUP($A103,Cuision!$G:$P,9,FALSE),VLOOKUP($A103,Cuision!$G:$P,10,FALSE),VLOOKUP(BK$83,Cuision!$G:$P,9,FALSE),VLOOKUP(BK$83,Cuision!$G:$P,10,FALSE)))</f>
        <v>-1</v>
      </c>
      <c r="BL103" s="33">
        <f>IF($A103=BL$83, 0, distance(VLOOKUP($A103,Cuision!$G:$P,9,FALSE),VLOOKUP($A103,Cuision!$G:$P,10,FALSE),VLOOKUP(BL$83,Cuision!$G:$P,9,FALSE),VLOOKUP(BL$83,Cuision!$G:$P,10,FALSE)))</f>
        <v>-1</v>
      </c>
      <c r="BM103" s="33">
        <f>IF($A103=BM$83, 0, distance(VLOOKUP($A103,Cuision!$G:$P,9,FALSE),VLOOKUP($A103,Cuision!$G:$P,10,FALSE),VLOOKUP(BM$83,Cuision!$G:$P,9,FALSE),VLOOKUP(BM$83,Cuision!$G:$P,10,FALSE)))</f>
        <v>-1</v>
      </c>
      <c r="BN103" s="33">
        <f>IF($A103=BN$83, 0, distance(VLOOKUP($A103,Cuision!$G:$P,9,FALSE),VLOOKUP($A103,Cuision!$G:$P,10,FALSE),VLOOKUP(BN$83,Cuision!$G:$P,9,FALSE),VLOOKUP(BN$83,Cuision!$G:$P,10,FALSE)))</f>
        <v>-1</v>
      </c>
      <c r="BO103" s="33">
        <f>IF($A103=BO$83, 0, distance(VLOOKUP($A103,Cuision!$G:$P,9,FALSE),VLOOKUP($A103,Cuision!$G:$P,10,FALSE),VLOOKUP(BO$83,Cuision!$G:$P,9,FALSE),VLOOKUP(BO$83,Cuision!$G:$P,10,FALSE)))</f>
        <v>-1</v>
      </c>
      <c r="BP103" s="33">
        <f>IF($A103=BP$83, 0, distance(VLOOKUP($A103,Cuision!$G:$P,9,FALSE),VLOOKUP($A103,Cuision!$G:$P,10,FALSE),VLOOKUP(BP$83,Cuision!$G:$P,9,FALSE),VLOOKUP(BP$83,Cuision!$G:$P,10,FALSE)))</f>
        <v>-1</v>
      </c>
      <c r="BQ103" s="33">
        <f>IF($A103=BQ$83, 0, distance(VLOOKUP($A103,Cuision!$G:$P,9,FALSE),VLOOKUP($A103,Cuision!$G:$P,10,FALSE),VLOOKUP(BQ$83,Cuision!$G:$P,9,FALSE),VLOOKUP(BQ$83,Cuision!$G:$P,10,FALSE)))</f>
        <v>-1</v>
      </c>
      <c r="BR103" s="33">
        <f>IF($A103=BR$83, 0, distance(VLOOKUP($A103,Cuision!$G:$P,9,FALSE),VLOOKUP($A103,Cuision!$G:$P,10,FALSE),VLOOKUP(BR$83,Cuision!$G:$P,9,FALSE),VLOOKUP(BR$83,Cuision!$G:$P,10,FALSE)))</f>
        <v>-1</v>
      </c>
      <c r="BS103" s="33">
        <f>IF($A103=BS$83, 0, distance(VLOOKUP($A103,Cuision!$G:$P,9,FALSE),VLOOKUP($A103,Cuision!$G:$P,10,FALSE),VLOOKUP(BS$83,Cuision!$G:$P,9,FALSE),VLOOKUP(BS$83,Cuision!$G:$P,10,FALSE)))</f>
        <v>-1</v>
      </c>
      <c r="BT103" s="33">
        <f>IF($A103=BT$83, 0, distance(VLOOKUP($A103,Cuision!$G:$P,9,FALSE),VLOOKUP($A103,Cuision!$G:$P,10,FALSE),VLOOKUP(BT$83,Cuision!$G:$P,9,FALSE),VLOOKUP(BT$83,Cuision!$G:$P,10,FALSE)))</f>
        <v>-1</v>
      </c>
      <c r="BU103" s="33">
        <f>IF($A103=BU$83, 0, distance(VLOOKUP($A103,Cuision!$G:$P,9,FALSE),VLOOKUP($A103,Cuision!$G:$P,10,FALSE),VLOOKUP(BU$83,Cuision!$G:$P,9,FALSE),VLOOKUP(BU$83,Cuision!$G:$P,10,FALSE)))</f>
        <v>-1</v>
      </c>
      <c r="BV103" s="33">
        <f>IF($A103=BV$83, 0, distance(VLOOKUP($A103,Cuision!$G:$P,9,FALSE),VLOOKUP($A103,Cuision!$G:$P,10,FALSE),VLOOKUP(BV$83,Cuision!$G:$P,9,FALSE),VLOOKUP(BV$83,Cuision!$G:$P,10,FALSE)))</f>
        <v>-1</v>
      </c>
      <c r="BW103" s="33">
        <f>IF($A103=BW$83, 0, distance(VLOOKUP($A103,Cuision!$G:$P,9,FALSE),VLOOKUP($A103,Cuision!$G:$P,10,FALSE),VLOOKUP(BW$83,Cuision!$G:$P,9,FALSE),VLOOKUP(BW$83,Cuision!$G:$P,10,FALSE)))</f>
        <v>-1</v>
      </c>
      <c r="BX103" s="33">
        <f>IF($A103=BX$83, 0, distance(VLOOKUP($A103,Cuision!$G:$P,9,FALSE),VLOOKUP($A103,Cuision!$G:$P,10,FALSE),VLOOKUP(BX$83,Cuision!$G:$P,9,FALSE),VLOOKUP(BX$83,Cuision!$G:$P,10,FALSE)))</f>
        <v>-1</v>
      </c>
      <c r="BY103" s="33">
        <f>IF($A103=BY$83, 0, distance(VLOOKUP($A103,Cuision!$G:$P,9,FALSE),VLOOKUP($A103,Cuision!$G:$P,10,FALSE),VLOOKUP(BY$83,Cuision!$G:$P,9,FALSE),VLOOKUP(BY$83,Cuision!$G:$P,10,FALSE)))</f>
        <v>-1</v>
      </c>
      <c r="BZ103" s="33">
        <f>IF($A103=BZ$83, 0, distance(VLOOKUP($A103,Cuision!$G:$P,9,FALSE),VLOOKUP($A103,Cuision!$G:$P,10,FALSE),VLOOKUP(BZ$83,Cuision!$G:$P,9,FALSE),VLOOKUP(BZ$83,Cuision!$G:$P,10,FALSE)))</f>
        <v>-1</v>
      </c>
      <c r="CA103" s="33">
        <f>IF($A103=CA$83, 0, distance(VLOOKUP($A103,Cuision!$G:$P,9,FALSE),VLOOKUP($A103,Cuision!$G:$P,10,FALSE),VLOOKUP(CA$83,Cuision!$G:$P,9,FALSE),VLOOKUP(CA$83,Cuision!$G:$P,10,FALSE)))</f>
        <v>-1</v>
      </c>
    </row>
    <row r="104" spans="1:79" ht="14.25" x14ac:dyDescent="0.2">
      <c r="A104" s="30" t="s">
        <v>61</v>
      </c>
      <c r="B104" s="33">
        <f>IF($A104=B$83, 0, distance(VLOOKUP($A104,Cuision!$G:$P,9,FALSE),VLOOKUP($A104,Cuision!$G:$P,10,FALSE),VLOOKUP(B$83,Cuision!$G:$P,9,FALSE),VLOOKUP(B$83,Cuision!$G:$P,10,FALSE)))</f>
        <v>6922.0195865768437</v>
      </c>
      <c r="C104" s="33">
        <f>IF($A104=C$83, 0, distance(VLOOKUP($A104,Cuision!$G:$P,9,FALSE),VLOOKUP($A104,Cuision!$G:$P,10,FALSE),VLOOKUP(C$83,Cuision!$G:$P,9,FALSE),VLOOKUP(C$83,Cuision!$G:$P,10,FALSE)))</f>
        <v>7754.1850184220366</v>
      </c>
      <c r="D104" s="33">
        <f>IF($A104=D$83, 0, distance(VLOOKUP($A104,Cuision!$G:$P,9,FALSE),VLOOKUP($A104,Cuision!$G:$P,10,FALSE),VLOOKUP(D$83,Cuision!$G:$P,9,FALSE),VLOOKUP(D$83,Cuision!$G:$P,10,FALSE)))</f>
        <v>0</v>
      </c>
      <c r="E104" s="33">
        <f>IF($A104=E$83, 0, distance(VLOOKUP($A104,Cuision!$G:$P,9,FALSE),VLOOKUP($A104,Cuision!$G:$P,10,FALSE),VLOOKUP(E$83,Cuision!$G:$P,9,FALSE),VLOOKUP(E$83,Cuision!$G:$P,10,FALSE)))</f>
        <v>0</v>
      </c>
      <c r="F104" s="33">
        <f>IF($A104=F$83, 0, distance(VLOOKUP($A104,Cuision!$G:$P,9,FALSE),VLOOKUP($A104,Cuision!$G:$P,10,FALSE),VLOOKUP(F$83,Cuision!$G:$P,9,FALSE),VLOOKUP(F$83,Cuision!$G:$P,10,FALSE)))</f>
        <v>6328.3267379660138</v>
      </c>
      <c r="G104" s="33">
        <f>IF($A104=G$83, 0, distance(VLOOKUP($A104,Cuision!$G:$P,9,FALSE),VLOOKUP($A104,Cuision!$G:$P,10,FALSE),VLOOKUP(G$83,Cuision!$G:$P,9,FALSE),VLOOKUP(G$83,Cuision!$G:$P,10,FALSE)))</f>
        <v>5217.1202018930744</v>
      </c>
      <c r="H104" s="33">
        <f>IF($A104=H$83, 0, distance(VLOOKUP($A104,Cuision!$G:$P,9,FALSE),VLOOKUP($A104,Cuision!$G:$P,10,FALSE),VLOOKUP(H$83,Cuision!$G:$P,9,FALSE),VLOOKUP(H$83,Cuision!$G:$P,10,FALSE)))</f>
        <v>5845.2890180192007</v>
      </c>
      <c r="I104" s="33">
        <f>IF($A104=I$83, 0, distance(VLOOKUP($A104,Cuision!$G:$P,9,FALSE),VLOOKUP($A104,Cuision!$G:$P,10,FALSE),VLOOKUP(I$83,Cuision!$G:$P,9,FALSE),VLOOKUP(I$83,Cuision!$G:$P,10,FALSE)))</f>
        <v>7394.0053664196539</v>
      </c>
      <c r="J104" s="33">
        <f>IF($A104=J$83, 0, distance(VLOOKUP($A104,Cuision!$G:$P,9,FALSE),VLOOKUP($A104,Cuision!$G:$P,10,FALSE),VLOOKUP(J$83,Cuision!$G:$P,9,FALSE),VLOOKUP(J$83,Cuision!$G:$P,10,FALSE)))</f>
        <v>9906.4615041233737</v>
      </c>
      <c r="K104" s="33">
        <f>IF($A104=K$83, 0, distance(VLOOKUP($A104,Cuision!$G:$P,9,FALSE),VLOOKUP($A104,Cuision!$G:$P,10,FALSE),VLOOKUP(K$83,Cuision!$G:$P,9,FALSE),VLOOKUP(K$83,Cuision!$G:$P,10,FALSE)))</f>
        <v>4426.2279267410295</v>
      </c>
      <c r="L104" s="33">
        <f>IF($A104=L$83, 0, distance(VLOOKUP($A104,Cuision!$G:$P,9,FALSE),VLOOKUP($A104,Cuision!$G:$P,10,FALSE),VLOOKUP(L$83,Cuision!$G:$P,9,FALSE),VLOOKUP(L$83,Cuision!$G:$P,10,FALSE)))</f>
        <v>8034.9392383876966</v>
      </c>
      <c r="M104" s="33">
        <f>IF($A104=M$83, 0, distance(VLOOKUP($A104,Cuision!$G:$P,9,FALSE),VLOOKUP($A104,Cuision!$G:$P,10,FALSE),VLOOKUP(M$83,Cuision!$G:$P,9,FALSE),VLOOKUP(M$83,Cuision!$G:$P,10,FALSE)))</f>
        <v>-1</v>
      </c>
      <c r="N104" s="33">
        <f>IF($A104=N$83, 0, distance(VLOOKUP($A104,Cuision!$G:$P,9,FALSE),VLOOKUP($A104,Cuision!$G:$P,10,FALSE),VLOOKUP(N$83,Cuision!$G:$P,9,FALSE),VLOOKUP(N$83,Cuision!$G:$P,10,FALSE)))</f>
        <v>3783.2693926891457</v>
      </c>
      <c r="O104" s="33">
        <f>IF($A104=O$83, 0, distance(VLOOKUP($A104,Cuision!$G:$P,9,FALSE),VLOOKUP($A104,Cuision!$G:$P,10,FALSE),VLOOKUP(O$83,Cuision!$G:$P,9,FALSE),VLOOKUP(O$83,Cuision!$G:$P,10,FALSE)))</f>
        <v>3862.5991612505318</v>
      </c>
      <c r="P104" s="33">
        <f>IF($A104=P$83, 0, distance(VLOOKUP($A104,Cuision!$G:$P,9,FALSE),VLOOKUP($A104,Cuision!$G:$P,10,FALSE),VLOOKUP(P$83,Cuision!$G:$P,9,FALSE),VLOOKUP(P$83,Cuision!$G:$P,10,FALSE)))</f>
        <v>4220.2104754152506</v>
      </c>
      <c r="Q104" s="33">
        <f>IF($A104=Q$83, 0, distance(VLOOKUP($A104,Cuision!$G:$P,9,FALSE),VLOOKUP($A104,Cuision!$G:$P,10,FALSE),VLOOKUP(Q$83,Cuision!$G:$P,9,FALSE),VLOOKUP(Q$83,Cuision!$G:$P,10,FALSE)))</f>
        <v>-1</v>
      </c>
      <c r="R104" s="33">
        <f>IF($A104=R$83, 0, distance(VLOOKUP($A104,Cuision!$G:$P,9,FALSE),VLOOKUP($A104,Cuision!$G:$P,10,FALSE),VLOOKUP(R$83,Cuision!$G:$P,9,FALSE),VLOOKUP(R$83,Cuision!$G:$P,10,FALSE)))</f>
        <v>3664.7380839482948</v>
      </c>
      <c r="S104" s="33">
        <f>IF($A104=S$83, 0, distance(VLOOKUP($A104,Cuision!$G:$P,9,FALSE),VLOOKUP($A104,Cuision!$G:$P,10,FALSE),VLOOKUP(S$83,Cuision!$G:$P,9,FALSE),VLOOKUP(S$83,Cuision!$G:$P,10,FALSE)))</f>
        <v>-1</v>
      </c>
      <c r="T104" s="33">
        <f>IF($A104=T$83, 0, distance(VLOOKUP($A104,Cuision!$G:$P,9,FALSE),VLOOKUP($A104,Cuision!$G:$P,10,FALSE),VLOOKUP(T$83,Cuision!$G:$P,9,FALSE),VLOOKUP(T$83,Cuision!$G:$P,10,FALSE)))</f>
        <v>8360.0215036814861</v>
      </c>
      <c r="U104" s="33">
        <f>IF($A104=U$83, 0, distance(VLOOKUP($A104,Cuision!$G:$P,9,FALSE),VLOOKUP($A104,Cuision!$G:$P,10,FALSE),VLOOKUP(U$83,Cuision!$G:$P,9,FALSE),VLOOKUP(U$83,Cuision!$G:$P,10,FALSE)))</f>
        <v>-1</v>
      </c>
      <c r="V104" s="33">
        <f>IF($A104=V$83, 0, distance(VLOOKUP($A104,Cuision!$G:$P,9,FALSE),VLOOKUP($A104,Cuision!$G:$P,10,FALSE),VLOOKUP(V$83,Cuision!$G:$P,9,FALSE),VLOOKUP(V$83,Cuision!$G:$P,10,FALSE)))</f>
        <v>0</v>
      </c>
      <c r="W104" s="33">
        <f>IF($A104=W$83, 0, distance(VLOOKUP($A104,Cuision!$G:$P,9,FALSE),VLOOKUP($A104,Cuision!$G:$P,10,FALSE),VLOOKUP(W$83,Cuision!$G:$P,9,FALSE),VLOOKUP(W$83,Cuision!$G:$P,10,FALSE)))</f>
        <v>8947.6293774193964</v>
      </c>
      <c r="X104" s="33">
        <f>IF($A104=X$83, 0, distance(VLOOKUP($A104,Cuision!$G:$P,9,FALSE),VLOOKUP($A104,Cuision!$G:$P,10,FALSE),VLOOKUP(X$83,Cuision!$G:$P,9,FALSE),VLOOKUP(X$83,Cuision!$G:$P,10,FALSE)))</f>
        <v>3783.2693926891457</v>
      </c>
      <c r="Y104" s="33">
        <f>IF($A104=Y$83, 0, distance(VLOOKUP($A104,Cuision!$G:$P,9,FALSE),VLOOKUP($A104,Cuision!$G:$P,10,FALSE),VLOOKUP(Y$83,Cuision!$G:$P,9,FALSE),VLOOKUP(Y$83,Cuision!$G:$P,10,FALSE)))</f>
        <v>6925.3526153099201</v>
      </c>
      <c r="Z104" s="33">
        <f>IF($A104=Z$83, 0, distance(VLOOKUP($A104,Cuision!$G:$P,9,FALSE),VLOOKUP($A104,Cuision!$G:$P,10,FALSE),VLOOKUP(Z$83,Cuision!$G:$P,9,FALSE),VLOOKUP(Z$83,Cuision!$G:$P,10,FALSE)))</f>
        <v>-1</v>
      </c>
      <c r="AA104" s="33">
        <f>IF($A104=AA$83, 0, distance(VLOOKUP($A104,Cuision!$G:$P,9,FALSE),VLOOKUP($A104,Cuision!$G:$P,10,FALSE),VLOOKUP(AA$83,Cuision!$G:$P,9,FALSE),VLOOKUP(AA$83,Cuision!$G:$P,10,FALSE)))</f>
        <v>1133.9119070339707</v>
      </c>
      <c r="AB104" s="33">
        <f>IF($A104=AB$83, 0, distance(VLOOKUP($A104,Cuision!$G:$P,9,FALSE),VLOOKUP($A104,Cuision!$G:$P,10,FALSE),VLOOKUP(AB$83,Cuision!$G:$P,9,FALSE),VLOOKUP(AB$83,Cuision!$G:$P,10,FALSE)))</f>
        <v>4285.8768769408171</v>
      </c>
      <c r="AC104" s="33">
        <f>IF($A104=AC$83, 0, distance(VLOOKUP($A104,Cuision!$G:$P,9,FALSE),VLOOKUP($A104,Cuision!$G:$P,10,FALSE),VLOOKUP(AC$83,Cuision!$G:$P,9,FALSE),VLOOKUP(AC$83,Cuision!$G:$P,10,FALSE)))</f>
        <v>7161.0334431549763</v>
      </c>
      <c r="AD104" s="33">
        <f>IF($A104=AD$83, 0, distance(VLOOKUP($A104,Cuision!$G:$P,9,FALSE),VLOOKUP($A104,Cuision!$G:$P,10,FALSE),VLOOKUP(AD$83,Cuision!$G:$P,9,FALSE),VLOOKUP(AD$83,Cuision!$G:$P,10,FALSE)))</f>
        <v>8560.9016737059901</v>
      </c>
      <c r="AE104" s="33">
        <f>IF($A104=AE$83, 0, distance(VLOOKUP($A104,Cuision!$G:$P,9,FALSE),VLOOKUP($A104,Cuision!$G:$P,10,FALSE),VLOOKUP(AE$83,Cuision!$G:$P,9,FALSE),VLOOKUP(AE$83,Cuision!$G:$P,10,FALSE)))</f>
        <v>3866.1313323118429</v>
      </c>
      <c r="AF104" s="33">
        <f>IF($A104=AF$83, 0, distance(VLOOKUP($A104,Cuision!$G:$P,9,FALSE),VLOOKUP($A104,Cuision!$G:$P,10,FALSE),VLOOKUP(AF$83,Cuision!$G:$P,9,FALSE),VLOOKUP(AF$83,Cuision!$G:$P,10,FALSE)))</f>
        <v>3830.9664587251614</v>
      </c>
      <c r="AG104" s="33">
        <f>IF($A104=AG$83, 0, distance(VLOOKUP($A104,Cuision!$G:$P,9,FALSE),VLOOKUP($A104,Cuision!$G:$P,10,FALSE),VLOOKUP(AG$83,Cuision!$G:$P,9,FALSE),VLOOKUP(AG$83,Cuision!$G:$P,10,FALSE)))</f>
        <v>4169.9898960172895</v>
      </c>
      <c r="AH104" s="33">
        <f>IF($A104=AH$83, 0, distance(VLOOKUP($A104,Cuision!$G:$P,9,FALSE),VLOOKUP($A104,Cuision!$G:$P,10,FALSE),VLOOKUP(AH$83,Cuision!$G:$P,9,FALSE),VLOOKUP(AH$83,Cuision!$G:$P,10,FALSE)))</f>
        <v>-1</v>
      </c>
      <c r="AI104" s="33">
        <f>IF($A104=AI$83, 0, distance(VLOOKUP($A104,Cuision!$G:$P,9,FALSE),VLOOKUP($A104,Cuision!$G:$P,10,FALSE),VLOOKUP(AI$83,Cuision!$G:$P,9,FALSE),VLOOKUP(AI$83,Cuision!$G:$P,10,FALSE)))</f>
        <v>5127.9802846669618</v>
      </c>
      <c r="AJ104" s="33">
        <f>IF($A104=AJ$83, 0, distance(VLOOKUP($A104,Cuision!$G:$P,9,FALSE),VLOOKUP($A104,Cuision!$G:$P,10,FALSE),VLOOKUP(AJ$83,Cuision!$G:$P,9,FALSE),VLOOKUP(AJ$83,Cuision!$G:$P,10,FALSE)))</f>
        <v>6328.3267379660138</v>
      </c>
      <c r="AK104" s="33">
        <f>IF($A104=AK$83, 0, distance(VLOOKUP($A104,Cuision!$G:$P,9,FALSE),VLOOKUP($A104,Cuision!$G:$P,10,FALSE),VLOOKUP(AK$83,Cuision!$G:$P,9,FALSE),VLOOKUP(AK$83,Cuision!$G:$P,10,FALSE)))</f>
        <v>4764.224348016216</v>
      </c>
      <c r="AL104" s="33">
        <f>IF($A104=AL$83, 0, distance(VLOOKUP($A104,Cuision!$G:$P,9,FALSE),VLOOKUP($A104,Cuision!$G:$P,10,FALSE),VLOOKUP(AL$83,Cuision!$G:$P,9,FALSE),VLOOKUP(AL$83,Cuision!$G:$P,10,FALSE)))</f>
        <v>7696.0794592044522</v>
      </c>
      <c r="AM104" s="33">
        <f>IF($A104=AM$83, 0, distance(VLOOKUP($A104,Cuision!$G:$P,9,FALSE),VLOOKUP($A104,Cuision!$G:$P,10,FALSE),VLOOKUP(AM$83,Cuision!$G:$P,9,FALSE),VLOOKUP(AM$83,Cuision!$G:$P,10,FALSE)))</f>
        <v>-1</v>
      </c>
      <c r="AN104" s="33">
        <f>IF($A104=AN$83, 0, distance(VLOOKUP($A104,Cuision!$G:$P,9,FALSE),VLOOKUP($A104,Cuision!$G:$P,10,FALSE),VLOOKUP(AN$83,Cuision!$G:$P,9,FALSE),VLOOKUP(AN$83,Cuision!$G:$P,10,FALSE)))</f>
        <v>4557.5219504867046</v>
      </c>
      <c r="AO104" s="33">
        <f>IF($A104=AO$83, 0, distance(VLOOKUP($A104,Cuision!$G:$P,9,FALSE),VLOOKUP($A104,Cuision!$G:$P,10,FALSE),VLOOKUP(AO$83,Cuision!$G:$P,9,FALSE),VLOOKUP(AO$83,Cuision!$G:$P,10,FALSE)))</f>
        <v>3783.2693926891457</v>
      </c>
      <c r="AP104" s="33">
        <f>IF($A104=AP$83, 0, distance(VLOOKUP($A104,Cuision!$G:$P,9,FALSE),VLOOKUP($A104,Cuision!$G:$P,10,FALSE),VLOOKUP(AP$83,Cuision!$G:$P,9,FALSE),VLOOKUP(AP$83,Cuision!$G:$P,10,FALSE)))</f>
        <v>7483.5819315311392</v>
      </c>
      <c r="AQ104" s="33">
        <f>IF($A104=AQ$83, 0, distance(VLOOKUP($A104,Cuision!$G:$P,9,FALSE),VLOOKUP($A104,Cuision!$G:$P,10,FALSE),VLOOKUP(AQ$83,Cuision!$G:$P,9,FALSE),VLOOKUP(AQ$83,Cuision!$G:$P,10,FALSE)))</f>
        <v>10164.61701869959</v>
      </c>
      <c r="AR104" s="33">
        <f>IF($A104=AR$83, 0, distance(VLOOKUP($A104,Cuision!$G:$P,9,FALSE),VLOOKUP($A104,Cuision!$G:$P,10,FALSE),VLOOKUP(AR$83,Cuision!$G:$P,9,FALSE),VLOOKUP(AR$83,Cuision!$G:$P,10,FALSE)))</f>
        <v>3664.7380839482948</v>
      </c>
      <c r="AS104" s="33">
        <f>IF($A104=AS$83, 0, distance(VLOOKUP($A104,Cuision!$G:$P,9,FALSE),VLOOKUP($A104,Cuision!$G:$P,10,FALSE),VLOOKUP(AS$83,Cuision!$G:$P,9,FALSE),VLOOKUP(AS$83,Cuision!$G:$P,10,FALSE)))</f>
        <v>4484.1742999085373</v>
      </c>
      <c r="AT104" s="33">
        <f>IF($A104=AT$83, 0, distance(VLOOKUP($A104,Cuision!$G:$P,9,FALSE),VLOOKUP($A104,Cuision!$G:$P,10,FALSE),VLOOKUP(AT$83,Cuision!$G:$P,9,FALSE),VLOOKUP(AT$83,Cuision!$G:$P,10,FALSE)))</f>
        <v>6775.0585510427936</v>
      </c>
      <c r="AU104" s="33">
        <f>IF($A104=AU$83, 0, distance(VLOOKUP($A104,Cuision!$G:$P,9,FALSE),VLOOKUP($A104,Cuision!$G:$P,10,FALSE),VLOOKUP(AU$83,Cuision!$G:$P,9,FALSE),VLOOKUP(AU$83,Cuision!$G:$P,10,FALSE)))</f>
        <v>6936.711935738972</v>
      </c>
      <c r="AV104" s="33">
        <f>IF($A104=AV$83, 0, distance(VLOOKUP($A104,Cuision!$G:$P,9,FALSE),VLOOKUP($A104,Cuision!$G:$P,10,FALSE),VLOOKUP(AV$83,Cuision!$G:$P,9,FALSE),VLOOKUP(AV$83,Cuision!$G:$P,10,FALSE)))</f>
        <v>5592.9141309463548</v>
      </c>
      <c r="AW104" s="33">
        <f>IF($A104=AW$83, 0, distance(VLOOKUP($A104,Cuision!$G:$P,9,FALSE),VLOOKUP($A104,Cuision!$G:$P,10,FALSE),VLOOKUP(AW$83,Cuision!$G:$P,9,FALSE),VLOOKUP(AW$83,Cuision!$G:$P,10,FALSE)))</f>
        <v>8506.9826268567722</v>
      </c>
      <c r="AX104" s="33">
        <f>IF($A104=AX$83, 0, distance(VLOOKUP($A104,Cuision!$G:$P,9,FALSE),VLOOKUP($A104,Cuision!$G:$P,10,FALSE),VLOOKUP(AX$83,Cuision!$G:$P,9,FALSE),VLOOKUP(AX$83,Cuision!$G:$P,10,FALSE)))</f>
        <v>3158.1971248225836</v>
      </c>
      <c r="AY104" s="33">
        <f>IF($A104=AY$83, 0, distance(VLOOKUP($A104,Cuision!$G:$P,9,FALSE),VLOOKUP($A104,Cuision!$G:$P,10,FALSE),VLOOKUP(AY$83,Cuision!$G:$P,9,FALSE),VLOOKUP(AY$83,Cuision!$G:$P,10,FALSE)))</f>
        <v>-1</v>
      </c>
      <c r="AZ104" s="33">
        <f>IF($A104=AZ$83, 0, distance(VLOOKUP($A104,Cuision!$G:$P,9,FALSE),VLOOKUP($A104,Cuision!$G:$P,10,FALSE),VLOOKUP(AZ$83,Cuision!$G:$P,9,FALSE),VLOOKUP(AZ$83,Cuision!$G:$P,10,FALSE)))</f>
        <v>9530.5281664634804</v>
      </c>
      <c r="BA104" s="33">
        <f>IF($A104=BA$83, 0, distance(VLOOKUP($A104,Cuision!$G:$P,9,FALSE),VLOOKUP($A104,Cuision!$G:$P,10,FALSE),VLOOKUP(BA$83,Cuision!$G:$P,9,FALSE),VLOOKUP(BA$83,Cuision!$G:$P,10,FALSE)))</f>
        <v>5014.7853128433189</v>
      </c>
      <c r="BB104" s="33">
        <f>IF($A104=BB$83, 0, distance(VLOOKUP($A104,Cuision!$G:$P,9,FALSE),VLOOKUP($A104,Cuision!$G:$P,10,FALSE),VLOOKUP(BB$83,Cuision!$G:$P,9,FALSE),VLOOKUP(BB$83,Cuision!$G:$P,10,FALSE)))</f>
        <v>1883.3508701719099</v>
      </c>
      <c r="BC104" s="33">
        <f>IF($A104=BC$83, 0, distance(VLOOKUP($A104,Cuision!$G:$P,9,FALSE),VLOOKUP($A104,Cuision!$G:$P,10,FALSE),VLOOKUP(BC$83,Cuision!$G:$P,9,FALSE),VLOOKUP(BC$83,Cuision!$G:$P,10,FALSE)))</f>
        <v>6328.3267379660138</v>
      </c>
      <c r="BD104" s="33">
        <f>IF($A104=BD$83, 0, distance(VLOOKUP($A104,Cuision!$G:$P,9,FALSE),VLOOKUP($A104,Cuision!$G:$P,10,FALSE),VLOOKUP(BD$83,Cuision!$G:$P,9,FALSE),VLOOKUP(BD$83,Cuision!$G:$P,10,FALSE)))</f>
        <v>6433.658644858926</v>
      </c>
      <c r="BE104" s="33">
        <f>IF($A104=BE$83, 0, distance(VLOOKUP($A104,Cuision!$G:$P,9,FALSE),VLOOKUP($A104,Cuision!$G:$P,10,FALSE),VLOOKUP(BE$83,Cuision!$G:$P,9,FALSE),VLOOKUP(BE$83,Cuision!$G:$P,10,FALSE)))</f>
        <v>3818.8305748681173</v>
      </c>
      <c r="BF104" s="33">
        <f>IF($A104=BF$83, 0, distance(VLOOKUP($A104,Cuision!$G:$P,9,FALSE),VLOOKUP($A104,Cuision!$G:$P,10,FALSE),VLOOKUP(BF$83,Cuision!$G:$P,9,FALSE),VLOOKUP(BF$83,Cuision!$G:$P,10,FALSE)))</f>
        <v>7065.4977601354203</v>
      </c>
      <c r="BG104" s="33">
        <f>IF($A104=BG$83, 0, distance(VLOOKUP($A104,Cuision!$G:$P,9,FALSE),VLOOKUP($A104,Cuision!$G:$P,10,FALSE),VLOOKUP(BG$83,Cuision!$G:$P,9,FALSE),VLOOKUP(BG$83,Cuision!$G:$P,10,FALSE)))</f>
        <v>6324.1185508828385</v>
      </c>
      <c r="BH104" s="33">
        <f>IF($A104=BH$83, 0, distance(VLOOKUP($A104,Cuision!$G:$P,9,FALSE),VLOOKUP($A104,Cuision!$G:$P,10,FALSE),VLOOKUP(BH$83,Cuision!$G:$P,9,FALSE),VLOOKUP(BH$83,Cuision!$G:$P,10,FALSE)))</f>
        <v>3519.4446590994971</v>
      </c>
      <c r="BI104" s="33">
        <f>IF($A104=BI$83, 0, distance(VLOOKUP($A104,Cuision!$G:$P,9,FALSE),VLOOKUP($A104,Cuision!$G:$P,10,FALSE),VLOOKUP(BI$83,Cuision!$G:$P,9,FALSE),VLOOKUP(BI$83,Cuision!$G:$P,10,FALSE)))</f>
        <v>4460.1322200226678</v>
      </c>
      <c r="BJ104" s="33">
        <f>IF($A104=BJ$83, 0, distance(VLOOKUP($A104,Cuision!$G:$P,9,FALSE),VLOOKUP($A104,Cuision!$G:$P,10,FALSE),VLOOKUP(BJ$83,Cuision!$G:$P,9,FALSE),VLOOKUP(BJ$83,Cuision!$G:$P,10,FALSE)))</f>
        <v>3565.0654515008168</v>
      </c>
      <c r="BK104" s="33">
        <f>IF($A104=BK$83, 0, distance(VLOOKUP($A104,Cuision!$G:$P,9,FALSE),VLOOKUP($A104,Cuision!$G:$P,10,FALSE),VLOOKUP(BK$83,Cuision!$G:$P,9,FALSE),VLOOKUP(BK$83,Cuision!$G:$P,10,FALSE)))</f>
        <v>4860.2850342260354</v>
      </c>
      <c r="BL104" s="33">
        <f>IF($A104=BL$83, 0, distance(VLOOKUP($A104,Cuision!$G:$P,9,FALSE),VLOOKUP($A104,Cuision!$G:$P,10,FALSE),VLOOKUP(BL$83,Cuision!$G:$P,9,FALSE),VLOOKUP(BL$83,Cuision!$G:$P,10,FALSE)))</f>
        <v>-1</v>
      </c>
      <c r="BM104" s="33">
        <f>IF($A104=BM$83, 0, distance(VLOOKUP($A104,Cuision!$G:$P,9,FALSE),VLOOKUP($A104,Cuision!$G:$P,10,FALSE),VLOOKUP(BM$83,Cuision!$G:$P,9,FALSE),VLOOKUP(BM$83,Cuision!$G:$P,10,FALSE)))</f>
        <v>-1</v>
      </c>
      <c r="BN104" s="33">
        <f>IF($A104=BN$83, 0, distance(VLOOKUP($A104,Cuision!$G:$P,9,FALSE),VLOOKUP($A104,Cuision!$G:$P,10,FALSE),VLOOKUP(BN$83,Cuision!$G:$P,9,FALSE),VLOOKUP(BN$83,Cuision!$G:$P,10,FALSE)))</f>
        <v>3664.7380839482948</v>
      </c>
      <c r="BO104" s="33">
        <f>IF($A104=BO$83, 0, distance(VLOOKUP($A104,Cuision!$G:$P,9,FALSE),VLOOKUP($A104,Cuision!$G:$P,10,FALSE),VLOOKUP(BO$83,Cuision!$G:$P,9,FALSE),VLOOKUP(BO$83,Cuision!$G:$P,10,FALSE)))</f>
        <v>9658.8971636921433</v>
      </c>
      <c r="BP104" s="33">
        <f>IF($A104=BP$83, 0, distance(VLOOKUP($A104,Cuision!$G:$P,9,FALSE),VLOOKUP($A104,Cuision!$G:$P,10,FALSE),VLOOKUP(BP$83,Cuision!$G:$P,9,FALSE),VLOOKUP(BP$83,Cuision!$G:$P,10,FALSE)))</f>
        <v>4457.7115648599465</v>
      </c>
      <c r="BQ104" s="33">
        <f>IF($A104=BQ$83, 0, distance(VLOOKUP($A104,Cuision!$G:$P,9,FALSE),VLOOKUP($A104,Cuision!$G:$P,10,FALSE),VLOOKUP(BQ$83,Cuision!$G:$P,9,FALSE),VLOOKUP(BQ$83,Cuision!$G:$P,10,FALSE)))</f>
        <v>-1</v>
      </c>
      <c r="BR104" s="33">
        <f>IF($A104=BR$83, 0, distance(VLOOKUP($A104,Cuision!$G:$P,9,FALSE),VLOOKUP($A104,Cuision!$G:$P,10,FALSE),VLOOKUP(BR$83,Cuision!$G:$P,9,FALSE),VLOOKUP(BR$83,Cuision!$G:$P,10,FALSE)))</f>
        <v>0</v>
      </c>
      <c r="BS104" s="33">
        <f>IF($A104=BS$83, 0, distance(VLOOKUP($A104,Cuision!$G:$P,9,FALSE),VLOOKUP($A104,Cuision!$G:$P,10,FALSE),VLOOKUP(BS$83,Cuision!$G:$P,9,FALSE),VLOOKUP(BS$83,Cuision!$G:$P,10,FALSE)))</f>
        <v>6925.3526153099201</v>
      </c>
      <c r="BT104" s="33">
        <f>IF($A104=BT$83, 0, distance(VLOOKUP($A104,Cuision!$G:$P,9,FALSE),VLOOKUP($A104,Cuision!$G:$P,10,FALSE),VLOOKUP(BT$83,Cuision!$G:$P,9,FALSE),VLOOKUP(BT$83,Cuision!$G:$P,10,FALSE)))</f>
        <v>3783.2693926891457</v>
      </c>
      <c r="BU104" s="33">
        <f>IF($A104=BU$83, 0, distance(VLOOKUP($A104,Cuision!$G:$P,9,FALSE),VLOOKUP($A104,Cuision!$G:$P,10,FALSE),VLOOKUP(BU$83,Cuision!$G:$P,9,FALSE),VLOOKUP(BU$83,Cuision!$G:$P,10,FALSE)))</f>
        <v>8795.1435587154083</v>
      </c>
      <c r="BV104" s="33">
        <f>IF($A104=BV$83, 0, distance(VLOOKUP($A104,Cuision!$G:$P,9,FALSE),VLOOKUP($A104,Cuision!$G:$P,10,FALSE),VLOOKUP(BV$83,Cuision!$G:$P,9,FALSE),VLOOKUP(BV$83,Cuision!$G:$P,10,FALSE)))</f>
        <v>5421.3689076575865</v>
      </c>
      <c r="BW104" s="33">
        <f>IF($A104=BW$83, 0, distance(VLOOKUP($A104,Cuision!$G:$P,9,FALSE),VLOOKUP($A104,Cuision!$G:$P,10,FALSE),VLOOKUP(BW$83,Cuision!$G:$P,9,FALSE),VLOOKUP(BW$83,Cuision!$G:$P,10,FALSE)))</f>
        <v>4867.1181653717495</v>
      </c>
      <c r="BX104" s="33">
        <f>IF($A104=BX$83, 0, distance(VLOOKUP($A104,Cuision!$G:$P,9,FALSE),VLOOKUP($A104,Cuision!$G:$P,10,FALSE),VLOOKUP(BX$83,Cuision!$G:$P,9,FALSE),VLOOKUP(BX$83,Cuision!$G:$P,10,FALSE)))</f>
        <v>6504.7911484691258</v>
      </c>
      <c r="BY104" s="33">
        <f>IF($A104=BY$83, 0, distance(VLOOKUP($A104,Cuision!$G:$P,9,FALSE),VLOOKUP($A104,Cuision!$G:$P,10,FALSE),VLOOKUP(BY$83,Cuision!$G:$P,9,FALSE),VLOOKUP(BY$83,Cuision!$G:$P,10,FALSE)))</f>
        <v>-1</v>
      </c>
      <c r="BZ104" s="33">
        <f>IF($A104=BZ$83, 0, distance(VLOOKUP($A104,Cuision!$G:$P,9,FALSE),VLOOKUP($A104,Cuision!$G:$P,10,FALSE),VLOOKUP(BZ$83,Cuision!$G:$P,9,FALSE),VLOOKUP(BZ$83,Cuision!$G:$P,10,FALSE)))</f>
        <v>-1</v>
      </c>
      <c r="CA104" s="33">
        <f>IF($A104=CA$83, 0, distance(VLOOKUP($A104,Cuision!$G:$P,9,FALSE),VLOOKUP($A104,Cuision!$G:$P,10,FALSE),VLOOKUP(CA$83,Cuision!$G:$P,9,FALSE),VLOOKUP(CA$83,Cuision!$G:$P,10,FALSE)))</f>
        <v>8292.1310430124922</v>
      </c>
    </row>
    <row r="105" spans="1:79" ht="14.25" x14ac:dyDescent="0.2">
      <c r="A105" s="30" t="s">
        <v>62</v>
      </c>
      <c r="B105" s="33">
        <f>IF($A105=B$83, 0, distance(VLOOKUP($A105,Cuision!$G:$P,9,FALSE),VLOOKUP($A105,Cuision!$G:$P,10,FALSE),VLOOKUP(B$83,Cuision!$G:$P,9,FALSE),VLOOKUP(B$83,Cuision!$G:$P,10,FALSE)))</f>
        <v>2747.655958889849</v>
      </c>
      <c r="C105" s="33">
        <f>IF($A105=C$83, 0, distance(VLOOKUP($A105,Cuision!$G:$P,9,FALSE),VLOOKUP($A105,Cuision!$G:$P,10,FALSE),VLOOKUP(C$83,Cuision!$G:$P,9,FALSE),VLOOKUP(C$83,Cuision!$G:$P,10,FALSE)))</f>
        <v>5036.7823856621471</v>
      </c>
      <c r="D105" s="33">
        <f>IF($A105=D$83, 0, distance(VLOOKUP($A105,Cuision!$G:$P,9,FALSE),VLOOKUP($A105,Cuision!$G:$P,10,FALSE),VLOOKUP(D$83,Cuision!$G:$P,9,FALSE),VLOOKUP(D$83,Cuision!$G:$P,10,FALSE)))</f>
        <v>8947.6293774193964</v>
      </c>
      <c r="E105" s="33">
        <f>IF($A105=E$83, 0, distance(VLOOKUP($A105,Cuision!$G:$P,9,FALSE),VLOOKUP($A105,Cuision!$G:$P,10,FALSE),VLOOKUP(E$83,Cuision!$G:$P,9,FALSE),VLOOKUP(E$83,Cuision!$G:$P,10,FALSE)))</f>
        <v>8947.6293774193964</v>
      </c>
      <c r="F105" s="33">
        <f>IF($A105=F$83, 0, distance(VLOOKUP($A105,Cuision!$G:$P,9,FALSE),VLOOKUP($A105,Cuision!$G:$P,10,FALSE),VLOOKUP(F$83,Cuision!$G:$P,9,FALSE),VLOOKUP(F$83,Cuision!$G:$P,10,FALSE)))</f>
        <v>4171.3559054885782</v>
      </c>
      <c r="G105" s="33">
        <f>IF($A105=G$83, 0, distance(VLOOKUP($A105,Cuision!$G:$P,9,FALSE),VLOOKUP($A105,Cuision!$G:$P,10,FALSE),VLOOKUP(G$83,Cuision!$G:$P,9,FALSE),VLOOKUP(G$83,Cuision!$G:$P,10,FALSE)))</f>
        <v>10528.89260009835</v>
      </c>
      <c r="H105" s="33">
        <f>IF($A105=H$83, 0, distance(VLOOKUP($A105,Cuision!$G:$P,9,FALSE),VLOOKUP($A105,Cuision!$G:$P,10,FALSE),VLOOKUP(H$83,Cuision!$G:$P,9,FALSE),VLOOKUP(H$83,Cuision!$G:$P,10,FALSE)))</f>
        <v>4150.3994167216024</v>
      </c>
      <c r="I105" s="33">
        <f>IF($A105=I$83, 0, distance(VLOOKUP($A105,Cuision!$G:$P,9,FALSE),VLOOKUP($A105,Cuision!$G:$P,10,FALSE),VLOOKUP(I$83,Cuision!$G:$P,9,FALSE),VLOOKUP(I$83,Cuision!$G:$P,10,FALSE)))</f>
        <v>1577.1703249377435</v>
      </c>
      <c r="J105" s="33">
        <f>IF($A105=J$83, 0, distance(VLOOKUP($A105,Cuision!$G:$P,9,FALSE),VLOOKUP($A105,Cuision!$G:$P,10,FALSE),VLOOKUP(J$83,Cuision!$G:$P,9,FALSE),VLOOKUP(J$83,Cuision!$G:$P,10,FALSE)))</f>
        <v>4336.9223550535153</v>
      </c>
      <c r="K105" s="33">
        <f>IF($A105=K$83, 0, distance(VLOOKUP($A105,Cuision!$G:$P,9,FALSE),VLOOKUP($A105,Cuision!$G:$P,10,FALSE),VLOOKUP(K$83,Cuision!$G:$P,9,FALSE),VLOOKUP(K$83,Cuision!$G:$P,10,FALSE)))</f>
        <v>5558.1903271086367</v>
      </c>
      <c r="L105" s="33">
        <f>IF($A105=L$83, 0, distance(VLOOKUP($A105,Cuision!$G:$P,9,FALSE),VLOOKUP($A105,Cuision!$G:$P,10,FALSE),VLOOKUP(L$83,Cuision!$G:$P,9,FALSE),VLOOKUP(L$83,Cuision!$G:$P,10,FALSE)))</f>
        <v>1269.8442491157966</v>
      </c>
      <c r="M105" s="33">
        <f>IF($A105=M$83, 0, distance(VLOOKUP($A105,Cuision!$G:$P,9,FALSE),VLOOKUP($A105,Cuision!$G:$P,10,FALSE),VLOOKUP(M$83,Cuision!$G:$P,9,FALSE),VLOOKUP(M$83,Cuision!$G:$P,10,FALSE)))</f>
        <v>-1</v>
      </c>
      <c r="N105" s="33">
        <f>IF($A105=N$83, 0, distance(VLOOKUP($A105,Cuision!$G:$P,9,FALSE),VLOOKUP($A105,Cuision!$G:$P,10,FALSE),VLOOKUP(N$83,Cuision!$G:$P,9,FALSE),VLOOKUP(N$83,Cuision!$G:$P,10,FALSE)))</f>
        <v>6647.3208068324857</v>
      </c>
      <c r="O105" s="33">
        <f>IF($A105=O$83, 0, distance(VLOOKUP($A105,Cuision!$G:$P,9,FALSE),VLOOKUP($A105,Cuision!$G:$P,10,FALSE),VLOOKUP(O$83,Cuision!$G:$P,9,FALSE),VLOOKUP(O$83,Cuision!$G:$P,10,FALSE)))</f>
        <v>6052.0263978474723</v>
      </c>
      <c r="P105" s="33">
        <f>IF($A105=P$83, 0, distance(VLOOKUP($A105,Cuision!$G:$P,9,FALSE),VLOOKUP($A105,Cuision!$G:$P,10,FALSE),VLOOKUP(P$83,Cuision!$G:$P,9,FALSE),VLOOKUP(P$83,Cuision!$G:$P,10,FALSE)))</f>
        <v>10591.812133575635</v>
      </c>
      <c r="Q105" s="33">
        <f>IF($A105=Q$83, 0, distance(VLOOKUP($A105,Cuision!$G:$P,9,FALSE),VLOOKUP($A105,Cuision!$G:$P,10,FALSE),VLOOKUP(Q$83,Cuision!$G:$P,9,FALSE),VLOOKUP(Q$83,Cuision!$G:$P,10,FALSE)))</f>
        <v>-1</v>
      </c>
      <c r="R105" s="33">
        <f>IF($A105=R$83, 0, distance(VLOOKUP($A105,Cuision!$G:$P,9,FALSE),VLOOKUP($A105,Cuision!$G:$P,10,FALSE),VLOOKUP(R$83,Cuision!$G:$P,9,FALSE),VLOOKUP(R$83,Cuision!$G:$P,10,FALSE)))</f>
        <v>6223.9505523929802</v>
      </c>
      <c r="S105" s="33">
        <f>IF($A105=S$83, 0, distance(VLOOKUP($A105,Cuision!$G:$P,9,FALSE),VLOOKUP($A105,Cuision!$G:$P,10,FALSE),VLOOKUP(S$83,Cuision!$G:$P,9,FALSE),VLOOKUP(S$83,Cuision!$G:$P,10,FALSE)))</f>
        <v>-1</v>
      </c>
      <c r="T105" s="33">
        <f>IF($A105=T$83, 0, distance(VLOOKUP($A105,Cuision!$G:$P,9,FALSE),VLOOKUP($A105,Cuision!$G:$P,10,FALSE),VLOOKUP(T$83,Cuision!$G:$P,9,FALSE),VLOOKUP(T$83,Cuision!$G:$P,10,FALSE)))</f>
        <v>813.24831082423577</v>
      </c>
      <c r="U105" s="33">
        <f>IF($A105=U$83, 0, distance(VLOOKUP($A105,Cuision!$G:$P,9,FALSE),VLOOKUP($A105,Cuision!$G:$P,10,FALSE),VLOOKUP(U$83,Cuision!$G:$P,9,FALSE),VLOOKUP(U$83,Cuision!$G:$P,10,FALSE)))</f>
        <v>-1</v>
      </c>
      <c r="V105" s="33">
        <f>IF($A105=V$83, 0, distance(VLOOKUP($A105,Cuision!$G:$P,9,FALSE),VLOOKUP($A105,Cuision!$G:$P,10,FALSE),VLOOKUP(V$83,Cuision!$G:$P,9,FALSE),VLOOKUP(V$83,Cuision!$G:$P,10,FALSE)))</f>
        <v>8947.6293774193964</v>
      </c>
      <c r="W105" s="33">
        <f>IF($A105=W$83, 0, distance(VLOOKUP($A105,Cuision!$G:$P,9,FALSE),VLOOKUP($A105,Cuision!$G:$P,10,FALSE),VLOOKUP(W$83,Cuision!$G:$P,9,FALSE),VLOOKUP(W$83,Cuision!$G:$P,10,FALSE)))</f>
        <v>0</v>
      </c>
      <c r="X105" s="33">
        <f>IF($A105=X$83, 0, distance(VLOOKUP($A105,Cuision!$G:$P,9,FALSE),VLOOKUP($A105,Cuision!$G:$P,10,FALSE),VLOOKUP(X$83,Cuision!$G:$P,9,FALSE),VLOOKUP(X$83,Cuision!$G:$P,10,FALSE)))</f>
        <v>6647.3208068324857</v>
      </c>
      <c r="Y105" s="33">
        <f>IF($A105=Y$83, 0, distance(VLOOKUP($A105,Cuision!$G:$P,9,FALSE),VLOOKUP($A105,Cuision!$G:$P,10,FALSE),VLOOKUP(Y$83,Cuision!$G:$P,9,FALSE),VLOOKUP(Y$83,Cuision!$G:$P,10,FALSE)))</f>
        <v>2080.5743743054149</v>
      </c>
      <c r="Z105" s="33">
        <f>IF($A105=Z$83, 0, distance(VLOOKUP($A105,Cuision!$G:$P,9,FALSE),VLOOKUP($A105,Cuision!$G:$P,10,FALSE),VLOOKUP(Z$83,Cuision!$G:$P,9,FALSE),VLOOKUP(Z$83,Cuision!$G:$P,10,FALSE)))</f>
        <v>-1</v>
      </c>
      <c r="AA105" s="33">
        <f>IF($A105=AA$83, 0, distance(VLOOKUP($A105,Cuision!$G:$P,9,FALSE),VLOOKUP($A105,Cuision!$G:$P,10,FALSE),VLOOKUP(AA$83,Cuision!$G:$P,9,FALSE),VLOOKUP(AA$83,Cuision!$G:$P,10,FALSE)))</f>
        <v>9989.1349925913928</v>
      </c>
      <c r="AB105" s="33">
        <f>IF($A105=AB$83, 0, distance(VLOOKUP($A105,Cuision!$G:$P,9,FALSE),VLOOKUP($A105,Cuision!$G:$P,10,FALSE),VLOOKUP(AB$83,Cuision!$G:$P,9,FALSE),VLOOKUP(AB$83,Cuision!$G:$P,10,FALSE)))</f>
        <v>5629.1610373145477</v>
      </c>
      <c r="AC105" s="33">
        <f>IF($A105=AC$83, 0, distance(VLOOKUP($A105,Cuision!$G:$P,9,FALSE),VLOOKUP($A105,Cuision!$G:$P,10,FALSE),VLOOKUP(AC$83,Cuision!$G:$P,9,FALSE),VLOOKUP(AC$83,Cuision!$G:$P,10,FALSE)))</f>
        <v>4492.0150605311255</v>
      </c>
      <c r="AD105" s="33">
        <f>IF($A105=AD$83, 0, distance(VLOOKUP($A105,Cuision!$G:$P,9,FALSE),VLOOKUP($A105,Cuision!$G:$P,10,FALSE),VLOOKUP(AD$83,Cuision!$G:$P,9,FALSE),VLOOKUP(AD$83,Cuision!$G:$P,10,FALSE)))</f>
        <v>1100.6921569256515</v>
      </c>
      <c r="AE105" s="33">
        <f>IF($A105=AE$83, 0, distance(VLOOKUP($A105,Cuision!$G:$P,9,FALSE),VLOOKUP($A105,Cuision!$G:$P,10,FALSE),VLOOKUP(AE$83,Cuision!$G:$P,9,FALSE),VLOOKUP(AE$83,Cuision!$G:$P,10,FALSE)))</f>
        <v>5594.5060005751993</v>
      </c>
      <c r="AF105" s="33">
        <f>IF($A105=AF$83, 0, distance(VLOOKUP($A105,Cuision!$G:$P,9,FALSE),VLOOKUP($A105,Cuision!$G:$P,10,FALSE),VLOOKUP(AF$83,Cuision!$G:$P,9,FALSE),VLOOKUP(AF$83,Cuision!$G:$P,10,FALSE)))</f>
        <v>6176.1763948219759</v>
      </c>
      <c r="AG105" s="33">
        <f>IF($A105=AG$83, 0, distance(VLOOKUP($A105,Cuision!$G:$P,9,FALSE),VLOOKUP($A105,Cuision!$G:$P,10,FALSE),VLOOKUP(AG$83,Cuision!$G:$P,9,FALSE),VLOOKUP(AG$83,Cuision!$G:$P,10,FALSE)))</f>
        <v>5648.8113933499835</v>
      </c>
      <c r="AH105" s="33">
        <f>IF($A105=AH$83, 0, distance(VLOOKUP($A105,Cuision!$G:$P,9,FALSE),VLOOKUP($A105,Cuision!$G:$P,10,FALSE),VLOOKUP(AH$83,Cuision!$G:$P,9,FALSE),VLOOKUP(AH$83,Cuision!$G:$P,10,FALSE)))</f>
        <v>-1</v>
      </c>
      <c r="AI105" s="33">
        <f>IF($A105=AI$83, 0, distance(VLOOKUP($A105,Cuision!$G:$P,9,FALSE),VLOOKUP($A105,Cuision!$G:$P,10,FALSE),VLOOKUP(AI$83,Cuision!$G:$P,9,FALSE),VLOOKUP(AI$83,Cuision!$G:$P,10,FALSE)))</f>
        <v>5252.7201343950119</v>
      </c>
      <c r="AJ105" s="33">
        <f>IF($A105=AJ$83, 0, distance(VLOOKUP($A105,Cuision!$G:$P,9,FALSE),VLOOKUP($A105,Cuision!$G:$P,10,FALSE),VLOOKUP(AJ$83,Cuision!$G:$P,9,FALSE),VLOOKUP(AJ$83,Cuision!$G:$P,10,FALSE)))</f>
        <v>4171.3559054885782</v>
      </c>
      <c r="AK105" s="33">
        <f>IF($A105=AK$83, 0, distance(VLOOKUP($A105,Cuision!$G:$P,9,FALSE),VLOOKUP($A105,Cuision!$G:$P,10,FALSE),VLOOKUP(AK$83,Cuision!$G:$P,9,FALSE),VLOOKUP(AK$83,Cuision!$G:$P,10,FALSE)))</f>
        <v>6550.2327392348707</v>
      </c>
      <c r="AL105" s="33">
        <f>IF($A105=AL$83, 0, distance(VLOOKUP($A105,Cuision!$G:$P,9,FALSE),VLOOKUP($A105,Cuision!$G:$P,10,FALSE),VLOOKUP(AL$83,Cuision!$G:$P,9,FALSE),VLOOKUP(AL$83,Cuision!$G:$P,10,FALSE)))</f>
        <v>1689.2391783643959</v>
      </c>
      <c r="AM105" s="33">
        <f>IF($A105=AM$83, 0, distance(VLOOKUP($A105,Cuision!$G:$P,9,FALSE),VLOOKUP($A105,Cuision!$G:$P,10,FALSE),VLOOKUP(AM$83,Cuision!$G:$P,9,FALSE),VLOOKUP(AM$83,Cuision!$G:$P,10,FALSE)))</f>
        <v>-1</v>
      </c>
      <c r="AN105" s="33">
        <f>IF($A105=AN$83, 0, distance(VLOOKUP($A105,Cuision!$G:$P,9,FALSE),VLOOKUP($A105,Cuision!$G:$P,10,FALSE),VLOOKUP(AN$83,Cuision!$G:$P,9,FALSE),VLOOKUP(AN$83,Cuision!$G:$P,10,FALSE)))</f>
        <v>5439.9929392062559</v>
      </c>
      <c r="AO105" s="33">
        <f>IF($A105=AO$83, 0, distance(VLOOKUP($A105,Cuision!$G:$P,9,FALSE),VLOOKUP($A105,Cuision!$G:$P,10,FALSE),VLOOKUP(AO$83,Cuision!$G:$P,9,FALSE),VLOOKUP(AO$83,Cuision!$G:$P,10,FALSE)))</f>
        <v>6647.3208068324857</v>
      </c>
      <c r="AP105" s="33">
        <f>IF($A105=AP$83, 0, distance(VLOOKUP($A105,Cuision!$G:$P,9,FALSE),VLOOKUP($A105,Cuision!$G:$P,10,FALSE),VLOOKUP(AP$83,Cuision!$G:$P,9,FALSE),VLOOKUP(AP$83,Cuision!$G:$P,10,FALSE)))</f>
        <v>2140.3716366107378</v>
      </c>
      <c r="AQ105" s="33">
        <f>IF($A105=AQ$83, 0, distance(VLOOKUP($A105,Cuision!$G:$P,9,FALSE),VLOOKUP($A105,Cuision!$G:$P,10,FALSE),VLOOKUP(AQ$83,Cuision!$G:$P,9,FALSE),VLOOKUP(AQ$83,Cuision!$G:$P,10,FALSE)))</f>
        <v>1234.8755640691495</v>
      </c>
      <c r="AR105" s="33">
        <f>IF($A105=AR$83, 0, distance(VLOOKUP($A105,Cuision!$G:$P,9,FALSE),VLOOKUP($A105,Cuision!$G:$P,10,FALSE),VLOOKUP(AR$83,Cuision!$G:$P,9,FALSE),VLOOKUP(AR$83,Cuision!$G:$P,10,FALSE)))</f>
        <v>6223.9505523929802</v>
      </c>
      <c r="AS105" s="33">
        <f>IF($A105=AS$83, 0, distance(VLOOKUP($A105,Cuision!$G:$P,9,FALSE),VLOOKUP($A105,Cuision!$G:$P,10,FALSE),VLOOKUP(AS$83,Cuision!$G:$P,9,FALSE),VLOOKUP(AS$83,Cuision!$G:$P,10,FALSE)))</f>
        <v>5810.6230903120859</v>
      </c>
      <c r="AT105" s="33">
        <f>IF($A105=AT$83, 0, distance(VLOOKUP($A105,Cuision!$G:$P,9,FALSE),VLOOKUP($A105,Cuision!$G:$P,10,FALSE),VLOOKUP(AT$83,Cuision!$G:$P,9,FALSE),VLOOKUP(AT$83,Cuision!$G:$P,10,FALSE)))</f>
        <v>2735.7699569175657</v>
      </c>
      <c r="AU105" s="33">
        <f>IF($A105=AU$83, 0, distance(VLOOKUP($A105,Cuision!$G:$P,9,FALSE),VLOOKUP($A105,Cuision!$G:$P,10,FALSE),VLOOKUP(AU$83,Cuision!$G:$P,9,FALSE),VLOOKUP(AU$83,Cuision!$G:$P,10,FALSE)))</f>
        <v>2256.6205513315758</v>
      </c>
      <c r="AV105" s="33">
        <f>IF($A105=AV$83, 0, distance(VLOOKUP($A105,Cuision!$G:$P,9,FALSE),VLOOKUP($A105,Cuision!$G:$P,10,FALSE),VLOOKUP(AV$83,Cuision!$G:$P,9,FALSE),VLOOKUP(AV$83,Cuision!$G:$P,10,FALSE)))</f>
        <v>4812.8855442838731</v>
      </c>
      <c r="AW105" s="33">
        <f>IF($A105=AW$83, 0, distance(VLOOKUP($A105,Cuision!$G:$P,9,FALSE),VLOOKUP($A105,Cuision!$G:$P,10,FALSE),VLOOKUP(AW$83,Cuision!$G:$P,9,FALSE),VLOOKUP(AW$83,Cuision!$G:$P,10,FALSE)))</f>
        <v>469.17409358493217</v>
      </c>
      <c r="AX105" s="33">
        <f>IF($A105=AX$83, 0, distance(VLOOKUP($A105,Cuision!$G:$P,9,FALSE),VLOOKUP($A105,Cuision!$G:$P,10,FALSE),VLOOKUP(AX$83,Cuision!$G:$P,9,FALSE),VLOOKUP(AX$83,Cuision!$G:$P,10,FALSE)))</f>
        <v>11375.09044347897</v>
      </c>
      <c r="AY105" s="33">
        <f>IF($A105=AY$83, 0, distance(VLOOKUP($A105,Cuision!$G:$P,9,FALSE),VLOOKUP($A105,Cuision!$G:$P,10,FALSE),VLOOKUP(AY$83,Cuision!$G:$P,9,FALSE),VLOOKUP(AY$83,Cuision!$G:$P,10,FALSE)))</f>
        <v>-1</v>
      </c>
      <c r="AZ105" s="33">
        <f>IF($A105=AZ$83, 0, distance(VLOOKUP($A105,Cuision!$G:$P,9,FALSE),VLOOKUP($A105,Cuision!$G:$P,10,FALSE),VLOOKUP(AZ$83,Cuision!$G:$P,9,FALSE),VLOOKUP(AZ$83,Cuision!$G:$P,10,FALSE)))</f>
        <v>622.34371911392918</v>
      </c>
      <c r="BA105" s="33">
        <f>IF($A105=BA$83, 0, distance(VLOOKUP($A105,Cuision!$G:$P,9,FALSE),VLOOKUP($A105,Cuision!$G:$P,10,FALSE),VLOOKUP(BA$83,Cuision!$G:$P,9,FALSE),VLOOKUP(BA$83,Cuision!$G:$P,10,FALSE)))</f>
        <v>5591.2683428253758</v>
      </c>
      <c r="BB105" s="33">
        <f>IF($A105=BB$83, 0, distance(VLOOKUP($A105,Cuision!$G:$P,9,FALSE),VLOOKUP($A105,Cuision!$G:$P,10,FALSE),VLOOKUP(BB$83,Cuision!$G:$P,9,FALSE),VLOOKUP(BB$83,Cuision!$G:$P,10,FALSE)))</f>
        <v>9741.0984025540074</v>
      </c>
      <c r="BC105" s="33">
        <f>IF($A105=BC$83, 0, distance(VLOOKUP($A105,Cuision!$G:$P,9,FALSE),VLOOKUP($A105,Cuision!$G:$P,10,FALSE),VLOOKUP(BC$83,Cuision!$G:$P,9,FALSE),VLOOKUP(BC$83,Cuision!$G:$P,10,FALSE)))</f>
        <v>4171.3559054885782</v>
      </c>
      <c r="BD105" s="33">
        <f>IF($A105=BD$83, 0, distance(VLOOKUP($A105,Cuision!$G:$P,9,FALSE),VLOOKUP($A105,Cuision!$G:$P,10,FALSE),VLOOKUP(BD$83,Cuision!$G:$P,9,FALSE),VLOOKUP(BD$83,Cuision!$G:$P,10,FALSE)))</f>
        <v>2513.9863482874616</v>
      </c>
      <c r="BE105" s="33">
        <f>IF($A105=BE$83, 0, distance(VLOOKUP($A105,Cuision!$G:$P,9,FALSE),VLOOKUP($A105,Cuision!$G:$P,10,FALSE),VLOOKUP(BE$83,Cuision!$G:$P,9,FALSE),VLOOKUP(BE$83,Cuision!$G:$P,10,FALSE)))</f>
        <v>6970.1962086668345</v>
      </c>
      <c r="BF105" s="33">
        <f>IF($A105=BF$83, 0, distance(VLOOKUP($A105,Cuision!$G:$P,9,FALSE),VLOOKUP($A105,Cuision!$G:$P,10,FALSE),VLOOKUP(BF$83,Cuision!$G:$P,9,FALSE),VLOOKUP(BF$83,Cuision!$G:$P,10,FALSE)))</f>
        <v>2526.0655552139765</v>
      </c>
      <c r="BG105" s="33">
        <f>IF($A105=BG$83, 0, distance(VLOOKUP($A105,Cuision!$G:$P,9,FALSE),VLOOKUP($A105,Cuision!$G:$P,10,FALSE),VLOOKUP(BG$83,Cuision!$G:$P,9,FALSE),VLOOKUP(BG$83,Cuision!$G:$P,10,FALSE)))</f>
        <v>3718.9507914138094</v>
      </c>
      <c r="BH105" s="33">
        <f>IF($A105=BH$83, 0, distance(VLOOKUP($A105,Cuision!$G:$P,9,FALSE),VLOOKUP($A105,Cuision!$G:$P,10,FALSE),VLOOKUP(BH$83,Cuision!$G:$P,9,FALSE),VLOOKUP(BH$83,Cuision!$G:$P,10,FALSE)))</f>
        <v>12300.216454881487</v>
      </c>
      <c r="BI105" s="33">
        <f>IF($A105=BI$83, 0, distance(VLOOKUP($A105,Cuision!$G:$P,9,FALSE),VLOOKUP($A105,Cuision!$G:$P,10,FALSE),VLOOKUP(BI$83,Cuision!$G:$P,9,FALSE),VLOOKUP(BI$83,Cuision!$G:$P,10,FALSE)))</f>
        <v>5331.6379537383536</v>
      </c>
      <c r="BJ105" s="33">
        <f>IF($A105=BJ$83, 0, distance(VLOOKUP($A105,Cuision!$G:$P,9,FALSE),VLOOKUP($A105,Cuision!$G:$P,10,FALSE),VLOOKUP(BJ$83,Cuision!$G:$P,9,FALSE),VLOOKUP(BJ$83,Cuision!$G:$P,10,FALSE)))</f>
        <v>6959.3649400565628</v>
      </c>
      <c r="BK105" s="33">
        <f>IF($A105=BK$83, 0, distance(VLOOKUP($A105,Cuision!$G:$P,9,FALSE),VLOOKUP($A105,Cuision!$G:$P,10,FALSE),VLOOKUP(BK$83,Cuision!$G:$P,9,FALSE),VLOOKUP(BK$83,Cuision!$G:$P,10,FALSE)))</f>
        <v>4681.7917372277607</v>
      </c>
      <c r="BL105" s="33">
        <f>IF($A105=BL$83, 0, distance(VLOOKUP($A105,Cuision!$G:$P,9,FALSE),VLOOKUP($A105,Cuision!$G:$P,10,FALSE),VLOOKUP(BL$83,Cuision!$G:$P,9,FALSE),VLOOKUP(BL$83,Cuision!$G:$P,10,FALSE)))</f>
        <v>-1</v>
      </c>
      <c r="BM105" s="33">
        <f>IF($A105=BM$83, 0, distance(VLOOKUP($A105,Cuision!$G:$P,9,FALSE),VLOOKUP($A105,Cuision!$G:$P,10,FALSE),VLOOKUP(BM$83,Cuision!$G:$P,9,FALSE),VLOOKUP(BM$83,Cuision!$G:$P,10,FALSE)))</f>
        <v>-1</v>
      </c>
      <c r="BN105" s="33">
        <f>IF($A105=BN$83, 0, distance(VLOOKUP($A105,Cuision!$G:$P,9,FALSE),VLOOKUP($A105,Cuision!$G:$P,10,FALSE),VLOOKUP(BN$83,Cuision!$G:$P,9,FALSE),VLOOKUP(BN$83,Cuision!$G:$P,10,FALSE)))</f>
        <v>6223.9505523929802</v>
      </c>
      <c r="BO105" s="33">
        <f>IF($A105=BO$83, 0, distance(VLOOKUP($A105,Cuision!$G:$P,9,FALSE),VLOOKUP($A105,Cuision!$G:$P,10,FALSE),VLOOKUP(BO$83,Cuision!$G:$P,9,FALSE),VLOOKUP(BO$83,Cuision!$G:$P,10,FALSE)))</f>
        <v>713.33649670594411</v>
      </c>
      <c r="BP105" s="33">
        <f>IF($A105=BP$83, 0, distance(VLOOKUP($A105,Cuision!$G:$P,9,FALSE),VLOOKUP($A105,Cuision!$G:$P,10,FALSE),VLOOKUP(BP$83,Cuision!$G:$P,9,FALSE),VLOOKUP(BP$83,Cuision!$G:$P,10,FALSE)))</f>
        <v>5524.7789100825494</v>
      </c>
      <c r="BQ105" s="33">
        <f>IF($A105=BQ$83, 0, distance(VLOOKUP($A105,Cuision!$G:$P,9,FALSE),VLOOKUP($A105,Cuision!$G:$P,10,FALSE),VLOOKUP(BQ$83,Cuision!$G:$P,9,FALSE),VLOOKUP(BQ$83,Cuision!$G:$P,10,FALSE)))</f>
        <v>-1</v>
      </c>
      <c r="BR105" s="33">
        <f>IF($A105=BR$83, 0, distance(VLOOKUP($A105,Cuision!$G:$P,9,FALSE),VLOOKUP($A105,Cuision!$G:$P,10,FALSE),VLOOKUP(BR$83,Cuision!$G:$P,9,FALSE),VLOOKUP(BR$83,Cuision!$G:$P,10,FALSE)))</f>
        <v>8947.6293774193964</v>
      </c>
      <c r="BS105" s="33">
        <f>IF($A105=BS$83, 0, distance(VLOOKUP($A105,Cuision!$G:$P,9,FALSE),VLOOKUP($A105,Cuision!$G:$P,10,FALSE),VLOOKUP(BS$83,Cuision!$G:$P,9,FALSE),VLOOKUP(BS$83,Cuision!$G:$P,10,FALSE)))</f>
        <v>2080.5743743054149</v>
      </c>
      <c r="BT105" s="33">
        <f>IF($A105=BT$83, 0, distance(VLOOKUP($A105,Cuision!$G:$P,9,FALSE),VLOOKUP($A105,Cuision!$G:$P,10,FALSE),VLOOKUP(BT$83,Cuision!$G:$P,9,FALSE),VLOOKUP(BT$83,Cuision!$G:$P,10,FALSE)))</f>
        <v>6647.3208068324857</v>
      </c>
      <c r="BU105" s="33">
        <f>IF($A105=BU$83, 0, distance(VLOOKUP($A105,Cuision!$G:$P,9,FALSE),VLOOKUP($A105,Cuision!$G:$P,10,FALSE),VLOOKUP(BU$83,Cuision!$G:$P,9,FALSE),VLOOKUP(BU$83,Cuision!$G:$P,10,FALSE)))</f>
        <v>334.15412781839541</v>
      </c>
      <c r="BV105" s="33">
        <f>IF($A105=BV$83, 0, distance(VLOOKUP($A105,Cuision!$G:$P,9,FALSE),VLOOKUP($A105,Cuision!$G:$P,10,FALSE),VLOOKUP(BV$83,Cuision!$G:$P,9,FALSE),VLOOKUP(BV$83,Cuision!$G:$P,10,FALSE)))</f>
        <v>4760.6543254008993</v>
      </c>
      <c r="BW105" s="33">
        <f>IF($A105=BW$83, 0, distance(VLOOKUP($A105,Cuision!$G:$P,9,FALSE),VLOOKUP($A105,Cuision!$G:$P,10,FALSE),VLOOKUP(BW$83,Cuision!$G:$P,9,FALSE),VLOOKUP(BW$83,Cuision!$G:$P,10,FALSE)))</f>
        <v>4919.1512595991171</v>
      </c>
      <c r="BX105" s="33">
        <f>IF($A105=BX$83, 0, distance(VLOOKUP($A105,Cuision!$G:$P,9,FALSE),VLOOKUP($A105,Cuision!$G:$P,10,FALSE),VLOOKUP(BX$83,Cuision!$G:$P,9,FALSE),VLOOKUP(BX$83,Cuision!$G:$P,10,FALSE)))</f>
        <v>2977.3548107627953</v>
      </c>
      <c r="BY105" s="33">
        <f>IF($A105=BY$83, 0, distance(VLOOKUP($A105,Cuision!$G:$P,9,FALSE),VLOOKUP($A105,Cuision!$G:$P,10,FALSE),VLOOKUP(BY$83,Cuision!$G:$P,9,FALSE),VLOOKUP(BY$83,Cuision!$G:$P,10,FALSE)))</f>
        <v>-1</v>
      </c>
      <c r="BZ105" s="33">
        <f>IF($A105=BZ$83, 0, distance(VLOOKUP($A105,Cuision!$G:$P,9,FALSE),VLOOKUP($A105,Cuision!$G:$P,10,FALSE),VLOOKUP(BZ$83,Cuision!$G:$P,9,FALSE),VLOOKUP(BZ$83,Cuision!$G:$P,10,FALSE)))</f>
        <v>-1</v>
      </c>
      <c r="CA105" s="33">
        <f>IF($A105=CA$83, 0, distance(VLOOKUP($A105,Cuision!$G:$P,9,FALSE),VLOOKUP($A105,Cuision!$G:$P,10,FALSE),VLOOKUP(CA$83,Cuision!$G:$P,9,FALSE),VLOOKUP(CA$83,Cuision!$G:$P,10,FALSE)))</f>
        <v>656.42472954384175</v>
      </c>
    </row>
    <row r="106" spans="1:79" ht="14.25" x14ac:dyDescent="0.2">
      <c r="A106" s="30" t="s">
        <v>64</v>
      </c>
      <c r="B106" s="33">
        <f>IF($A106=B$83, 0, distance(VLOOKUP($A106,Cuision!$G:$P,9,FALSE),VLOOKUP($A106,Cuision!$G:$P,10,FALSE),VLOOKUP(B$83,Cuision!$G:$P,9,FALSE),VLOOKUP(B$83,Cuision!$G:$P,10,FALSE)))</f>
        <v>3902.0380014748603</v>
      </c>
      <c r="C106" s="33">
        <f>IF($A106=C$83, 0, distance(VLOOKUP($A106,Cuision!$G:$P,9,FALSE),VLOOKUP($A106,Cuision!$G:$P,10,FALSE),VLOOKUP(C$83,Cuision!$G:$P,9,FALSE),VLOOKUP(C$83,Cuision!$G:$P,10,FALSE)))</f>
        <v>4181.0014510469164</v>
      </c>
      <c r="D106" s="33">
        <f>IF($A106=D$83, 0, distance(VLOOKUP($A106,Cuision!$G:$P,9,FALSE),VLOOKUP($A106,Cuision!$G:$P,10,FALSE),VLOOKUP(D$83,Cuision!$G:$P,9,FALSE),VLOOKUP(D$83,Cuision!$G:$P,10,FALSE)))</f>
        <v>3783.2693926891457</v>
      </c>
      <c r="E106" s="33">
        <f>IF($A106=E$83, 0, distance(VLOOKUP($A106,Cuision!$G:$P,9,FALSE),VLOOKUP($A106,Cuision!$G:$P,10,FALSE),VLOOKUP(E$83,Cuision!$G:$P,9,FALSE),VLOOKUP(E$83,Cuision!$G:$P,10,FALSE)))</f>
        <v>3783.2693926891457</v>
      </c>
      <c r="F106" s="33">
        <f>IF($A106=F$83, 0, distance(VLOOKUP($A106,Cuision!$G:$P,9,FALSE),VLOOKUP($A106,Cuision!$G:$P,10,FALSE),VLOOKUP(F$83,Cuision!$G:$P,9,FALSE),VLOOKUP(F$83,Cuision!$G:$P,10,FALSE)))</f>
        <v>2699.2022856792228</v>
      </c>
      <c r="G106" s="33">
        <f>IF($A106=G$83, 0, distance(VLOOKUP($A106,Cuision!$G:$P,9,FALSE),VLOOKUP($A106,Cuision!$G:$P,10,FALSE),VLOOKUP(G$83,Cuision!$G:$P,9,FALSE),VLOOKUP(G$83,Cuision!$G:$P,10,FALSE)))</f>
        <v>6241.9215071578274</v>
      </c>
      <c r="H106" s="33">
        <f>IF($A106=H$83, 0, distance(VLOOKUP($A106,Cuision!$G:$P,9,FALSE),VLOOKUP($A106,Cuision!$G:$P,10,FALSE),VLOOKUP(H$83,Cuision!$G:$P,9,FALSE),VLOOKUP(H$83,Cuision!$G:$P,10,FALSE)))</f>
        <v>2507.8131736189293</v>
      </c>
      <c r="I106" s="33">
        <f>IF($A106=I$83, 0, distance(VLOOKUP($A106,Cuision!$G:$P,9,FALSE),VLOOKUP($A106,Cuision!$G:$P,10,FALSE),VLOOKUP(I$83,Cuision!$G:$P,9,FALSE),VLOOKUP(I$83,Cuision!$G:$P,10,FALSE)))</f>
        <v>5392.6916510897654</v>
      </c>
      <c r="J106" s="33">
        <f>IF($A106=J$83, 0, distance(VLOOKUP($A106,Cuision!$G:$P,9,FALSE),VLOOKUP($A106,Cuision!$G:$P,10,FALSE),VLOOKUP(J$83,Cuision!$G:$P,9,FALSE),VLOOKUP(J$83,Cuision!$G:$P,10,FALSE)))</f>
        <v>10918.515608145402</v>
      </c>
      <c r="K106" s="33">
        <f>IF($A106=K$83, 0, distance(VLOOKUP($A106,Cuision!$G:$P,9,FALSE),VLOOKUP($A106,Cuision!$G:$P,10,FALSE),VLOOKUP(K$83,Cuision!$G:$P,9,FALSE),VLOOKUP(K$83,Cuision!$G:$P,10,FALSE)))</f>
        <v>1123.9432343334427</v>
      </c>
      <c r="L106" s="33">
        <f>IF($A106=L$83, 0, distance(VLOOKUP($A106,Cuision!$G:$P,9,FALSE),VLOOKUP($A106,Cuision!$G:$P,10,FALSE),VLOOKUP(L$83,Cuision!$G:$P,9,FALSE),VLOOKUP(L$83,Cuision!$G:$P,10,FALSE)))</f>
        <v>5377.4809840655871</v>
      </c>
      <c r="M106" s="33">
        <f>IF($A106=M$83, 0, distance(VLOOKUP($A106,Cuision!$G:$P,9,FALSE),VLOOKUP($A106,Cuision!$G:$P,10,FALSE),VLOOKUP(M$83,Cuision!$G:$P,9,FALSE),VLOOKUP(M$83,Cuision!$G:$P,10,FALSE)))</f>
        <v>-1</v>
      </c>
      <c r="N106" s="33">
        <f>IF($A106=N$83, 0, distance(VLOOKUP($A106,Cuision!$G:$P,9,FALSE),VLOOKUP($A106,Cuision!$G:$P,10,FALSE),VLOOKUP(N$83,Cuision!$G:$P,9,FALSE),VLOOKUP(N$83,Cuision!$G:$P,10,FALSE)))</f>
        <v>0</v>
      </c>
      <c r="O106" s="33">
        <f>IF($A106=O$83, 0, distance(VLOOKUP($A106,Cuision!$G:$P,9,FALSE),VLOOKUP($A106,Cuision!$G:$P,10,FALSE),VLOOKUP(O$83,Cuision!$G:$P,9,FALSE),VLOOKUP(O$83,Cuision!$G:$P,10,FALSE)))</f>
        <v>817.71380377535468</v>
      </c>
      <c r="P106" s="33">
        <f>IF($A106=P$83, 0, distance(VLOOKUP($A106,Cuision!$G:$P,9,FALSE),VLOOKUP($A106,Cuision!$G:$P,10,FALSE),VLOOKUP(P$83,Cuision!$G:$P,9,FALSE),VLOOKUP(P$83,Cuision!$G:$P,10,FALSE)))</f>
        <v>4808.414862126243</v>
      </c>
      <c r="Q106" s="33">
        <f>IF($A106=Q$83, 0, distance(VLOOKUP($A106,Cuision!$G:$P,9,FALSE),VLOOKUP($A106,Cuision!$G:$P,10,FALSE),VLOOKUP(Q$83,Cuision!$G:$P,9,FALSE),VLOOKUP(Q$83,Cuision!$G:$P,10,FALSE)))</f>
        <v>-1</v>
      </c>
      <c r="R106" s="33">
        <f>IF($A106=R$83, 0, distance(VLOOKUP($A106,Cuision!$G:$P,9,FALSE),VLOOKUP($A106,Cuision!$G:$P,10,FALSE),VLOOKUP(R$83,Cuision!$G:$P,9,FALSE),VLOOKUP(R$83,Cuision!$G:$P,10,FALSE)))</f>
        <v>784.90553114647901</v>
      </c>
      <c r="S106" s="33">
        <f>IF($A106=S$83, 0, distance(VLOOKUP($A106,Cuision!$G:$P,9,FALSE),VLOOKUP($A106,Cuision!$G:$P,10,FALSE),VLOOKUP(S$83,Cuision!$G:$P,9,FALSE),VLOOKUP(S$83,Cuision!$G:$P,10,FALSE)))</f>
        <v>-1</v>
      </c>
      <c r="T106" s="33">
        <f>IF($A106=T$83, 0, distance(VLOOKUP($A106,Cuision!$G:$P,9,FALSE),VLOOKUP($A106,Cuision!$G:$P,10,FALSE),VLOOKUP(T$83,Cuision!$G:$P,9,FALSE),VLOOKUP(T$83,Cuision!$G:$P,10,FALSE)))</f>
        <v>5834.4264171615005</v>
      </c>
      <c r="U106" s="33">
        <f>IF($A106=U$83, 0, distance(VLOOKUP($A106,Cuision!$G:$P,9,FALSE),VLOOKUP($A106,Cuision!$G:$P,10,FALSE),VLOOKUP(U$83,Cuision!$G:$P,9,FALSE),VLOOKUP(U$83,Cuision!$G:$P,10,FALSE)))</f>
        <v>-1</v>
      </c>
      <c r="V106" s="33">
        <f>IF($A106=V$83, 0, distance(VLOOKUP($A106,Cuision!$G:$P,9,FALSE),VLOOKUP($A106,Cuision!$G:$P,10,FALSE),VLOOKUP(V$83,Cuision!$G:$P,9,FALSE),VLOOKUP(V$83,Cuision!$G:$P,10,FALSE)))</f>
        <v>3783.2693926891457</v>
      </c>
      <c r="W106" s="33">
        <f>IF($A106=W$83, 0, distance(VLOOKUP($A106,Cuision!$G:$P,9,FALSE),VLOOKUP($A106,Cuision!$G:$P,10,FALSE),VLOOKUP(W$83,Cuision!$G:$P,9,FALSE),VLOOKUP(W$83,Cuision!$G:$P,10,FALSE)))</f>
        <v>6647.3208068324857</v>
      </c>
      <c r="X106" s="33">
        <f>IF($A106=X$83, 0, distance(VLOOKUP($A106,Cuision!$G:$P,9,FALSE),VLOOKUP($A106,Cuision!$G:$P,10,FALSE),VLOOKUP(X$83,Cuision!$G:$P,9,FALSE),VLOOKUP(X$83,Cuision!$G:$P,10,FALSE)))</f>
        <v>0</v>
      </c>
      <c r="Y106" s="33">
        <f>IF($A106=Y$83, 0, distance(VLOOKUP($A106,Cuision!$G:$P,9,FALSE),VLOOKUP($A106,Cuision!$G:$P,10,FALSE),VLOOKUP(Y$83,Cuision!$G:$P,9,FALSE),VLOOKUP(Y$83,Cuision!$G:$P,10,FALSE)))</f>
        <v>5729.4499419733847</v>
      </c>
      <c r="Z106" s="33">
        <f>IF($A106=Z$83, 0, distance(VLOOKUP($A106,Cuision!$G:$P,9,FALSE),VLOOKUP($A106,Cuision!$G:$P,10,FALSE),VLOOKUP(Z$83,Cuision!$G:$P,9,FALSE),VLOOKUP(Z$83,Cuision!$G:$P,10,FALSE)))</f>
        <v>-1</v>
      </c>
      <c r="AA106" s="33">
        <f>IF($A106=AA$83, 0, distance(VLOOKUP($A106,Cuision!$G:$P,9,FALSE),VLOOKUP($A106,Cuision!$G:$P,10,FALSE),VLOOKUP(AA$83,Cuision!$G:$P,9,FALSE),VLOOKUP(AA$83,Cuision!$G:$P,10,FALSE)))</f>
        <v>4623.0449185729312</v>
      </c>
      <c r="AB106" s="33">
        <f>IF($A106=AB$83, 0, distance(VLOOKUP($A106,Cuision!$G:$P,9,FALSE),VLOOKUP($A106,Cuision!$G:$P,10,FALSE),VLOOKUP(AB$83,Cuision!$G:$P,9,FALSE),VLOOKUP(AB$83,Cuision!$G:$P,10,FALSE)))</f>
        <v>1101.0295637429265</v>
      </c>
      <c r="AC106" s="33">
        <f>IF($A106=AC$83, 0, distance(VLOOKUP($A106,Cuision!$G:$P,9,FALSE),VLOOKUP($A106,Cuision!$G:$P,10,FALSE),VLOOKUP(AC$83,Cuision!$G:$P,9,FALSE),VLOOKUP(AC$83,Cuision!$G:$P,10,FALSE)))</f>
        <v>3383.3410356236627</v>
      </c>
      <c r="AD106" s="33">
        <f>IF($A106=AD$83, 0, distance(VLOOKUP($A106,Cuision!$G:$P,9,FALSE),VLOOKUP($A106,Cuision!$G:$P,10,FALSE),VLOOKUP(AD$83,Cuision!$G:$P,9,FALSE),VLOOKUP(AD$83,Cuision!$G:$P,10,FALSE)))</f>
        <v>7241.8978224343373</v>
      </c>
      <c r="AE106" s="33">
        <f>IF($A106=AE$83, 0, distance(VLOOKUP($A106,Cuision!$G:$P,9,FALSE),VLOOKUP($A106,Cuision!$G:$P,10,FALSE),VLOOKUP(AE$83,Cuision!$G:$P,9,FALSE),VLOOKUP(AE$83,Cuision!$G:$P,10,FALSE)))</f>
        <v>1650.6264556329184</v>
      </c>
      <c r="AF106" s="33">
        <f>IF($A106=AF$83, 0, distance(VLOOKUP($A106,Cuision!$G:$P,9,FALSE),VLOOKUP($A106,Cuision!$G:$P,10,FALSE),VLOOKUP(AF$83,Cuision!$G:$P,9,FALSE),VLOOKUP(AF$83,Cuision!$G:$P,10,FALSE)))</f>
        <v>653.47387203501921</v>
      </c>
      <c r="AG106" s="33">
        <f>IF($A106=AG$83, 0, distance(VLOOKUP($A106,Cuision!$G:$P,9,FALSE),VLOOKUP($A106,Cuision!$G:$P,10,FALSE),VLOOKUP(AG$83,Cuision!$G:$P,9,FALSE),VLOOKUP(AG$83,Cuision!$G:$P,10,FALSE)))</f>
        <v>1161.242928171687</v>
      </c>
      <c r="AH106" s="33">
        <f>IF($A106=AH$83, 0, distance(VLOOKUP($A106,Cuision!$G:$P,9,FALSE),VLOOKUP($A106,Cuision!$G:$P,10,FALSE),VLOOKUP(AH$83,Cuision!$G:$P,9,FALSE),VLOOKUP(AH$83,Cuision!$G:$P,10,FALSE)))</f>
        <v>-1</v>
      </c>
      <c r="AI106" s="33">
        <f>IF($A106=AI$83, 0, distance(VLOOKUP($A106,Cuision!$G:$P,9,FALSE),VLOOKUP($A106,Cuision!$G:$P,10,FALSE),VLOOKUP(AI$83,Cuision!$G:$P,9,FALSE),VLOOKUP(AI$83,Cuision!$G:$P,10,FALSE)))</f>
        <v>1471.7769895082415</v>
      </c>
      <c r="AJ106" s="33">
        <f>IF($A106=AJ$83, 0, distance(VLOOKUP($A106,Cuision!$G:$P,9,FALSE),VLOOKUP($A106,Cuision!$G:$P,10,FALSE),VLOOKUP(AJ$83,Cuision!$G:$P,9,FALSE),VLOOKUP(AJ$83,Cuision!$G:$P,10,FALSE)))</f>
        <v>2699.2022856792228</v>
      </c>
      <c r="AK106" s="33">
        <f>IF($A106=AK$83, 0, distance(VLOOKUP($A106,Cuision!$G:$P,9,FALSE),VLOOKUP($A106,Cuision!$G:$P,10,FALSE),VLOOKUP(AK$83,Cuision!$G:$P,9,FALSE),VLOOKUP(AK$83,Cuision!$G:$P,10,FALSE)))</f>
        <v>7893.5443895767303</v>
      </c>
      <c r="AL106" s="33">
        <f>IF($A106=AL$83, 0, distance(VLOOKUP($A106,Cuision!$G:$P,9,FALSE),VLOOKUP($A106,Cuision!$G:$P,10,FALSE),VLOOKUP(AL$83,Cuision!$G:$P,9,FALSE),VLOOKUP(AL$83,Cuision!$G:$P,10,FALSE)))</f>
        <v>4958.2001222956069</v>
      </c>
      <c r="AM106" s="33">
        <f>IF($A106=AM$83, 0, distance(VLOOKUP($A106,Cuision!$G:$P,9,FALSE),VLOOKUP($A106,Cuision!$G:$P,10,FALSE),VLOOKUP(AM$83,Cuision!$G:$P,9,FALSE),VLOOKUP(AM$83,Cuision!$G:$P,10,FALSE)))</f>
        <v>-1</v>
      </c>
      <c r="AN106" s="33">
        <f>IF($A106=AN$83, 0, distance(VLOOKUP($A106,Cuision!$G:$P,9,FALSE),VLOOKUP($A106,Cuision!$G:$P,10,FALSE),VLOOKUP(AN$83,Cuision!$G:$P,9,FALSE),VLOOKUP(AN$83,Cuision!$G:$P,10,FALSE)))</f>
        <v>1226.3582670805197</v>
      </c>
      <c r="AO106" s="33">
        <f>IF($A106=AO$83, 0, distance(VLOOKUP($A106,Cuision!$G:$P,9,FALSE),VLOOKUP($A106,Cuision!$G:$P,10,FALSE),VLOOKUP(AO$83,Cuision!$G:$P,9,FALSE),VLOOKUP(AO$83,Cuision!$G:$P,10,FALSE)))</f>
        <v>0</v>
      </c>
      <c r="AP106" s="33">
        <f>IF($A106=AP$83, 0, distance(VLOOKUP($A106,Cuision!$G:$P,9,FALSE),VLOOKUP($A106,Cuision!$G:$P,10,FALSE),VLOOKUP(AP$83,Cuision!$G:$P,9,FALSE),VLOOKUP(AP$83,Cuision!$G:$P,10,FALSE)))</f>
        <v>4518.7524609586753</v>
      </c>
      <c r="AQ106" s="33">
        <f>IF($A106=AQ$83, 0, distance(VLOOKUP($A106,Cuision!$G:$P,9,FALSE),VLOOKUP($A106,Cuision!$G:$P,10,FALSE),VLOOKUP(AQ$83,Cuision!$G:$P,9,FALSE),VLOOKUP(AQ$83,Cuision!$G:$P,10,FALSE)))</f>
        <v>7573.7655786686109</v>
      </c>
      <c r="AR106" s="33">
        <f>IF($A106=AR$83, 0, distance(VLOOKUP($A106,Cuision!$G:$P,9,FALSE),VLOOKUP($A106,Cuision!$G:$P,10,FALSE),VLOOKUP(AR$83,Cuision!$G:$P,9,FALSE),VLOOKUP(AR$83,Cuision!$G:$P,10,FALSE)))</f>
        <v>784.90553114647901</v>
      </c>
      <c r="AS106" s="33">
        <f>IF($A106=AS$83, 0, distance(VLOOKUP($A106,Cuision!$G:$P,9,FALSE),VLOOKUP($A106,Cuision!$G:$P,10,FALSE),VLOOKUP(AS$83,Cuision!$G:$P,9,FALSE),VLOOKUP(AS$83,Cuision!$G:$P,10,FALSE)))</f>
        <v>846.50716821574338</v>
      </c>
      <c r="AT106" s="33">
        <f>IF($A106=AT$83, 0, distance(VLOOKUP($A106,Cuision!$G:$P,9,FALSE),VLOOKUP($A106,Cuision!$G:$P,10,FALSE),VLOOKUP(AT$83,Cuision!$G:$P,9,FALSE),VLOOKUP(AT$83,Cuision!$G:$P,10,FALSE)))</f>
        <v>6686.58496596028</v>
      </c>
      <c r="AU106" s="33">
        <f>IF($A106=AU$83, 0, distance(VLOOKUP($A106,Cuision!$G:$P,9,FALSE),VLOOKUP($A106,Cuision!$G:$P,10,FALSE),VLOOKUP(AU$83,Cuision!$G:$P,9,FALSE),VLOOKUP(AU$83,Cuision!$G:$P,10,FALSE)))</f>
        <v>6210.1470377376618</v>
      </c>
      <c r="AV106" s="33">
        <f>IF($A106=AV$83, 0, distance(VLOOKUP($A106,Cuision!$G:$P,9,FALSE),VLOOKUP($A106,Cuision!$G:$P,10,FALSE),VLOOKUP(AV$83,Cuision!$G:$P,9,FALSE),VLOOKUP(AV$83,Cuision!$G:$P,10,FALSE)))</f>
        <v>1955.1180843530524</v>
      </c>
      <c r="AW106" s="33">
        <f>IF($A106=AW$83, 0, distance(VLOOKUP($A106,Cuision!$G:$P,9,FALSE),VLOOKUP($A106,Cuision!$G:$P,10,FALSE),VLOOKUP(AW$83,Cuision!$G:$P,9,FALSE),VLOOKUP(AW$83,Cuision!$G:$P,10,FALSE)))</f>
        <v>6230.8157181243596</v>
      </c>
      <c r="AX106" s="33">
        <f>IF($A106=AX$83, 0, distance(VLOOKUP($A106,Cuision!$G:$P,9,FALSE),VLOOKUP($A106,Cuision!$G:$P,10,FALSE),VLOOKUP(AX$83,Cuision!$G:$P,9,FALSE),VLOOKUP(AX$83,Cuision!$G:$P,10,FALSE)))</f>
        <v>4776.4501453331732</v>
      </c>
      <c r="AY106" s="33">
        <f>IF($A106=AY$83, 0, distance(VLOOKUP($A106,Cuision!$G:$P,9,FALSE),VLOOKUP($A106,Cuision!$G:$P,10,FALSE),VLOOKUP(AY$83,Cuision!$G:$P,9,FALSE),VLOOKUP(AY$83,Cuision!$G:$P,10,FALSE)))</f>
        <v>-1</v>
      </c>
      <c r="AZ106" s="33">
        <f>IF($A106=AZ$83, 0, distance(VLOOKUP($A106,Cuision!$G:$P,9,FALSE),VLOOKUP($A106,Cuision!$G:$P,10,FALSE),VLOOKUP(AZ$83,Cuision!$G:$P,9,FALSE),VLOOKUP(AZ$83,Cuision!$G:$P,10,FALSE)))</f>
        <v>6879.1758972891921</v>
      </c>
      <c r="BA106" s="33">
        <f>IF($A106=BA$83, 0, distance(VLOOKUP($A106,Cuision!$G:$P,9,FALSE),VLOOKUP($A106,Cuision!$G:$P,10,FALSE),VLOOKUP(BA$83,Cuision!$G:$P,9,FALSE),VLOOKUP(BA$83,Cuision!$G:$P,10,FALSE)))</f>
        <v>1255.4025489877538</v>
      </c>
      <c r="BB106" s="33">
        <f>IF($A106=BB$83, 0, distance(VLOOKUP($A106,Cuision!$G:$P,9,FALSE),VLOOKUP($A106,Cuision!$G:$P,10,FALSE),VLOOKUP(BB$83,Cuision!$G:$P,9,FALSE),VLOOKUP(BB$83,Cuision!$G:$P,10,FALSE)))</f>
        <v>5631.0767659003504</v>
      </c>
      <c r="BC106" s="33">
        <f>IF($A106=BC$83, 0, distance(VLOOKUP($A106,Cuision!$G:$P,9,FALSE),VLOOKUP($A106,Cuision!$G:$P,10,FALSE),VLOOKUP(BC$83,Cuision!$G:$P,9,FALSE),VLOOKUP(BC$83,Cuision!$G:$P,10,FALSE)))</f>
        <v>2699.2022856792228</v>
      </c>
      <c r="BD106" s="33">
        <f>IF($A106=BD$83, 0, distance(VLOOKUP($A106,Cuision!$G:$P,9,FALSE),VLOOKUP($A106,Cuision!$G:$P,10,FALSE),VLOOKUP(BD$83,Cuision!$G:$P,9,FALSE),VLOOKUP(BD$83,Cuision!$G:$P,10,FALSE)))</f>
        <v>5004.5552194452966</v>
      </c>
      <c r="BE106" s="33">
        <f>IF($A106=BE$83, 0, distance(VLOOKUP($A106,Cuision!$G:$P,9,FALSE),VLOOKUP($A106,Cuision!$G:$P,10,FALSE),VLOOKUP(BE$83,Cuision!$G:$P,9,FALSE),VLOOKUP(BE$83,Cuision!$G:$P,10,FALSE)))</f>
        <v>475.0815349941451</v>
      </c>
      <c r="BF106" s="33">
        <f>IF($A106=BF$83, 0, distance(VLOOKUP($A106,Cuision!$G:$P,9,FALSE),VLOOKUP($A106,Cuision!$G:$P,10,FALSE),VLOOKUP(BF$83,Cuision!$G:$P,9,FALSE),VLOOKUP(BF$83,Cuision!$G:$P,10,FALSE)))</f>
        <v>4121.6564447714727</v>
      </c>
      <c r="BG106" s="33">
        <f>IF($A106=BG$83, 0, distance(VLOOKUP($A106,Cuision!$G:$P,9,FALSE),VLOOKUP($A106,Cuision!$G:$P,10,FALSE),VLOOKUP(BG$83,Cuision!$G:$P,9,FALSE),VLOOKUP(BG$83,Cuision!$G:$P,10,FALSE)))</f>
        <v>2967.9081899632765</v>
      </c>
      <c r="BH106" s="33">
        <f>IF($A106=BH$83, 0, distance(VLOOKUP($A106,Cuision!$G:$P,9,FALSE),VLOOKUP($A106,Cuision!$G:$P,10,FALSE),VLOOKUP(BH$83,Cuision!$G:$P,9,FALSE),VLOOKUP(BH$83,Cuision!$G:$P,10,FALSE)))</f>
        <v>5907.6861597019188</v>
      </c>
      <c r="BI106" s="33">
        <f>IF($A106=BI$83, 0, distance(VLOOKUP($A106,Cuision!$G:$P,9,FALSE),VLOOKUP($A106,Cuision!$G:$P,10,FALSE),VLOOKUP(BI$83,Cuision!$G:$P,9,FALSE),VLOOKUP(BI$83,Cuision!$G:$P,10,FALSE)))</f>
        <v>1422.4027836810858</v>
      </c>
      <c r="BJ106" s="33">
        <f>IF($A106=BJ$83, 0, distance(VLOOKUP($A106,Cuision!$G:$P,9,FALSE),VLOOKUP($A106,Cuision!$G:$P,10,FALSE),VLOOKUP(BJ$83,Cuision!$G:$P,9,FALSE),VLOOKUP(BJ$83,Cuision!$G:$P,10,FALSE)))</f>
        <v>312.06072791659329</v>
      </c>
      <c r="BK106" s="33">
        <f>IF($A106=BK$83, 0, distance(VLOOKUP($A106,Cuision!$G:$P,9,FALSE),VLOOKUP($A106,Cuision!$G:$P,10,FALSE),VLOOKUP(BK$83,Cuision!$G:$P,9,FALSE),VLOOKUP(BK$83,Cuision!$G:$P,10,FALSE)))</f>
        <v>2137.3495652072015</v>
      </c>
      <c r="BL106" s="33">
        <f>IF($A106=BL$83, 0, distance(VLOOKUP($A106,Cuision!$G:$P,9,FALSE),VLOOKUP($A106,Cuision!$G:$P,10,FALSE),VLOOKUP(BL$83,Cuision!$G:$P,9,FALSE),VLOOKUP(BL$83,Cuision!$G:$P,10,FALSE)))</f>
        <v>-1</v>
      </c>
      <c r="BM106" s="33">
        <f>IF($A106=BM$83, 0, distance(VLOOKUP($A106,Cuision!$G:$P,9,FALSE),VLOOKUP($A106,Cuision!$G:$P,10,FALSE),VLOOKUP(BM$83,Cuision!$G:$P,9,FALSE),VLOOKUP(BM$83,Cuision!$G:$P,10,FALSE)))</f>
        <v>-1</v>
      </c>
      <c r="BN106" s="33">
        <f>IF($A106=BN$83, 0, distance(VLOOKUP($A106,Cuision!$G:$P,9,FALSE),VLOOKUP($A106,Cuision!$G:$P,10,FALSE),VLOOKUP(BN$83,Cuision!$G:$P,9,FALSE),VLOOKUP(BN$83,Cuision!$G:$P,10,FALSE)))</f>
        <v>784.90553114647901</v>
      </c>
      <c r="BO106" s="33">
        <f>IF($A106=BO$83, 0, distance(VLOOKUP($A106,Cuision!$G:$P,9,FALSE),VLOOKUP($A106,Cuision!$G:$P,10,FALSE),VLOOKUP(BO$83,Cuision!$G:$P,9,FALSE),VLOOKUP(BO$83,Cuision!$G:$P,10,FALSE)))</f>
        <v>7075.5210885552169</v>
      </c>
      <c r="BP106" s="33">
        <f>IF($A106=BP$83, 0, distance(VLOOKUP($A106,Cuision!$G:$P,9,FALSE),VLOOKUP($A106,Cuision!$G:$P,10,FALSE),VLOOKUP(BP$83,Cuision!$G:$P,9,FALSE),VLOOKUP(BP$83,Cuision!$G:$P,10,FALSE)))</f>
        <v>1154.4275032314604</v>
      </c>
      <c r="BQ106" s="33">
        <f>IF($A106=BQ$83, 0, distance(VLOOKUP($A106,Cuision!$G:$P,9,FALSE),VLOOKUP($A106,Cuision!$G:$P,10,FALSE),VLOOKUP(BQ$83,Cuision!$G:$P,9,FALSE),VLOOKUP(BQ$83,Cuision!$G:$P,10,FALSE)))</f>
        <v>-1</v>
      </c>
      <c r="BR106" s="33">
        <f>IF($A106=BR$83, 0, distance(VLOOKUP($A106,Cuision!$G:$P,9,FALSE),VLOOKUP($A106,Cuision!$G:$P,10,FALSE),VLOOKUP(BR$83,Cuision!$G:$P,9,FALSE),VLOOKUP(BR$83,Cuision!$G:$P,10,FALSE)))</f>
        <v>3783.2693926891457</v>
      </c>
      <c r="BS106" s="33">
        <f>IF($A106=BS$83, 0, distance(VLOOKUP($A106,Cuision!$G:$P,9,FALSE),VLOOKUP($A106,Cuision!$G:$P,10,FALSE),VLOOKUP(BS$83,Cuision!$G:$P,9,FALSE),VLOOKUP(BS$83,Cuision!$G:$P,10,FALSE)))</f>
        <v>5729.4499419733847</v>
      </c>
      <c r="BT106" s="33">
        <f>IF($A106=BT$83, 0, distance(VLOOKUP($A106,Cuision!$G:$P,9,FALSE),VLOOKUP($A106,Cuision!$G:$P,10,FALSE),VLOOKUP(BT$83,Cuision!$G:$P,9,FALSE),VLOOKUP(BT$83,Cuision!$G:$P,10,FALSE)))</f>
        <v>0</v>
      </c>
      <c r="BU106" s="33">
        <f>IF($A106=BU$83, 0, distance(VLOOKUP($A106,Cuision!$G:$P,9,FALSE),VLOOKUP($A106,Cuision!$G:$P,10,FALSE),VLOOKUP(BU$83,Cuision!$G:$P,9,FALSE),VLOOKUP(BU$83,Cuision!$G:$P,10,FALSE)))</f>
        <v>6326.1478377531812</v>
      </c>
      <c r="BV106" s="33">
        <f>IF($A106=BV$83, 0, distance(VLOOKUP($A106,Cuision!$G:$P,9,FALSE),VLOOKUP($A106,Cuision!$G:$P,10,FALSE),VLOOKUP(BV$83,Cuision!$G:$P,9,FALSE),VLOOKUP(BV$83,Cuision!$G:$P,10,FALSE)))</f>
        <v>1916.0002180308409</v>
      </c>
      <c r="BW106" s="33">
        <f>IF($A106=BW$83, 0, distance(VLOOKUP($A106,Cuision!$G:$P,9,FALSE),VLOOKUP($A106,Cuision!$G:$P,10,FALSE),VLOOKUP(BW$83,Cuision!$G:$P,9,FALSE),VLOOKUP(BW$83,Cuision!$G:$P,10,FALSE)))</f>
        <v>1778.1763277923328</v>
      </c>
      <c r="BX106" s="33">
        <f>IF($A106=BX$83, 0, distance(VLOOKUP($A106,Cuision!$G:$P,9,FALSE),VLOOKUP($A106,Cuision!$G:$P,10,FALSE),VLOOKUP(BX$83,Cuision!$G:$P,9,FALSE),VLOOKUP(BX$83,Cuision!$G:$P,10,FALSE)))</f>
        <v>3692.0775607520509</v>
      </c>
      <c r="BY106" s="33">
        <f>IF($A106=BY$83, 0, distance(VLOOKUP($A106,Cuision!$G:$P,9,FALSE),VLOOKUP($A106,Cuision!$G:$P,10,FALSE),VLOOKUP(BY$83,Cuision!$G:$P,9,FALSE),VLOOKUP(BY$83,Cuision!$G:$P,10,FALSE)))</f>
        <v>-1</v>
      </c>
      <c r="BZ106" s="33">
        <f>IF($A106=BZ$83, 0, distance(VLOOKUP($A106,Cuision!$G:$P,9,FALSE),VLOOKUP($A106,Cuision!$G:$P,10,FALSE),VLOOKUP(BZ$83,Cuision!$G:$P,9,FALSE),VLOOKUP(BZ$83,Cuision!$G:$P,10,FALSE)))</f>
        <v>-1</v>
      </c>
      <c r="CA106" s="33">
        <f>IF($A106=CA$83, 0, distance(VLOOKUP($A106,Cuision!$G:$P,9,FALSE),VLOOKUP($A106,Cuision!$G:$P,10,FALSE),VLOOKUP(CA$83,Cuision!$G:$P,9,FALSE),VLOOKUP(CA$83,Cuision!$G:$P,10,FALSE)))</f>
        <v>6238.3511882028179</v>
      </c>
    </row>
    <row r="107" spans="1:79" ht="14.25" x14ac:dyDescent="0.2">
      <c r="A107" s="30" t="s">
        <v>66</v>
      </c>
      <c r="B107" s="33">
        <f>IF($A107=B$83, 0, distance(VLOOKUP($A107,Cuision!$G:$P,9,FALSE),VLOOKUP($A107,Cuision!$G:$P,10,FALSE),VLOOKUP(B$83,Cuision!$G:$P,9,FALSE),VLOOKUP(B$83,Cuision!$G:$P,10,FALSE)))</f>
        <v>2594.5740814390215</v>
      </c>
      <c r="C107" s="33">
        <f>IF($A107=C$83, 0, distance(VLOOKUP($A107,Cuision!$G:$P,9,FALSE),VLOOKUP($A107,Cuision!$G:$P,10,FALSE),VLOOKUP(C$83,Cuision!$G:$P,9,FALSE),VLOOKUP(C$83,Cuision!$G:$P,10,FALSE)))</f>
        <v>6182.6476563965662</v>
      </c>
      <c r="D107" s="33">
        <f>IF($A107=D$83, 0, distance(VLOOKUP($A107,Cuision!$G:$P,9,FALSE),VLOOKUP($A107,Cuision!$G:$P,10,FALSE),VLOOKUP(D$83,Cuision!$G:$P,9,FALSE),VLOOKUP(D$83,Cuision!$G:$P,10,FALSE)))</f>
        <v>6925.3526153099201</v>
      </c>
      <c r="E107" s="33">
        <f>IF($A107=E$83, 0, distance(VLOOKUP($A107,Cuision!$G:$P,9,FALSE),VLOOKUP($A107,Cuision!$G:$P,10,FALSE),VLOOKUP(E$83,Cuision!$G:$P,9,FALSE),VLOOKUP(E$83,Cuision!$G:$P,10,FALSE)))</f>
        <v>6925.3526153099201</v>
      </c>
      <c r="F107" s="33">
        <f>IF($A107=F$83, 0, distance(VLOOKUP($A107,Cuision!$G:$P,9,FALSE),VLOOKUP($A107,Cuision!$G:$P,10,FALSE),VLOOKUP(F$83,Cuision!$G:$P,9,FALSE),VLOOKUP(F$83,Cuision!$G:$P,10,FALSE)))</f>
        <v>4145.2066021845849</v>
      </c>
      <c r="G107" s="33">
        <f>IF($A107=G$83, 0, distance(VLOOKUP($A107,Cuision!$G:$P,9,FALSE),VLOOKUP($A107,Cuision!$G:$P,10,FALSE),VLOOKUP(G$83,Cuision!$G:$P,9,FALSE),VLOOKUP(G$83,Cuision!$G:$P,10,FALSE)))</f>
        <v>11971.123932631619</v>
      </c>
      <c r="H107" s="33">
        <f>IF($A107=H$83, 0, distance(VLOOKUP($A107,Cuision!$G:$P,9,FALSE),VLOOKUP($A107,Cuision!$G:$P,10,FALSE),VLOOKUP(H$83,Cuision!$G:$P,9,FALSE),VLOOKUP(H$83,Cuision!$G:$P,10,FALSE)))</f>
        <v>3689.9649577281907</v>
      </c>
      <c r="I107" s="33">
        <f>IF($A107=I$83, 0, distance(VLOOKUP($A107,Cuision!$G:$P,9,FALSE),VLOOKUP($A107,Cuision!$G:$P,10,FALSE),VLOOKUP(I$83,Cuision!$G:$P,9,FALSE),VLOOKUP(I$83,Cuision!$G:$P,10,FALSE)))</f>
        <v>958.68728598068651</v>
      </c>
      <c r="J107" s="33">
        <f>IF($A107=J$83, 0, distance(VLOOKUP($A107,Cuision!$G:$P,9,FALSE),VLOOKUP($A107,Cuision!$G:$P,10,FALSE),VLOOKUP(J$83,Cuision!$G:$P,9,FALSE),VLOOKUP(J$83,Cuision!$G:$P,10,FALSE)))</f>
        <v>5597.2488794087549</v>
      </c>
      <c r="K107" s="33">
        <f>IF($A107=K$83, 0, distance(VLOOKUP($A107,Cuision!$G:$P,9,FALSE),VLOOKUP($A107,Cuision!$G:$P,10,FALSE),VLOOKUP(K$83,Cuision!$G:$P,9,FALSE),VLOOKUP(K$83,Cuision!$G:$P,10,FALSE)))</f>
        <v>4635.0400867959006</v>
      </c>
      <c r="L107" s="33">
        <f>IF($A107=L$83, 0, distance(VLOOKUP($A107,Cuision!$G:$P,9,FALSE),VLOOKUP($A107,Cuision!$G:$P,10,FALSE),VLOOKUP(L$83,Cuision!$G:$P,9,FALSE),VLOOKUP(L$83,Cuision!$G:$P,10,FALSE)))</f>
        <v>1880.5182585279579</v>
      </c>
      <c r="M107" s="33">
        <f>IF($A107=M$83, 0, distance(VLOOKUP($A107,Cuision!$G:$P,9,FALSE),VLOOKUP($A107,Cuision!$G:$P,10,FALSE),VLOOKUP(M$83,Cuision!$G:$P,9,FALSE),VLOOKUP(M$83,Cuision!$G:$P,10,FALSE)))</f>
        <v>-1</v>
      </c>
      <c r="N107" s="33">
        <f>IF($A107=N$83, 0, distance(VLOOKUP($A107,Cuision!$G:$P,9,FALSE),VLOOKUP($A107,Cuision!$G:$P,10,FALSE),VLOOKUP(N$83,Cuision!$G:$P,9,FALSE),VLOOKUP(N$83,Cuision!$G:$P,10,FALSE)))</f>
        <v>5729.4499419733847</v>
      </c>
      <c r="O107" s="33">
        <f>IF($A107=O$83, 0, distance(VLOOKUP($A107,Cuision!$G:$P,9,FALSE),VLOOKUP($A107,Cuision!$G:$P,10,FALSE),VLOOKUP(O$83,Cuision!$G:$P,9,FALSE),VLOOKUP(O$83,Cuision!$G:$P,10,FALSE)))</f>
        <v>4946.4703786708014</v>
      </c>
      <c r="P107" s="33">
        <f>IF($A107=P$83, 0, distance(VLOOKUP($A107,Cuision!$G:$P,9,FALSE),VLOOKUP($A107,Cuision!$G:$P,10,FALSE),VLOOKUP(P$83,Cuision!$G:$P,9,FALSE),VLOOKUP(P$83,Cuision!$G:$P,10,FALSE)))</f>
        <v>10520.638165397544</v>
      </c>
      <c r="Q107" s="33">
        <f>IF($A107=Q$83, 0, distance(VLOOKUP($A107,Cuision!$G:$P,9,FALSE),VLOOKUP($A107,Cuision!$G:$P,10,FALSE),VLOOKUP(Q$83,Cuision!$G:$P,9,FALSE),VLOOKUP(Q$83,Cuision!$G:$P,10,FALSE)))</f>
        <v>-1</v>
      </c>
      <c r="R107" s="33">
        <f>IF($A107=R$83, 0, distance(VLOOKUP($A107,Cuision!$G:$P,9,FALSE),VLOOKUP($A107,Cuision!$G:$P,10,FALSE),VLOOKUP(R$83,Cuision!$G:$P,9,FALSE),VLOOKUP(R$83,Cuision!$G:$P,10,FALSE)))</f>
        <v>5057.7634483185511</v>
      </c>
      <c r="S107" s="33">
        <f>IF($A107=S$83, 0, distance(VLOOKUP($A107,Cuision!$G:$P,9,FALSE),VLOOKUP($A107,Cuision!$G:$P,10,FALSE),VLOOKUP(S$83,Cuision!$G:$P,9,FALSE),VLOOKUP(S$83,Cuision!$G:$P,10,FALSE)))</f>
        <v>-1</v>
      </c>
      <c r="T107" s="33">
        <f>IF($A107=T$83, 0, distance(VLOOKUP($A107,Cuision!$G:$P,9,FALSE),VLOOKUP($A107,Cuision!$G:$P,10,FALSE),VLOOKUP(T$83,Cuision!$G:$P,9,FALSE),VLOOKUP(T$83,Cuision!$G:$P,10,FALSE)))</f>
        <v>1838.9367806046748</v>
      </c>
      <c r="U107" s="33">
        <f>IF($A107=U$83, 0, distance(VLOOKUP($A107,Cuision!$G:$P,9,FALSE),VLOOKUP($A107,Cuision!$G:$P,10,FALSE),VLOOKUP(U$83,Cuision!$G:$P,9,FALSE),VLOOKUP(U$83,Cuision!$G:$P,10,FALSE)))</f>
        <v>-1</v>
      </c>
      <c r="V107" s="33">
        <f>IF($A107=V$83, 0, distance(VLOOKUP($A107,Cuision!$G:$P,9,FALSE),VLOOKUP($A107,Cuision!$G:$P,10,FALSE),VLOOKUP(V$83,Cuision!$G:$P,9,FALSE),VLOOKUP(V$83,Cuision!$G:$P,10,FALSE)))</f>
        <v>6925.3526153099201</v>
      </c>
      <c r="W107" s="33">
        <f>IF($A107=W$83, 0, distance(VLOOKUP($A107,Cuision!$G:$P,9,FALSE),VLOOKUP($A107,Cuision!$G:$P,10,FALSE),VLOOKUP(W$83,Cuision!$G:$P,9,FALSE),VLOOKUP(W$83,Cuision!$G:$P,10,FALSE)))</f>
        <v>2080.5743743054149</v>
      </c>
      <c r="X107" s="33">
        <f>IF($A107=X$83, 0, distance(VLOOKUP($A107,Cuision!$G:$P,9,FALSE),VLOOKUP($A107,Cuision!$G:$P,10,FALSE),VLOOKUP(X$83,Cuision!$G:$P,9,FALSE),VLOOKUP(X$83,Cuision!$G:$P,10,FALSE)))</f>
        <v>5729.4499419733847</v>
      </c>
      <c r="Y107" s="33">
        <f>IF($A107=Y$83, 0, distance(VLOOKUP($A107,Cuision!$G:$P,9,FALSE),VLOOKUP($A107,Cuision!$G:$P,10,FALSE),VLOOKUP(Y$83,Cuision!$G:$P,9,FALSE),VLOOKUP(Y$83,Cuision!$G:$P,10,FALSE)))</f>
        <v>0</v>
      </c>
      <c r="Z107" s="33">
        <f>IF($A107=Z$83, 0, distance(VLOOKUP($A107,Cuision!$G:$P,9,FALSE),VLOOKUP($A107,Cuision!$G:$P,10,FALSE),VLOOKUP(Z$83,Cuision!$G:$P,9,FALSE),VLOOKUP(Z$83,Cuision!$G:$P,10,FALSE)))</f>
        <v>-1</v>
      </c>
      <c r="AA107" s="33">
        <f>IF($A107=AA$83, 0, distance(VLOOKUP($A107,Cuision!$G:$P,9,FALSE),VLOOKUP($A107,Cuision!$G:$P,10,FALSE),VLOOKUP(AA$83,Cuision!$G:$P,9,FALSE),VLOOKUP(AA$83,Cuision!$G:$P,10,FALSE)))</f>
        <v>7915.6834754802967</v>
      </c>
      <c r="AB107" s="33">
        <f>IF($A107=AB$83, 0, distance(VLOOKUP($A107,Cuision!$G:$P,9,FALSE),VLOOKUP($A107,Cuision!$G:$P,10,FALSE),VLOOKUP(AB$83,Cuision!$G:$P,9,FALSE),VLOOKUP(AB$83,Cuision!$G:$P,10,FALSE)))</f>
        <v>4632.270738846014</v>
      </c>
      <c r="AC107" s="33">
        <f>IF($A107=AC$83, 0, distance(VLOOKUP($A107,Cuision!$G:$P,9,FALSE),VLOOKUP($A107,Cuision!$G:$P,10,FALSE),VLOOKUP(AC$83,Cuision!$G:$P,9,FALSE),VLOOKUP(AC$83,Cuision!$G:$P,10,FALSE)))</f>
        <v>5166.1739021496505</v>
      </c>
      <c r="AD107" s="33">
        <f>IF($A107=AD$83, 0, distance(VLOOKUP($A107,Cuision!$G:$P,9,FALSE),VLOOKUP($A107,Cuision!$G:$P,10,FALSE),VLOOKUP(AD$83,Cuision!$G:$P,9,FALSE),VLOOKUP(AD$83,Cuision!$G:$P,10,FALSE)))</f>
        <v>1770.4881182960353</v>
      </c>
      <c r="AE107" s="33">
        <f>IF($A107=AE$83, 0, distance(VLOOKUP($A107,Cuision!$G:$P,9,FALSE),VLOOKUP($A107,Cuision!$G:$P,10,FALSE),VLOOKUP(AE$83,Cuision!$G:$P,9,FALSE),VLOOKUP(AE$83,Cuision!$G:$P,10,FALSE)))</f>
        <v>4230.5343323383104</v>
      </c>
      <c r="AF107" s="33">
        <f>IF($A107=AF$83, 0, distance(VLOOKUP($A107,Cuision!$G:$P,9,FALSE),VLOOKUP($A107,Cuision!$G:$P,10,FALSE),VLOOKUP(AF$83,Cuision!$G:$P,9,FALSE),VLOOKUP(AF$83,Cuision!$G:$P,10,FALSE)))</f>
        <v>5105.3803948869372</v>
      </c>
      <c r="AG107" s="33">
        <f>IF($A107=AG$83, 0, distance(VLOOKUP($A107,Cuision!$G:$P,9,FALSE),VLOOKUP($A107,Cuision!$G:$P,10,FALSE),VLOOKUP(AG$83,Cuision!$G:$P,9,FALSE),VLOOKUP(AG$83,Cuision!$G:$P,10,FALSE)))</f>
        <v>4570.8191072065283</v>
      </c>
      <c r="AH107" s="33">
        <f>IF($A107=AH$83, 0, distance(VLOOKUP($A107,Cuision!$G:$P,9,FALSE),VLOOKUP($A107,Cuision!$G:$P,10,FALSE),VLOOKUP(AH$83,Cuision!$G:$P,9,FALSE),VLOOKUP(AH$83,Cuision!$G:$P,10,FALSE)))</f>
        <v>-1</v>
      </c>
      <c r="AI107" s="33">
        <f>IF($A107=AI$83, 0, distance(VLOOKUP($A107,Cuision!$G:$P,9,FALSE),VLOOKUP($A107,Cuision!$G:$P,10,FALSE),VLOOKUP(AI$83,Cuision!$G:$P,9,FALSE),VLOOKUP(AI$83,Cuision!$G:$P,10,FALSE)))</f>
        <v>4732.4511398125096</v>
      </c>
      <c r="AJ107" s="33">
        <f>IF($A107=AJ$83, 0, distance(VLOOKUP($A107,Cuision!$G:$P,9,FALSE),VLOOKUP($A107,Cuision!$G:$P,10,FALSE),VLOOKUP(AJ$83,Cuision!$G:$P,9,FALSE),VLOOKUP(AJ$83,Cuision!$G:$P,10,FALSE)))</f>
        <v>4145.2066021845849</v>
      </c>
      <c r="AK107" s="33">
        <f>IF($A107=AK$83, 0, distance(VLOOKUP($A107,Cuision!$G:$P,9,FALSE),VLOOKUP($A107,Cuision!$G:$P,10,FALSE),VLOOKUP(AK$83,Cuision!$G:$P,9,FALSE),VLOOKUP(AK$83,Cuision!$G:$P,10,FALSE)))</f>
        <v>5245.2042244274962</v>
      </c>
      <c r="AL107" s="33">
        <f>IF($A107=AL$83, 0, distance(VLOOKUP($A107,Cuision!$G:$P,9,FALSE),VLOOKUP($A107,Cuision!$G:$P,10,FALSE),VLOOKUP(AL$83,Cuision!$G:$P,9,FALSE),VLOOKUP(AL$83,Cuision!$G:$P,10,FALSE)))</f>
        <v>1960.1784584809275</v>
      </c>
      <c r="AM107" s="33">
        <f>IF($A107=AM$83, 0, distance(VLOOKUP($A107,Cuision!$G:$P,9,FALSE),VLOOKUP($A107,Cuision!$G:$P,10,FALSE),VLOOKUP(AM$83,Cuision!$G:$P,9,FALSE),VLOOKUP(AM$83,Cuision!$G:$P,10,FALSE)))</f>
        <v>-1</v>
      </c>
      <c r="AN107" s="33">
        <f>IF($A107=AN$83, 0, distance(VLOOKUP($A107,Cuision!$G:$P,9,FALSE),VLOOKUP($A107,Cuision!$G:$P,10,FALSE),VLOOKUP(AN$83,Cuision!$G:$P,9,FALSE),VLOOKUP(AN$83,Cuision!$G:$P,10,FALSE)))</f>
        <v>4560.3581609949579</v>
      </c>
      <c r="AO107" s="33">
        <f>IF($A107=AO$83, 0, distance(VLOOKUP($A107,Cuision!$G:$P,9,FALSE),VLOOKUP($A107,Cuision!$G:$P,10,FALSE),VLOOKUP(AO$83,Cuision!$G:$P,9,FALSE),VLOOKUP(AO$83,Cuision!$G:$P,10,FALSE)))</f>
        <v>5729.4499419733847</v>
      </c>
      <c r="AP107" s="33">
        <f>IF($A107=AP$83, 0, distance(VLOOKUP($A107,Cuision!$G:$P,9,FALSE),VLOOKUP($A107,Cuision!$G:$P,10,FALSE),VLOOKUP(AP$83,Cuision!$G:$P,9,FALSE),VLOOKUP(AP$83,Cuision!$G:$P,10,FALSE)))</f>
        <v>2346.7939937671476</v>
      </c>
      <c r="AQ107" s="33">
        <f>IF($A107=AQ$83, 0, distance(VLOOKUP($A107,Cuision!$G:$P,9,FALSE),VLOOKUP($A107,Cuision!$G:$P,10,FALSE),VLOOKUP(AQ$83,Cuision!$G:$P,9,FALSE),VLOOKUP(AQ$83,Cuision!$G:$P,10,FALSE)))</f>
        <v>3244.0686769670197</v>
      </c>
      <c r="AR107" s="33">
        <f>IF($A107=AR$83, 0, distance(VLOOKUP($A107,Cuision!$G:$P,9,FALSE),VLOOKUP($A107,Cuision!$G:$P,10,FALSE),VLOOKUP(AR$83,Cuision!$G:$P,9,FALSE),VLOOKUP(AR$83,Cuision!$G:$P,10,FALSE)))</f>
        <v>5057.7634483185511</v>
      </c>
      <c r="AS107" s="33">
        <f>IF($A107=AS$83, 0, distance(VLOOKUP($A107,Cuision!$G:$P,9,FALSE),VLOOKUP($A107,Cuision!$G:$P,10,FALSE),VLOOKUP(AS$83,Cuision!$G:$P,9,FALSE),VLOOKUP(AS$83,Cuision!$G:$P,10,FALSE)))</f>
        <v>5049.1662087804625</v>
      </c>
      <c r="AT107" s="33">
        <f>IF($A107=AT$83, 0, distance(VLOOKUP($A107,Cuision!$G:$P,9,FALSE),VLOOKUP($A107,Cuision!$G:$P,10,FALSE),VLOOKUP(AT$83,Cuision!$G:$P,9,FALSE),VLOOKUP(AT$83,Cuision!$G:$P,10,FALSE)))</f>
        <v>1300.4197753212788</v>
      </c>
      <c r="AU107" s="33">
        <f>IF($A107=AU$83, 0, distance(VLOOKUP($A107,Cuision!$G:$P,9,FALSE),VLOOKUP($A107,Cuision!$G:$P,10,FALSE),VLOOKUP(AU$83,Cuision!$G:$P,9,FALSE),VLOOKUP(AU$83,Cuision!$G:$P,10,FALSE)))</f>
        <v>592.21437154410091</v>
      </c>
      <c r="AV107" s="33">
        <f>IF($A107=AV$83, 0, distance(VLOOKUP($A107,Cuision!$G:$P,9,FALSE),VLOOKUP($A107,Cuision!$G:$P,10,FALSE),VLOOKUP(AV$83,Cuision!$G:$P,9,FALSE),VLOOKUP(AV$83,Cuision!$G:$P,10,FALSE)))</f>
        <v>4464.0602932069742</v>
      </c>
      <c r="AW107" s="33">
        <f>IF($A107=AW$83, 0, distance(VLOOKUP($A107,Cuision!$G:$P,9,FALSE),VLOOKUP($A107,Cuision!$G:$P,10,FALSE),VLOOKUP(AW$83,Cuision!$G:$P,9,FALSE),VLOOKUP(AW$83,Cuision!$G:$P,10,FALSE)))</f>
        <v>1725.3156094331791</v>
      </c>
      <c r="AX107" s="33">
        <f>IF($A107=AX$83, 0, distance(VLOOKUP($A107,Cuision!$G:$P,9,FALSE),VLOOKUP($A107,Cuision!$G:$P,10,FALSE),VLOOKUP(AX$83,Cuision!$G:$P,9,FALSE),VLOOKUP(AX$83,Cuision!$G:$P,10,FALSE)))</f>
        <v>9981.6159904222623</v>
      </c>
      <c r="AY107" s="33">
        <f>IF($A107=AY$83, 0, distance(VLOOKUP($A107,Cuision!$G:$P,9,FALSE),VLOOKUP($A107,Cuision!$G:$P,10,FALSE),VLOOKUP(AY$83,Cuision!$G:$P,9,FALSE),VLOOKUP(AY$83,Cuision!$G:$P,10,FALSE)))</f>
        <v>-1</v>
      </c>
      <c r="AZ107" s="33">
        <f>IF($A107=AZ$83, 0, distance(VLOOKUP($A107,Cuision!$G:$P,9,FALSE),VLOOKUP($A107,Cuision!$G:$P,10,FALSE),VLOOKUP(AZ$83,Cuision!$G:$P,9,FALSE),VLOOKUP(AZ$83,Cuision!$G:$P,10,FALSE)))</f>
        <v>2702.0786792225776</v>
      </c>
      <c r="BA107" s="33">
        <f>IF($A107=BA$83, 0, distance(VLOOKUP($A107,Cuision!$G:$P,9,FALSE),VLOOKUP($A107,Cuision!$G:$P,10,FALSE),VLOOKUP(BA$83,Cuision!$G:$P,9,FALSE),VLOOKUP(BA$83,Cuision!$G:$P,10,FALSE)))</f>
        <v>5127.12299040575</v>
      </c>
      <c r="BB107" s="33">
        <f>IF($A107=BB$83, 0, distance(VLOOKUP($A107,Cuision!$G:$P,9,FALSE),VLOOKUP($A107,Cuision!$G:$P,10,FALSE),VLOOKUP(BB$83,Cuision!$G:$P,9,FALSE),VLOOKUP(BB$83,Cuision!$G:$P,10,FALSE)))</f>
        <v>7740.8679962902615</v>
      </c>
      <c r="BC107" s="33">
        <f>IF($A107=BC$83, 0, distance(VLOOKUP($A107,Cuision!$G:$P,9,FALSE),VLOOKUP($A107,Cuision!$G:$P,10,FALSE),VLOOKUP(BC$83,Cuision!$G:$P,9,FALSE),VLOOKUP(BC$83,Cuision!$G:$P,10,FALSE)))</f>
        <v>4145.2066021845849</v>
      </c>
      <c r="BD107" s="33">
        <f>IF($A107=BD$83, 0, distance(VLOOKUP($A107,Cuision!$G:$P,9,FALSE),VLOOKUP($A107,Cuision!$G:$P,10,FALSE),VLOOKUP(BD$83,Cuision!$G:$P,9,FALSE),VLOOKUP(BD$83,Cuision!$G:$P,10,FALSE)))</f>
        <v>726.91624570839917</v>
      </c>
      <c r="BE107" s="33">
        <f>IF($A107=BE$83, 0, distance(VLOOKUP($A107,Cuision!$G:$P,9,FALSE),VLOOKUP($A107,Cuision!$G:$P,10,FALSE),VLOOKUP(BE$83,Cuision!$G:$P,9,FALSE),VLOOKUP(BE$83,Cuision!$G:$P,10,FALSE)))</f>
        <v>6176.8506995570151</v>
      </c>
      <c r="BF107" s="33">
        <f>IF($A107=BF$83, 0, distance(VLOOKUP($A107,Cuision!$G:$P,9,FALSE),VLOOKUP($A107,Cuision!$G:$P,10,FALSE),VLOOKUP(BF$83,Cuision!$G:$P,9,FALSE),VLOOKUP(BF$83,Cuision!$G:$P,10,FALSE)))</f>
        <v>2412.0900397401579</v>
      </c>
      <c r="BG107" s="33">
        <f>IF($A107=BG$83, 0, distance(VLOOKUP($A107,Cuision!$G:$P,9,FALSE),VLOOKUP($A107,Cuision!$G:$P,10,FALSE),VLOOKUP(BG$83,Cuision!$G:$P,9,FALSE),VLOOKUP(BG$83,Cuision!$G:$P,10,FALSE)))</f>
        <v>3480.2899702519962</v>
      </c>
      <c r="BH107" s="33">
        <f>IF($A107=BH$83, 0, distance(VLOOKUP($A107,Cuision!$G:$P,9,FALSE),VLOOKUP($A107,Cuision!$G:$P,10,FALSE),VLOOKUP(BH$83,Cuision!$G:$P,9,FALSE),VLOOKUP(BH$83,Cuision!$G:$P,10,FALSE)))</f>
        <v>10343.564435599781</v>
      </c>
      <c r="BI107" s="33">
        <f>IF($A107=BI$83, 0, distance(VLOOKUP($A107,Cuision!$G:$P,9,FALSE),VLOOKUP($A107,Cuision!$G:$P,10,FALSE),VLOOKUP(BI$83,Cuision!$G:$P,9,FALSE),VLOOKUP(BI$83,Cuision!$G:$P,10,FALSE)))</f>
        <v>4312.429239981142</v>
      </c>
      <c r="BJ107" s="33">
        <f>IF($A107=BJ$83, 0, distance(VLOOKUP($A107,Cuision!$G:$P,9,FALSE),VLOOKUP($A107,Cuision!$G:$P,10,FALSE),VLOOKUP(BJ$83,Cuision!$G:$P,9,FALSE),VLOOKUP(BJ$83,Cuision!$G:$P,10,FALSE)))</f>
        <v>6006.0762107798828</v>
      </c>
      <c r="BK107" s="33">
        <f>IF($A107=BK$83, 0, distance(VLOOKUP($A107,Cuision!$G:$P,9,FALSE),VLOOKUP($A107,Cuision!$G:$P,10,FALSE),VLOOKUP(BK$83,Cuision!$G:$P,9,FALSE),VLOOKUP(BK$83,Cuision!$G:$P,10,FALSE)))</f>
        <v>3599.3873254582618</v>
      </c>
      <c r="BL107" s="33">
        <f>IF($A107=BL$83, 0, distance(VLOOKUP($A107,Cuision!$G:$P,9,FALSE),VLOOKUP($A107,Cuision!$G:$P,10,FALSE),VLOOKUP(BL$83,Cuision!$G:$P,9,FALSE),VLOOKUP(BL$83,Cuision!$G:$P,10,FALSE)))</f>
        <v>-1</v>
      </c>
      <c r="BM107" s="33">
        <f>IF($A107=BM$83, 0, distance(VLOOKUP($A107,Cuision!$G:$P,9,FALSE),VLOOKUP($A107,Cuision!$G:$P,10,FALSE),VLOOKUP(BM$83,Cuision!$G:$P,9,FALSE),VLOOKUP(BM$83,Cuision!$G:$P,10,FALSE)))</f>
        <v>-1</v>
      </c>
      <c r="BN107" s="33">
        <f>IF($A107=BN$83, 0, distance(VLOOKUP($A107,Cuision!$G:$P,9,FALSE),VLOOKUP($A107,Cuision!$G:$P,10,FALSE),VLOOKUP(BN$83,Cuision!$G:$P,9,FALSE),VLOOKUP(BN$83,Cuision!$G:$P,10,FALSE)))</f>
        <v>5057.7634483185511</v>
      </c>
      <c r="BO107" s="33">
        <f>IF($A107=BO$83, 0, distance(VLOOKUP($A107,Cuision!$G:$P,9,FALSE),VLOOKUP($A107,Cuision!$G:$P,10,FALSE),VLOOKUP(BO$83,Cuision!$G:$P,9,FALSE),VLOOKUP(BO$83,Cuision!$G:$P,10,FALSE)))</f>
        <v>2782.4195090708558</v>
      </c>
      <c r="BP107" s="33">
        <f>IF($A107=BP$83, 0, distance(VLOOKUP($A107,Cuision!$G:$P,9,FALSE),VLOOKUP($A107,Cuision!$G:$P,10,FALSE),VLOOKUP(BP$83,Cuision!$G:$P,9,FALSE),VLOOKUP(BP$83,Cuision!$G:$P,10,FALSE)))</f>
        <v>4609.3749906343519</v>
      </c>
      <c r="BQ107" s="33">
        <f>IF($A107=BQ$83, 0, distance(VLOOKUP($A107,Cuision!$G:$P,9,FALSE),VLOOKUP($A107,Cuision!$G:$P,10,FALSE),VLOOKUP(BQ$83,Cuision!$G:$P,9,FALSE),VLOOKUP(BQ$83,Cuision!$G:$P,10,FALSE)))</f>
        <v>-1</v>
      </c>
      <c r="BR107" s="33">
        <f>IF($A107=BR$83, 0, distance(VLOOKUP($A107,Cuision!$G:$P,9,FALSE),VLOOKUP($A107,Cuision!$G:$P,10,FALSE),VLOOKUP(BR$83,Cuision!$G:$P,9,FALSE),VLOOKUP(BR$83,Cuision!$G:$P,10,FALSE)))</f>
        <v>6925.3526153099201</v>
      </c>
      <c r="BS107" s="33">
        <f>IF($A107=BS$83, 0, distance(VLOOKUP($A107,Cuision!$G:$P,9,FALSE),VLOOKUP($A107,Cuision!$G:$P,10,FALSE),VLOOKUP(BS$83,Cuision!$G:$P,9,FALSE),VLOOKUP(BS$83,Cuision!$G:$P,10,FALSE)))</f>
        <v>0</v>
      </c>
      <c r="BT107" s="33">
        <f>IF($A107=BT$83, 0, distance(VLOOKUP($A107,Cuision!$G:$P,9,FALSE),VLOOKUP($A107,Cuision!$G:$P,10,FALSE),VLOOKUP(BT$83,Cuision!$G:$P,9,FALSE),VLOOKUP(BT$83,Cuision!$G:$P,10,FALSE)))</f>
        <v>5729.4499419733847</v>
      </c>
      <c r="BU107" s="33">
        <f>IF($A107=BU$83, 0, distance(VLOOKUP($A107,Cuision!$G:$P,9,FALSE),VLOOKUP($A107,Cuision!$G:$P,10,FALSE),VLOOKUP(BU$83,Cuision!$G:$P,9,FALSE),VLOOKUP(BU$83,Cuision!$G:$P,10,FALSE)))</f>
        <v>2048.5394212998303</v>
      </c>
      <c r="BV107" s="33">
        <f>IF($A107=BV$83, 0, distance(VLOOKUP($A107,Cuision!$G:$P,9,FALSE),VLOOKUP($A107,Cuision!$G:$P,10,FALSE),VLOOKUP(BV$83,Cuision!$G:$P,9,FALSE),VLOOKUP(BV$83,Cuision!$G:$P,10,FALSE)))</f>
        <v>4246.1418969628439</v>
      </c>
      <c r="BW107" s="33">
        <f>IF($A107=BW$83, 0, distance(VLOOKUP($A107,Cuision!$G:$P,9,FALSE),VLOOKUP($A107,Cuision!$G:$P,10,FALSE),VLOOKUP(BW$83,Cuision!$G:$P,9,FALSE),VLOOKUP(BW$83,Cuision!$G:$P,10,FALSE)))</f>
        <v>4007.7940359549493</v>
      </c>
      <c r="BX107" s="33">
        <f>IF($A107=BX$83, 0, distance(VLOOKUP($A107,Cuision!$G:$P,9,FALSE),VLOOKUP($A107,Cuision!$G:$P,10,FALSE),VLOOKUP(BX$83,Cuision!$G:$P,9,FALSE),VLOOKUP(BX$83,Cuision!$G:$P,10,FALSE)))</f>
        <v>2446.4417241607243</v>
      </c>
      <c r="BY107" s="33">
        <f>IF($A107=BY$83, 0, distance(VLOOKUP($A107,Cuision!$G:$P,9,FALSE),VLOOKUP($A107,Cuision!$G:$P,10,FALSE),VLOOKUP(BY$83,Cuision!$G:$P,9,FALSE),VLOOKUP(BY$83,Cuision!$G:$P,10,FALSE)))</f>
        <v>-1</v>
      </c>
      <c r="BZ107" s="33">
        <f>IF($A107=BZ$83, 0, distance(VLOOKUP($A107,Cuision!$G:$P,9,FALSE),VLOOKUP($A107,Cuision!$G:$P,10,FALSE),VLOOKUP(BZ$83,Cuision!$G:$P,9,FALSE),VLOOKUP(BZ$83,Cuision!$G:$P,10,FALSE)))</f>
        <v>-1</v>
      </c>
      <c r="CA107" s="33">
        <f>IF($A107=CA$83, 0, distance(VLOOKUP($A107,Cuision!$G:$P,9,FALSE),VLOOKUP($A107,Cuision!$G:$P,10,FALSE),VLOOKUP(CA$83,Cuision!$G:$P,9,FALSE),VLOOKUP(CA$83,Cuision!$G:$P,10,FALSE)))</f>
        <v>1446.079828612139</v>
      </c>
    </row>
    <row r="108" spans="1:79" ht="14.25" x14ac:dyDescent="0.2">
      <c r="A108" s="30" t="s">
        <v>69</v>
      </c>
      <c r="B108" s="33">
        <f>IF($A108=B$83, 0, distance(VLOOKUP($A108,Cuision!$G:$P,9,FALSE),VLOOKUP($A108,Cuision!$G:$P,10,FALSE),VLOOKUP(B$83,Cuision!$G:$P,9,FALSE),VLOOKUP(B$83,Cuision!$G:$P,10,FALSE)))</f>
        <v>-1</v>
      </c>
      <c r="C108" s="33">
        <f>IF($A108=C$83, 0, distance(VLOOKUP($A108,Cuision!$G:$P,9,FALSE),VLOOKUP($A108,Cuision!$G:$P,10,FALSE),VLOOKUP(C$83,Cuision!$G:$P,9,FALSE),VLOOKUP(C$83,Cuision!$G:$P,10,FALSE)))</f>
        <v>-1</v>
      </c>
      <c r="D108" s="33">
        <f>IF($A108=D$83, 0, distance(VLOOKUP($A108,Cuision!$G:$P,9,FALSE),VLOOKUP($A108,Cuision!$G:$P,10,FALSE),VLOOKUP(D$83,Cuision!$G:$P,9,FALSE),VLOOKUP(D$83,Cuision!$G:$P,10,FALSE)))</f>
        <v>-1</v>
      </c>
      <c r="E108" s="33">
        <f>IF($A108=E$83, 0, distance(VLOOKUP($A108,Cuision!$G:$P,9,FALSE),VLOOKUP($A108,Cuision!$G:$P,10,FALSE),VLOOKUP(E$83,Cuision!$G:$P,9,FALSE),VLOOKUP(E$83,Cuision!$G:$P,10,FALSE)))</f>
        <v>-1</v>
      </c>
      <c r="F108" s="33">
        <f>IF($A108=F$83, 0, distance(VLOOKUP($A108,Cuision!$G:$P,9,FALSE),VLOOKUP($A108,Cuision!$G:$P,10,FALSE),VLOOKUP(F$83,Cuision!$G:$P,9,FALSE),VLOOKUP(F$83,Cuision!$G:$P,10,FALSE)))</f>
        <v>-1</v>
      </c>
      <c r="G108" s="33">
        <f>IF($A108=G$83, 0, distance(VLOOKUP($A108,Cuision!$G:$P,9,FALSE),VLOOKUP($A108,Cuision!$G:$P,10,FALSE),VLOOKUP(G$83,Cuision!$G:$P,9,FALSE),VLOOKUP(G$83,Cuision!$G:$P,10,FALSE)))</f>
        <v>-1</v>
      </c>
      <c r="H108" s="33">
        <f>IF($A108=H$83, 0, distance(VLOOKUP($A108,Cuision!$G:$P,9,FALSE),VLOOKUP($A108,Cuision!$G:$P,10,FALSE),VLOOKUP(H$83,Cuision!$G:$P,9,FALSE),VLOOKUP(H$83,Cuision!$G:$P,10,FALSE)))</f>
        <v>-1</v>
      </c>
      <c r="I108" s="33">
        <f>IF($A108=I$83, 0, distance(VLOOKUP($A108,Cuision!$G:$P,9,FALSE),VLOOKUP($A108,Cuision!$G:$P,10,FALSE),VLOOKUP(I$83,Cuision!$G:$P,9,FALSE),VLOOKUP(I$83,Cuision!$G:$P,10,FALSE)))</f>
        <v>-1</v>
      </c>
      <c r="J108" s="33">
        <f>IF($A108=J$83, 0, distance(VLOOKUP($A108,Cuision!$G:$P,9,FALSE),VLOOKUP($A108,Cuision!$G:$P,10,FALSE),VLOOKUP(J$83,Cuision!$G:$P,9,FALSE),VLOOKUP(J$83,Cuision!$G:$P,10,FALSE)))</f>
        <v>-1</v>
      </c>
      <c r="K108" s="33">
        <f>IF($A108=K$83, 0, distance(VLOOKUP($A108,Cuision!$G:$P,9,FALSE),VLOOKUP($A108,Cuision!$G:$P,10,FALSE),VLOOKUP(K$83,Cuision!$G:$P,9,FALSE),VLOOKUP(K$83,Cuision!$G:$P,10,FALSE)))</f>
        <v>-1</v>
      </c>
      <c r="L108" s="33">
        <f>IF($A108=L$83, 0, distance(VLOOKUP($A108,Cuision!$G:$P,9,FALSE),VLOOKUP($A108,Cuision!$G:$P,10,FALSE),VLOOKUP(L$83,Cuision!$G:$P,9,FALSE),VLOOKUP(L$83,Cuision!$G:$P,10,FALSE)))</f>
        <v>-1</v>
      </c>
      <c r="M108" s="33">
        <f>IF($A108=M$83, 0, distance(VLOOKUP($A108,Cuision!$G:$P,9,FALSE),VLOOKUP($A108,Cuision!$G:$P,10,FALSE),VLOOKUP(M$83,Cuision!$G:$P,9,FALSE),VLOOKUP(M$83,Cuision!$G:$P,10,FALSE)))</f>
        <v>-1</v>
      </c>
      <c r="N108" s="33">
        <f>IF($A108=N$83, 0, distance(VLOOKUP($A108,Cuision!$G:$P,9,FALSE),VLOOKUP($A108,Cuision!$G:$P,10,FALSE),VLOOKUP(N$83,Cuision!$G:$P,9,FALSE),VLOOKUP(N$83,Cuision!$G:$P,10,FALSE)))</f>
        <v>-1</v>
      </c>
      <c r="O108" s="33">
        <f>IF($A108=O$83, 0, distance(VLOOKUP($A108,Cuision!$G:$P,9,FALSE),VLOOKUP($A108,Cuision!$G:$P,10,FALSE),VLOOKUP(O$83,Cuision!$G:$P,9,FALSE),VLOOKUP(O$83,Cuision!$G:$P,10,FALSE)))</f>
        <v>-1</v>
      </c>
      <c r="P108" s="33">
        <f>IF($A108=P$83, 0, distance(VLOOKUP($A108,Cuision!$G:$P,9,FALSE),VLOOKUP($A108,Cuision!$G:$P,10,FALSE),VLOOKUP(P$83,Cuision!$G:$P,9,FALSE),VLOOKUP(P$83,Cuision!$G:$P,10,FALSE)))</f>
        <v>-1</v>
      </c>
      <c r="Q108" s="33">
        <f>IF($A108=Q$83, 0, distance(VLOOKUP($A108,Cuision!$G:$P,9,FALSE),VLOOKUP($A108,Cuision!$G:$P,10,FALSE),VLOOKUP(Q$83,Cuision!$G:$P,9,FALSE),VLOOKUP(Q$83,Cuision!$G:$P,10,FALSE)))</f>
        <v>-1</v>
      </c>
      <c r="R108" s="33">
        <f>IF($A108=R$83, 0, distance(VLOOKUP($A108,Cuision!$G:$P,9,FALSE),VLOOKUP($A108,Cuision!$G:$P,10,FALSE),VLOOKUP(R$83,Cuision!$G:$P,9,FALSE),VLOOKUP(R$83,Cuision!$G:$P,10,FALSE)))</f>
        <v>-1</v>
      </c>
      <c r="S108" s="33">
        <f>IF($A108=S$83, 0, distance(VLOOKUP($A108,Cuision!$G:$P,9,FALSE),VLOOKUP($A108,Cuision!$G:$P,10,FALSE),VLOOKUP(S$83,Cuision!$G:$P,9,FALSE),VLOOKUP(S$83,Cuision!$G:$P,10,FALSE)))</f>
        <v>-1</v>
      </c>
      <c r="T108" s="33">
        <f>IF($A108=T$83, 0, distance(VLOOKUP($A108,Cuision!$G:$P,9,FALSE),VLOOKUP($A108,Cuision!$G:$P,10,FALSE),VLOOKUP(T$83,Cuision!$G:$P,9,FALSE),VLOOKUP(T$83,Cuision!$G:$P,10,FALSE)))</f>
        <v>-1</v>
      </c>
      <c r="U108" s="33">
        <f>IF($A108=U$83, 0, distance(VLOOKUP($A108,Cuision!$G:$P,9,FALSE),VLOOKUP($A108,Cuision!$G:$P,10,FALSE),VLOOKUP(U$83,Cuision!$G:$P,9,FALSE),VLOOKUP(U$83,Cuision!$G:$P,10,FALSE)))</f>
        <v>-1</v>
      </c>
      <c r="V108" s="33">
        <f>IF($A108=V$83, 0, distance(VLOOKUP($A108,Cuision!$G:$P,9,FALSE),VLOOKUP($A108,Cuision!$G:$P,10,FALSE),VLOOKUP(V$83,Cuision!$G:$P,9,FALSE),VLOOKUP(V$83,Cuision!$G:$P,10,FALSE)))</f>
        <v>-1</v>
      </c>
      <c r="W108" s="33">
        <f>IF($A108=W$83, 0, distance(VLOOKUP($A108,Cuision!$G:$P,9,FALSE),VLOOKUP($A108,Cuision!$G:$P,10,FALSE),VLOOKUP(W$83,Cuision!$G:$P,9,FALSE),VLOOKUP(W$83,Cuision!$G:$P,10,FALSE)))</f>
        <v>-1</v>
      </c>
      <c r="X108" s="33">
        <f>IF($A108=X$83, 0, distance(VLOOKUP($A108,Cuision!$G:$P,9,FALSE),VLOOKUP($A108,Cuision!$G:$P,10,FALSE),VLOOKUP(X$83,Cuision!$G:$P,9,FALSE),VLOOKUP(X$83,Cuision!$G:$P,10,FALSE)))</f>
        <v>-1</v>
      </c>
      <c r="Y108" s="33">
        <f>IF($A108=Y$83, 0, distance(VLOOKUP($A108,Cuision!$G:$P,9,FALSE),VLOOKUP($A108,Cuision!$G:$P,10,FALSE),VLOOKUP(Y$83,Cuision!$G:$P,9,FALSE),VLOOKUP(Y$83,Cuision!$G:$P,10,FALSE)))</f>
        <v>-1</v>
      </c>
      <c r="Z108" s="33">
        <f>IF($A108=Z$83, 0, distance(VLOOKUP($A108,Cuision!$G:$P,9,FALSE),VLOOKUP($A108,Cuision!$G:$P,10,FALSE),VLOOKUP(Z$83,Cuision!$G:$P,9,FALSE),VLOOKUP(Z$83,Cuision!$G:$P,10,FALSE)))</f>
        <v>0</v>
      </c>
      <c r="AA108" s="33">
        <f>IF($A108=AA$83, 0, distance(VLOOKUP($A108,Cuision!$G:$P,9,FALSE),VLOOKUP($A108,Cuision!$G:$P,10,FALSE),VLOOKUP(AA$83,Cuision!$G:$P,9,FALSE),VLOOKUP(AA$83,Cuision!$G:$P,10,FALSE)))</f>
        <v>-1</v>
      </c>
      <c r="AB108" s="33">
        <f>IF($A108=AB$83, 0, distance(VLOOKUP($A108,Cuision!$G:$P,9,FALSE),VLOOKUP($A108,Cuision!$G:$P,10,FALSE),VLOOKUP(AB$83,Cuision!$G:$P,9,FALSE),VLOOKUP(AB$83,Cuision!$G:$P,10,FALSE)))</f>
        <v>-1</v>
      </c>
      <c r="AC108" s="33">
        <f>IF($A108=AC$83, 0, distance(VLOOKUP($A108,Cuision!$G:$P,9,FALSE),VLOOKUP($A108,Cuision!$G:$P,10,FALSE),VLOOKUP(AC$83,Cuision!$G:$P,9,FALSE),VLOOKUP(AC$83,Cuision!$G:$P,10,FALSE)))</f>
        <v>-1</v>
      </c>
      <c r="AD108" s="33">
        <f>IF($A108=AD$83, 0, distance(VLOOKUP($A108,Cuision!$G:$P,9,FALSE),VLOOKUP($A108,Cuision!$G:$P,10,FALSE),VLOOKUP(AD$83,Cuision!$G:$P,9,FALSE),VLOOKUP(AD$83,Cuision!$G:$P,10,FALSE)))</f>
        <v>-1</v>
      </c>
      <c r="AE108" s="33">
        <f>IF($A108=AE$83, 0, distance(VLOOKUP($A108,Cuision!$G:$P,9,FALSE),VLOOKUP($A108,Cuision!$G:$P,10,FALSE),VLOOKUP(AE$83,Cuision!$G:$P,9,FALSE),VLOOKUP(AE$83,Cuision!$G:$P,10,FALSE)))</f>
        <v>-1</v>
      </c>
      <c r="AF108" s="33">
        <f>IF($A108=AF$83, 0, distance(VLOOKUP($A108,Cuision!$G:$P,9,FALSE),VLOOKUP($A108,Cuision!$G:$P,10,FALSE),VLOOKUP(AF$83,Cuision!$G:$P,9,FALSE),VLOOKUP(AF$83,Cuision!$G:$P,10,FALSE)))</f>
        <v>-1</v>
      </c>
      <c r="AG108" s="33">
        <f>IF($A108=AG$83, 0, distance(VLOOKUP($A108,Cuision!$G:$P,9,FALSE),VLOOKUP($A108,Cuision!$G:$P,10,FALSE),VLOOKUP(AG$83,Cuision!$G:$P,9,FALSE),VLOOKUP(AG$83,Cuision!$G:$P,10,FALSE)))</f>
        <v>-1</v>
      </c>
      <c r="AH108" s="33">
        <f>IF($A108=AH$83, 0, distance(VLOOKUP($A108,Cuision!$G:$P,9,FALSE),VLOOKUP($A108,Cuision!$G:$P,10,FALSE),VLOOKUP(AH$83,Cuision!$G:$P,9,FALSE),VLOOKUP(AH$83,Cuision!$G:$P,10,FALSE)))</f>
        <v>-1</v>
      </c>
      <c r="AI108" s="33">
        <f>IF($A108=AI$83, 0, distance(VLOOKUP($A108,Cuision!$G:$P,9,FALSE),VLOOKUP($A108,Cuision!$G:$P,10,FALSE),VLOOKUP(AI$83,Cuision!$G:$P,9,FALSE),VLOOKUP(AI$83,Cuision!$G:$P,10,FALSE)))</f>
        <v>-1</v>
      </c>
      <c r="AJ108" s="33">
        <f>IF($A108=AJ$83, 0, distance(VLOOKUP($A108,Cuision!$G:$P,9,FALSE),VLOOKUP($A108,Cuision!$G:$P,10,FALSE),VLOOKUP(AJ$83,Cuision!$G:$P,9,FALSE),VLOOKUP(AJ$83,Cuision!$G:$P,10,FALSE)))</f>
        <v>-1</v>
      </c>
      <c r="AK108" s="33">
        <f>IF($A108=AK$83, 0, distance(VLOOKUP($A108,Cuision!$G:$P,9,FALSE),VLOOKUP($A108,Cuision!$G:$P,10,FALSE),VLOOKUP(AK$83,Cuision!$G:$P,9,FALSE),VLOOKUP(AK$83,Cuision!$G:$P,10,FALSE)))</f>
        <v>-1</v>
      </c>
      <c r="AL108" s="33">
        <f>IF($A108=AL$83, 0, distance(VLOOKUP($A108,Cuision!$G:$P,9,FALSE),VLOOKUP($A108,Cuision!$G:$P,10,FALSE),VLOOKUP(AL$83,Cuision!$G:$P,9,FALSE),VLOOKUP(AL$83,Cuision!$G:$P,10,FALSE)))</f>
        <v>-1</v>
      </c>
      <c r="AM108" s="33">
        <f>IF($A108=AM$83, 0, distance(VLOOKUP($A108,Cuision!$G:$P,9,FALSE),VLOOKUP($A108,Cuision!$G:$P,10,FALSE),VLOOKUP(AM$83,Cuision!$G:$P,9,FALSE),VLOOKUP(AM$83,Cuision!$G:$P,10,FALSE)))</f>
        <v>-1</v>
      </c>
      <c r="AN108" s="33">
        <f>IF($A108=AN$83, 0, distance(VLOOKUP($A108,Cuision!$G:$P,9,FALSE),VLOOKUP($A108,Cuision!$G:$P,10,FALSE),VLOOKUP(AN$83,Cuision!$G:$P,9,FALSE),VLOOKUP(AN$83,Cuision!$G:$P,10,FALSE)))</f>
        <v>-1</v>
      </c>
      <c r="AO108" s="33">
        <f>IF($A108=AO$83, 0, distance(VLOOKUP($A108,Cuision!$G:$P,9,FALSE),VLOOKUP($A108,Cuision!$G:$P,10,FALSE),VLOOKUP(AO$83,Cuision!$G:$P,9,FALSE),VLOOKUP(AO$83,Cuision!$G:$P,10,FALSE)))</f>
        <v>-1</v>
      </c>
      <c r="AP108" s="33">
        <f>IF($A108=AP$83, 0, distance(VLOOKUP($A108,Cuision!$G:$P,9,FALSE),VLOOKUP($A108,Cuision!$G:$P,10,FALSE),VLOOKUP(AP$83,Cuision!$G:$P,9,FALSE),VLOOKUP(AP$83,Cuision!$G:$P,10,FALSE)))</f>
        <v>-1</v>
      </c>
      <c r="AQ108" s="33">
        <f>IF($A108=AQ$83, 0, distance(VLOOKUP($A108,Cuision!$G:$P,9,FALSE),VLOOKUP($A108,Cuision!$G:$P,10,FALSE),VLOOKUP(AQ$83,Cuision!$G:$P,9,FALSE),VLOOKUP(AQ$83,Cuision!$G:$P,10,FALSE)))</f>
        <v>-1</v>
      </c>
      <c r="AR108" s="33">
        <f>IF($A108=AR$83, 0, distance(VLOOKUP($A108,Cuision!$G:$P,9,FALSE),VLOOKUP($A108,Cuision!$G:$P,10,FALSE),VLOOKUP(AR$83,Cuision!$G:$P,9,FALSE),VLOOKUP(AR$83,Cuision!$G:$P,10,FALSE)))</f>
        <v>-1</v>
      </c>
      <c r="AS108" s="33">
        <f>IF($A108=AS$83, 0, distance(VLOOKUP($A108,Cuision!$G:$P,9,FALSE),VLOOKUP($A108,Cuision!$G:$P,10,FALSE),VLOOKUP(AS$83,Cuision!$G:$P,9,FALSE),VLOOKUP(AS$83,Cuision!$G:$P,10,FALSE)))</f>
        <v>-1</v>
      </c>
      <c r="AT108" s="33">
        <f>IF($A108=AT$83, 0, distance(VLOOKUP($A108,Cuision!$G:$P,9,FALSE),VLOOKUP($A108,Cuision!$G:$P,10,FALSE),VLOOKUP(AT$83,Cuision!$G:$P,9,FALSE),VLOOKUP(AT$83,Cuision!$G:$P,10,FALSE)))</f>
        <v>-1</v>
      </c>
      <c r="AU108" s="33">
        <f>IF($A108=AU$83, 0, distance(VLOOKUP($A108,Cuision!$G:$P,9,FALSE),VLOOKUP($A108,Cuision!$G:$P,10,FALSE),VLOOKUP(AU$83,Cuision!$G:$P,9,FALSE),VLOOKUP(AU$83,Cuision!$G:$P,10,FALSE)))</f>
        <v>-1</v>
      </c>
      <c r="AV108" s="33">
        <f>IF($A108=AV$83, 0, distance(VLOOKUP($A108,Cuision!$G:$P,9,FALSE),VLOOKUP($A108,Cuision!$G:$P,10,FALSE),VLOOKUP(AV$83,Cuision!$G:$P,9,FALSE),VLOOKUP(AV$83,Cuision!$G:$P,10,FALSE)))</f>
        <v>-1</v>
      </c>
      <c r="AW108" s="33">
        <f>IF($A108=AW$83, 0, distance(VLOOKUP($A108,Cuision!$G:$P,9,FALSE),VLOOKUP($A108,Cuision!$G:$P,10,FALSE),VLOOKUP(AW$83,Cuision!$G:$P,9,FALSE),VLOOKUP(AW$83,Cuision!$G:$P,10,FALSE)))</f>
        <v>-1</v>
      </c>
      <c r="AX108" s="33">
        <f>IF($A108=AX$83, 0, distance(VLOOKUP($A108,Cuision!$G:$P,9,FALSE),VLOOKUP($A108,Cuision!$G:$P,10,FALSE),VLOOKUP(AX$83,Cuision!$G:$P,9,FALSE),VLOOKUP(AX$83,Cuision!$G:$P,10,FALSE)))</f>
        <v>-1</v>
      </c>
      <c r="AY108" s="33">
        <f>IF($A108=AY$83, 0, distance(VLOOKUP($A108,Cuision!$G:$P,9,FALSE),VLOOKUP($A108,Cuision!$G:$P,10,FALSE),VLOOKUP(AY$83,Cuision!$G:$P,9,FALSE),VLOOKUP(AY$83,Cuision!$G:$P,10,FALSE)))</f>
        <v>-1</v>
      </c>
      <c r="AZ108" s="33">
        <f>IF($A108=AZ$83, 0, distance(VLOOKUP($A108,Cuision!$G:$P,9,FALSE),VLOOKUP($A108,Cuision!$G:$P,10,FALSE),VLOOKUP(AZ$83,Cuision!$G:$P,9,FALSE),VLOOKUP(AZ$83,Cuision!$G:$P,10,FALSE)))</f>
        <v>-1</v>
      </c>
      <c r="BA108" s="33">
        <f>IF($A108=BA$83, 0, distance(VLOOKUP($A108,Cuision!$G:$P,9,FALSE),VLOOKUP($A108,Cuision!$G:$P,10,FALSE),VLOOKUP(BA$83,Cuision!$G:$P,9,FALSE),VLOOKUP(BA$83,Cuision!$G:$P,10,FALSE)))</f>
        <v>-1</v>
      </c>
      <c r="BB108" s="33">
        <f>IF($A108=BB$83, 0, distance(VLOOKUP($A108,Cuision!$G:$P,9,FALSE),VLOOKUP($A108,Cuision!$G:$P,10,FALSE),VLOOKUP(BB$83,Cuision!$G:$P,9,FALSE),VLOOKUP(BB$83,Cuision!$G:$P,10,FALSE)))</f>
        <v>-1</v>
      </c>
      <c r="BC108" s="33">
        <f>IF($A108=BC$83, 0, distance(VLOOKUP($A108,Cuision!$G:$P,9,FALSE),VLOOKUP($A108,Cuision!$G:$P,10,FALSE),VLOOKUP(BC$83,Cuision!$G:$P,9,FALSE),VLOOKUP(BC$83,Cuision!$G:$P,10,FALSE)))</f>
        <v>-1</v>
      </c>
      <c r="BD108" s="33">
        <f>IF($A108=BD$83, 0, distance(VLOOKUP($A108,Cuision!$G:$P,9,FALSE),VLOOKUP($A108,Cuision!$G:$P,10,FALSE),VLOOKUP(BD$83,Cuision!$G:$P,9,FALSE),VLOOKUP(BD$83,Cuision!$G:$P,10,FALSE)))</f>
        <v>-1</v>
      </c>
      <c r="BE108" s="33">
        <f>IF($A108=BE$83, 0, distance(VLOOKUP($A108,Cuision!$G:$P,9,FALSE),VLOOKUP($A108,Cuision!$G:$P,10,FALSE),VLOOKUP(BE$83,Cuision!$G:$P,9,FALSE),VLOOKUP(BE$83,Cuision!$G:$P,10,FALSE)))</f>
        <v>-1</v>
      </c>
      <c r="BF108" s="33">
        <f>IF($A108=BF$83, 0, distance(VLOOKUP($A108,Cuision!$G:$P,9,FALSE),VLOOKUP($A108,Cuision!$G:$P,10,FALSE),VLOOKUP(BF$83,Cuision!$G:$P,9,FALSE),VLOOKUP(BF$83,Cuision!$G:$P,10,FALSE)))</f>
        <v>-1</v>
      </c>
      <c r="BG108" s="33">
        <f>IF($A108=BG$83, 0, distance(VLOOKUP($A108,Cuision!$G:$P,9,FALSE),VLOOKUP($A108,Cuision!$G:$P,10,FALSE),VLOOKUP(BG$83,Cuision!$G:$P,9,FALSE),VLOOKUP(BG$83,Cuision!$G:$P,10,FALSE)))</f>
        <v>-1</v>
      </c>
      <c r="BH108" s="33">
        <f>IF($A108=BH$83, 0, distance(VLOOKUP($A108,Cuision!$G:$P,9,FALSE),VLOOKUP($A108,Cuision!$G:$P,10,FALSE),VLOOKUP(BH$83,Cuision!$G:$P,9,FALSE),VLOOKUP(BH$83,Cuision!$G:$P,10,FALSE)))</f>
        <v>-1</v>
      </c>
      <c r="BI108" s="33">
        <f>IF($A108=BI$83, 0, distance(VLOOKUP($A108,Cuision!$G:$P,9,FALSE),VLOOKUP($A108,Cuision!$G:$P,10,FALSE),VLOOKUP(BI$83,Cuision!$G:$P,9,FALSE),VLOOKUP(BI$83,Cuision!$G:$P,10,FALSE)))</f>
        <v>-1</v>
      </c>
      <c r="BJ108" s="33">
        <f>IF($A108=BJ$83, 0, distance(VLOOKUP($A108,Cuision!$G:$P,9,FALSE),VLOOKUP($A108,Cuision!$G:$P,10,FALSE),VLOOKUP(BJ$83,Cuision!$G:$P,9,FALSE),VLOOKUP(BJ$83,Cuision!$G:$P,10,FALSE)))</f>
        <v>-1</v>
      </c>
      <c r="BK108" s="33">
        <f>IF($A108=BK$83, 0, distance(VLOOKUP($A108,Cuision!$G:$P,9,FALSE),VLOOKUP($A108,Cuision!$G:$P,10,FALSE),VLOOKUP(BK$83,Cuision!$G:$P,9,FALSE),VLOOKUP(BK$83,Cuision!$G:$P,10,FALSE)))</f>
        <v>-1</v>
      </c>
      <c r="BL108" s="33">
        <f>IF($A108=BL$83, 0, distance(VLOOKUP($A108,Cuision!$G:$P,9,FALSE),VLOOKUP($A108,Cuision!$G:$P,10,FALSE),VLOOKUP(BL$83,Cuision!$G:$P,9,FALSE),VLOOKUP(BL$83,Cuision!$G:$P,10,FALSE)))</f>
        <v>-1</v>
      </c>
      <c r="BM108" s="33">
        <f>IF($A108=BM$83, 0, distance(VLOOKUP($A108,Cuision!$G:$P,9,FALSE),VLOOKUP($A108,Cuision!$G:$P,10,FALSE),VLOOKUP(BM$83,Cuision!$G:$P,9,FALSE),VLOOKUP(BM$83,Cuision!$G:$P,10,FALSE)))</f>
        <v>-1</v>
      </c>
      <c r="BN108" s="33">
        <f>IF($A108=BN$83, 0, distance(VLOOKUP($A108,Cuision!$G:$P,9,FALSE),VLOOKUP($A108,Cuision!$G:$P,10,FALSE),VLOOKUP(BN$83,Cuision!$G:$P,9,FALSE),VLOOKUP(BN$83,Cuision!$G:$P,10,FALSE)))</f>
        <v>-1</v>
      </c>
      <c r="BO108" s="33">
        <f>IF($A108=BO$83, 0, distance(VLOOKUP($A108,Cuision!$G:$P,9,FALSE),VLOOKUP($A108,Cuision!$G:$P,10,FALSE),VLOOKUP(BO$83,Cuision!$G:$P,9,FALSE),VLOOKUP(BO$83,Cuision!$G:$P,10,FALSE)))</f>
        <v>-1</v>
      </c>
      <c r="BP108" s="33">
        <f>IF($A108=BP$83, 0, distance(VLOOKUP($A108,Cuision!$G:$P,9,FALSE),VLOOKUP($A108,Cuision!$G:$P,10,FALSE),VLOOKUP(BP$83,Cuision!$G:$P,9,FALSE),VLOOKUP(BP$83,Cuision!$G:$P,10,FALSE)))</f>
        <v>-1</v>
      </c>
      <c r="BQ108" s="33">
        <f>IF($A108=BQ$83, 0, distance(VLOOKUP($A108,Cuision!$G:$P,9,FALSE),VLOOKUP($A108,Cuision!$G:$P,10,FALSE),VLOOKUP(BQ$83,Cuision!$G:$P,9,FALSE),VLOOKUP(BQ$83,Cuision!$G:$P,10,FALSE)))</f>
        <v>-1</v>
      </c>
      <c r="BR108" s="33">
        <f>IF($A108=BR$83, 0, distance(VLOOKUP($A108,Cuision!$G:$P,9,FALSE),VLOOKUP($A108,Cuision!$G:$P,10,FALSE),VLOOKUP(BR$83,Cuision!$G:$P,9,FALSE),VLOOKUP(BR$83,Cuision!$G:$P,10,FALSE)))</f>
        <v>-1</v>
      </c>
      <c r="BS108" s="33">
        <f>IF($A108=BS$83, 0, distance(VLOOKUP($A108,Cuision!$G:$P,9,FALSE),VLOOKUP($A108,Cuision!$G:$P,10,FALSE),VLOOKUP(BS$83,Cuision!$G:$P,9,FALSE),VLOOKUP(BS$83,Cuision!$G:$P,10,FALSE)))</f>
        <v>-1</v>
      </c>
      <c r="BT108" s="33">
        <f>IF($A108=BT$83, 0, distance(VLOOKUP($A108,Cuision!$G:$P,9,FALSE),VLOOKUP($A108,Cuision!$G:$P,10,FALSE),VLOOKUP(BT$83,Cuision!$G:$P,9,FALSE),VLOOKUP(BT$83,Cuision!$G:$P,10,FALSE)))</f>
        <v>-1</v>
      </c>
      <c r="BU108" s="33">
        <f>IF($A108=BU$83, 0, distance(VLOOKUP($A108,Cuision!$G:$P,9,FALSE),VLOOKUP($A108,Cuision!$G:$P,10,FALSE),VLOOKUP(BU$83,Cuision!$G:$P,9,FALSE),VLOOKUP(BU$83,Cuision!$G:$P,10,FALSE)))</f>
        <v>-1</v>
      </c>
      <c r="BV108" s="33">
        <f>IF($A108=BV$83, 0, distance(VLOOKUP($A108,Cuision!$G:$P,9,FALSE),VLOOKUP($A108,Cuision!$G:$P,10,FALSE),VLOOKUP(BV$83,Cuision!$G:$P,9,FALSE),VLOOKUP(BV$83,Cuision!$G:$P,10,FALSE)))</f>
        <v>-1</v>
      </c>
      <c r="BW108" s="33">
        <f>IF($A108=BW$83, 0, distance(VLOOKUP($A108,Cuision!$G:$P,9,FALSE),VLOOKUP($A108,Cuision!$G:$P,10,FALSE),VLOOKUP(BW$83,Cuision!$G:$P,9,FALSE),VLOOKUP(BW$83,Cuision!$G:$P,10,FALSE)))</f>
        <v>-1</v>
      </c>
      <c r="BX108" s="33">
        <f>IF($A108=BX$83, 0, distance(VLOOKUP($A108,Cuision!$G:$P,9,FALSE),VLOOKUP($A108,Cuision!$G:$P,10,FALSE),VLOOKUP(BX$83,Cuision!$G:$P,9,FALSE),VLOOKUP(BX$83,Cuision!$G:$P,10,FALSE)))</f>
        <v>-1</v>
      </c>
      <c r="BY108" s="33">
        <f>IF($A108=BY$83, 0, distance(VLOOKUP($A108,Cuision!$G:$P,9,FALSE),VLOOKUP($A108,Cuision!$G:$P,10,FALSE),VLOOKUP(BY$83,Cuision!$G:$P,9,FALSE),VLOOKUP(BY$83,Cuision!$G:$P,10,FALSE)))</f>
        <v>-1</v>
      </c>
      <c r="BZ108" s="33">
        <f>IF($A108=BZ$83, 0, distance(VLOOKUP($A108,Cuision!$G:$P,9,FALSE),VLOOKUP($A108,Cuision!$G:$P,10,FALSE),VLOOKUP(BZ$83,Cuision!$G:$P,9,FALSE),VLOOKUP(BZ$83,Cuision!$G:$P,10,FALSE)))</f>
        <v>-1</v>
      </c>
      <c r="CA108" s="33">
        <f>IF($A108=CA$83, 0, distance(VLOOKUP($A108,Cuision!$G:$P,9,FALSE),VLOOKUP($A108,Cuision!$G:$P,10,FALSE),VLOOKUP(CA$83,Cuision!$G:$P,9,FALSE),VLOOKUP(CA$83,Cuision!$G:$P,10,FALSE)))</f>
        <v>-1</v>
      </c>
    </row>
    <row r="109" spans="1:79" ht="14.25" x14ac:dyDescent="0.2">
      <c r="A109" s="30" t="s">
        <v>72</v>
      </c>
      <c r="B109" s="33">
        <f>IF($A109=B$83, 0, distance(VLOOKUP($A109,Cuision!$G:$P,9,FALSE),VLOOKUP($A109,Cuision!$G:$P,10,FALSE),VLOOKUP(B$83,Cuision!$G:$P,9,FALSE),VLOOKUP(B$83,Cuision!$G:$P,10,FALSE)))</f>
        <v>8036.8335168959429</v>
      </c>
      <c r="C109" s="33">
        <f>IF($A109=C$83, 0, distance(VLOOKUP($A109,Cuision!$G:$P,9,FALSE),VLOOKUP($A109,Cuision!$G:$P,10,FALSE),VLOOKUP(C$83,Cuision!$G:$P,9,FALSE),VLOOKUP(C$83,Cuision!$G:$P,10,FALSE)))</f>
        <v>8159.5049661241283</v>
      </c>
      <c r="D109" s="33">
        <f>IF($A109=D$83, 0, distance(VLOOKUP($A109,Cuision!$G:$P,9,FALSE),VLOOKUP($A109,Cuision!$G:$P,10,FALSE),VLOOKUP(D$83,Cuision!$G:$P,9,FALSE),VLOOKUP(D$83,Cuision!$G:$P,10,FALSE)))</f>
        <v>1133.9119070339707</v>
      </c>
      <c r="E109" s="33">
        <f>IF($A109=E$83, 0, distance(VLOOKUP($A109,Cuision!$G:$P,9,FALSE),VLOOKUP($A109,Cuision!$G:$P,10,FALSE),VLOOKUP(E$83,Cuision!$G:$P,9,FALSE),VLOOKUP(E$83,Cuision!$G:$P,10,FALSE)))</f>
        <v>1133.9119070339707</v>
      </c>
      <c r="F109" s="33">
        <f>IF($A109=F$83, 0, distance(VLOOKUP($A109,Cuision!$G:$P,9,FALSE),VLOOKUP($A109,Cuision!$G:$P,10,FALSE),VLOOKUP(F$83,Cuision!$G:$P,9,FALSE),VLOOKUP(F$83,Cuision!$G:$P,10,FALSE)))</f>
        <v>7287.916379619799</v>
      </c>
      <c r="G109" s="33">
        <f>IF($A109=G$83, 0, distance(VLOOKUP($A109,Cuision!$G:$P,9,FALSE),VLOOKUP($A109,Cuision!$G:$P,10,FALSE),VLOOKUP(G$83,Cuision!$G:$P,9,FALSE),VLOOKUP(G$83,Cuision!$G:$P,10,FALSE)))</f>
        <v>4288.7116895334784</v>
      </c>
      <c r="H109" s="33">
        <f>IF($A109=H$83, 0, distance(VLOOKUP($A109,Cuision!$G:$P,9,FALSE),VLOOKUP($A109,Cuision!$G:$P,10,FALSE),VLOOKUP(H$83,Cuision!$G:$P,9,FALSE),VLOOKUP(H$83,Cuision!$G:$P,10,FALSE)))</f>
        <v>6887.5839026734366</v>
      </c>
      <c r="I109" s="33">
        <f>IF($A109=I$83, 0, distance(VLOOKUP($A109,Cuision!$G:$P,9,FALSE),VLOOKUP($A109,Cuision!$G:$P,10,FALSE),VLOOKUP(I$83,Cuision!$G:$P,9,FALSE),VLOOKUP(I$83,Cuision!$G:$P,10,FALSE)))</f>
        <v>8480.8653868021829</v>
      </c>
      <c r="J109" s="33">
        <f>IF($A109=J$83, 0, distance(VLOOKUP($A109,Cuision!$G:$P,9,FALSE),VLOOKUP($A109,Cuision!$G:$P,10,FALSE),VLOOKUP(J$83,Cuision!$G:$P,9,FALSE),VLOOKUP(J$83,Cuision!$G:$P,10,FALSE)))</f>
        <v>9255.0549969853637</v>
      </c>
      <c r="K109" s="33">
        <f>IF($A109=K$83, 0, distance(VLOOKUP($A109,Cuision!$G:$P,9,FALSE),VLOOKUP($A109,Cuision!$G:$P,10,FALSE),VLOOKUP(K$83,Cuision!$G:$P,9,FALSE),VLOOKUP(K$83,Cuision!$G:$P,10,FALSE)))</f>
        <v>5422.4005762980805</v>
      </c>
      <c r="L109" s="33">
        <f>IF($A109=L$83, 0, distance(VLOOKUP($A109,Cuision!$G:$P,9,FALSE),VLOOKUP($A109,Cuision!$G:$P,10,FALSE),VLOOKUP(L$83,Cuision!$G:$P,9,FALSE),VLOOKUP(L$83,Cuision!$G:$P,10,FALSE)))</f>
        <v>9164.0466136797386</v>
      </c>
      <c r="M109" s="33">
        <f>IF($A109=M$83, 0, distance(VLOOKUP($A109,Cuision!$G:$P,9,FALSE),VLOOKUP($A109,Cuision!$G:$P,10,FALSE),VLOOKUP(M$83,Cuision!$G:$P,9,FALSE),VLOOKUP(M$83,Cuision!$G:$P,10,FALSE)))</f>
        <v>-1</v>
      </c>
      <c r="N109" s="33">
        <f>IF($A109=N$83, 0, distance(VLOOKUP($A109,Cuision!$G:$P,9,FALSE),VLOOKUP($A109,Cuision!$G:$P,10,FALSE),VLOOKUP(N$83,Cuision!$G:$P,9,FALSE),VLOOKUP(N$83,Cuision!$G:$P,10,FALSE)))</f>
        <v>4623.0449185729312</v>
      </c>
      <c r="O109" s="33">
        <f>IF($A109=O$83, 0, distance(VLOOKUP($A109,Cuision!$G:$P,9,FALSE),VLOOKUP($A109,Cuision!$G:$P,10,FALSE),VLOOKUP(O$83,Cuision!$G:$P,9,FALSE),VLOOKUP(O$83,Cuision!$G:$P,10,FALSE)))</f>
        <v>4854.2841786112112</v>
      </c>
      <c r="P109" s="33">
        <f>IF($A109=P$83, 0, distance(VLOOKUP($A109,Cuision!$G:$P,9,FALSE),VLOOKUP($A109,Cuision!$G:$P,10,FALSE),VLOOKUP(P$83,Cuision!$G:$P,9,FALSE),VLOOKUP(P$83,Cuision!$G:$P,10,FALSE)))</f>
        <v>3556.0352024441054</v>
      </c>
      <c r="Q109" s="33">
        <f>IF($A109=Q$83, 0, distance(VLOOKUP($A109,Cuision!$G:$P,9,FALSE),VLOOKUP($A109,Cuision!$G:$P,10,FALSE),VLOOKUP(Q$83,Cuision!$G:$P,9,FALSE),VLOOKUP(Q$83,Cuision!$G:$P,10,FALSE)))</f>
        <v>-1</v>
      </c>
      <c r="R109" s="33">
        <f>IF($A109=R$83, 0, distance(VLOOKUP($A109,Cuision!$G:$P,9,FALSE),VLOOKUP($A109,Cuision!$G:$P,10,FALSE),VLOOKUP(R$83,Cuision!$G:$P,9,FALSE),VLOOKUP(R$83,Cuision!$G:$P,10,FALSE)))</f>
        <v>4655.1556265181625</v>
      </c>
      <c r="S109" s="33">
        <f>IF($A109=S$83, 0, distance(VLOOKUP($A109,Cuision!$G:$P,9,FALSE),VLOOKUP($A109,Cuision!$G:$P,10,FALSE),VLOOKUP(S$83,Cuision!$G:$P,9,FALSE),VLOOKUP(S$83,Cuision!$G:$P,10,FALSE)))</f>
        <v>-1</v>
      </c>
      <c r="T109" s="33">
        <f>IF($A109=T$83, 0, distance(VLOOKUP($A109,Cuision!$G:$P,9,FALSE),VLOOKUP($A109,Cuision!$G:$P,10,FALSE),VLOOKUP(T$83,Cuision!$G:$P,9,FALSE),VLOOKUP(T$83,Cuision!$G:$P,10,FALSE)))</f>
        <v>9471.9187136912224</v>
      </c>
      <c r="U109" s="33">
        <f>IF($A109=U$83, 0, distance(VLOOKUP($A109,Cuision!$G:$P,9,FALSE),VLOOKUP($A109,Cuision!$G:$P,10,FALSE),VLOOKUP(U$83,Cuision!$G:$P,9,FALSE),VLOOKUP(U$83,Cuision!$G:$P,10,FALSE)))</f>
        <v>-1</v>
      </c>
      <c r="V109" s="33">
        <f>IF($A109=V$83, 0, distance(VLOOKUP($A109,Cuision!$G:$P,9,FALSE),VLOOKUP($A109,Cuision!$G:$P,10,FALSE),VLOOKUP(V$83,Cuision!$G:$P,9,FALSE),VLOOKUP(V$83,Cuision!$G:$P,10,FALSE)))</f>
        <v>1133.9119070339707</v>
      </c>
      <c r="W109" s="33">
        <f>IF($A109=W$83, 0, distance(VLOOKUP($A109,Cuision!$G:$P,9,FALSE),VLOOKUP($A109,Cuision!$G:$P,10,FALSE),VLOOKUP(W$83,Cuision!$G:$P,9,FALSE),VLOOKUP(W$83,Cuision!$G:$P,10,FALSE)))</f>
        <v>9989.1349925913928</v>
      </c>
      <c r="X109" s="33">
        <f>IF($A109=X$83, 0, distance(VLOOKUP($A109,Cuision!$G:$P,9,FALSE),VLOOKUP($A109,Cuision!$G:$P,10,FALSE),VLOOKUP(X$83,Cuision!$G:$P,9,FALSE),VLOOKUP(X$83,Cuision!$G:$P,10,FALSE)))</f>
        <v>4623.0449185729312</v>
      </c>
      <c r="Y109" s="33">
        <f>IF($A109=Y$83, 0, distance(VLOOKUP($A109,Cuision!$G:$P,9,FALSE),VLOOKUP($A109,Cuision!$G:$P,10,FALSE),VLOOKUP(Y$83,Cuision!$G:$P,9,FALSE),VLOOKUP(Y$83,Cuision!$G:$P,10,FALSE)))</f>
        <v>7915.6834754802967</v>
      </c>
      <c r="Z109" s="33">
        <f>IF($A109=Z$83, 0, distance(VLOOKUP($A109,Cuision!$G:$P,9,FALSE),VLOOKUP($A109,Cuision!$G:$P,10,FALSE),VLOOKUP(Z$83,Cuision!$G:$P,9,FALSE),VLOOKUP(Z$83,Cuision!$G:$P,10,FALSE)))</f>
        <v>-1</v>
      </c>
      <c r="AA109" s="33">
        <f>IF($A109=AA$83, 0, distance(VLOOKUP($A109,Cuision!$G:$P,9,FALSE),VLOOKUP($A109,Cuision!$G:$P,10,FALSE),VLOOKUP(AA$83,Cuision!$G:$P,9,FALSE),VLOOKUP(AA$83,Cuision!$G:$P,10,FALSE)))</f>
        <v>0</v>
      </c>
      <c r="AB109" s="33">
        <f>IF($A109=AB$83, 0, distance(VLOOKUP($A109,Cuision!$G:$P,9,FALSE),VLOOKUP($A109,Cuision!$G:$P,10,FALSE),VLOOKUP(AB$83,Cuision!$G:$P,9,FALSE),VLOOKUP(AB$83,Cuision!$G:$P,10,FALSE)))</f>
        <v>5293.4930305340877</v>
      </c>
      <c r="AC109" s="33">
        <f>IF($A109=AC$83, 0, distance(VLOOKUP($A109,Cuision!$G:$P,9,FALSE),VLOOKUP($A109,Cuision!$G:$P,10,FALSE),VLOOKUP(AC$83,Cuision!$G:$P,9,FALSE),VLOOKUP(AC$83,Cuision!$G:$P,10,FALSE)))</f>
        <v>7881.5602723081884</v>
      </c>
      <c r="AD109" s="33">
        <f>IF($A109=AD$83, 0, distance(VLOOKUP($A109,Cuision!$G:$P,9,FALSE),VLOOKUP($A109,Cuision!$G:$P,10,FALSE),VLOOKUP(AD$83,Cuision!$G:$P,9,FALSE),VLOOKUP(AD$83,Cuision!$G:$P,10,FALSE)))</f>
        <v>9388.3732419440312</v>
      </c>
      <c r="AE109" s="33">
        <f>IF($A109=AE$83, 0, distance(VLOOKUP($A109,Cuision!$G:$P,9,FALSE),VLOOKUP($A109,Cuision!$G:$P,10,FALSE),VLOOKUP(AE$83,Cuision!$G:$P,9,FALSE),VLOOKUP(AE$83,Cuision!$G:$P,10,FALSE)))</f>
        <v>4959.8516727675151</v>
      </c>
      <c r="AF109" s="33">
        <f>IF($A109=AF$83, 0, distance(VLOOKUP($A109,Cuision!$G:$P,9,FALSE),VLOOKUP($A109,Cuision!$G:$P,10,FALSE),VLOOKUP(AF$83,Cuision!$G:$P,9,FALSE),VLOOKUP(AF$83,Cuision!$G:$P,10,FALSE)))</f>
        <v>4796.8416642480242</v>
      </c>
      <c r="AG109" s="33">
        <f>IF($A109=AG$83, 0, distance(VLOOKUP($A109,Cuision!$G:$P,9,FALSE),VLOOKUP($A109,Cuision!$G:$P,10,FALSE),VLOOKUP(AG$83,Cuision!$G:$P,9,FALSE),VLOOKUP(AG$83,Cuision!$G:$P,10,FALSE)))</f>
        <v>5196.2615861698059</v>
      </c>
      <c r="AH109" s="33">
        <f>IF($A109=AH$83, 0, distance(VLOOKUP($A109,Cuision!$G:$P,9,FALSE),VLOOKUP($A109,Cuision!$G:$P,10,FALSE),VLOOKUP(AH$83,Cuision!$G:$P,9,FALSE),VLOOKUP(AH$83,Cuision!$G:$P,10,FALSE)))</f>
        <v>-1</v>
      </c>
      <c r="AI109" s="33">
        <f>IF($A109=AI$83, 0, distance(VLOOKUP($A109,Cuision!$G:$P,9,FALSE),VLOOKUP($A109,Cuision!$G:$P,10,FALSE),VLOOKUP(AI$83,Cuision!$G:$P,9,FALSE),VLOOKUP(AI$83,Cuision!$G:$P,10,FALSE)))</f>
        <v>6056.8641432145232</v>
      </c>
      <c r="AJ109" s="33">
        <f>IF($A109=AJ$83, 0, distance(VLOOKUP($A109,Cuision!$G:$P,9,FALSE),VLOOKUP($A109,Cuision!$G:$P,10,FALSE),VLOOKUP(AJ$83,Cuision!$G:$P,9,FALSE),VLOOKUP(AJ$83,Cuision!$G:$P,10,FALSE)))</f>
        <v>7287.916379619799</v>
      </c>
      <c r="AK109" s="33">
        <f>IF($A109=AK$83, 0, distance(VLOOKUP($A109,Cuision!$G:$P,9,FALSE),VLOOKUP($A109,Cuision!$G:$P,10,FALSE),VLOOKUP(AK$83,Cuision!$G:$P,9,FALSE),VLOOKUP(AK$83,Cuision!$G:$P,10,FALSE)))</f>
        <v>4659.7393464634661</v>
      </c>
      <c r="AL109" s="33">
        <f>IF($A109=AL$83, 0, distance(VLOOKUP($A109,Cuision!$G:$P,9,FALSE),VLOOKUP($A109,Cuision!$G:$P,10,FALSE),VLOOKUP(AL$83,Cuision!$G:$P,9,FALSE),VLOOKUP(AL$83,Cuision!$G:$P,10,FALSE)))</f>
        <v>8829.8342716959705</v>
      </c>
      <c r="AM109" s="33">
        <f>IF($A109=AM$83, 0, distance(VLOOKUP($A109,Cuision!$G:$P,9,FALSE),VLOOKUP($A109,Cuision!$G:$P,10,FALSE),VLOOKUP(AM$83,Cuision!$G:$P,9,FALSE),VLOOKUP(AM$83,Cuision!$G:$P,10,FALSE)))</f>
        <v>-1</v>
      </c>
      <c r="AN109" s="33">
        <f>IF($A109=AN$83, 0, distance(VLOOKUP($A109,Cuision!$G:$P,9,FALSE),VLOOKUP($A109,Cuision!$G:$P,10,FALSE),VLOOKUP(AN$83,Cuision!$G:$P,9,FALSE),VLOOKUP(AN$83,Cuision!$G:$P,10,FALSE)))</f>
        <v>5555.5035237521834</v>
      </c>
      <c r="AO109" s="33">
        <f>IF($A109=AO$83, 0, distance(VLOOKUP($A109,Cuision!$G:$P,9,FALSE),VLOOKUP($A109,Cuision!$G:$P,10,FALSE),VLOOKUP(AO$83,Cuision!$G:$P,9,FALSE),VLOOKUP(AO$83,Cuision!$G:$P,10,FALSE)))</f>
        <v>4623.0449185729312</v>
      </c>
      <c r="AP109" s="33">
        <f>IF($A109=AP$83, 0, distance(VLOOKUP($A109,Cuision!$G:$P,9,FALSE),VLOOKUP($A109,Cuision!$G:$P,10,FALSE),VLOOKUP(AP$83,Cuision!$G:$P,9,FALSE),VLOOKUP(AP$83,Cuision!$G:$P,10,FALSE)))</f>
        <v>8610.3280203072864</v>
      </c>
      <c r="AQ109" s="33">
        <f>IF($A109=AQ$83, 0, distance(VLOOKUP($A109,Cuision!$G:$P,9,FALSE),VLOOKUP($A109,Cuision!$G:$P,10,FALSE),VLOOKUP(AQ$83,Cuision!$G:$P,9,FALSE),VLOOKUP(AQ$83,Cuision!$G:$P,10,FALSE)))</f>
        <v>11115.688518558181</v>
      </c>
      <c r="AR109" s="33">
        <f>IF($A109=AR$83, 0, distance(VLOOKUP($A109,Cuision!$G:$P,9,FALSE),VLOOKUP($A109,Cuision!$G:$P,10,FALSE),VLOOKUP(AR$83,Cuision!$G:$P,9,FALSE),VLOOKUP(AR$83,Cuision!$G:$P,10,FALSE)))</f>
        <v>4655.1556265181625</v>
      </c>
      <c r="AS109" s="33">
        <f>IF($A109=AS$83, 0, distance(VLOOKUP($A109,Cuision!$G:$P,9,FALSE),VLOOKUP($A109,Cuision!$G:$P,10,FALSE),VLOOKUP(AS$83,Cuision!$G:$P,9,FALSE),VLOOKUP(AS$83,Cuision!$G:$P,10,FALSE)))</f>
        <v>5403.6839040149925</v>
      </c>
      <c r="AT109" s="33">
        <f>IF($A109=AT$83, 0, distance(VLOOKUP($A109,Cuision!$G:$P,9,FALSE),VLOOKUP($A109,Cuision!$G:$P,10,FALSE),VLOOKUP(AT$83,Cuision!$G:$P,9,FALSE),VLOOKUP(AT$83,Cuision!$G:$P,10,FALSE)))</f>
        <v>7529.5727866022735</v>
      </c>
      <c r="AU109" s="33">
        <f>IF($A109=AU$83, 0, distance(VLOOKUP($A109,Cuision!$G:$P,9,FALSE),VLOOKUP($A109,Cuision!$G:$P,10,FALSE),VLOOKUP(AU$83,Cuision!$G:$P,9,FALSE),VLOOKUP(AU$83,Cuision!$G:$P,10,FALSE)))</f>
        <v>7828.8231763048007</v>
      </c>
      <c r="AV109" s="33">
        <f>IF($A109=AV$83, 0, distance(VLOOKUP($A109,Cuision!$G:$P,9,FALSE),VLOOKUP($A109,Cuision!$G:$P,10,FALSE),VLOOKUP(AV$83,Cuision!$G:$P,9,FALSE),VLOOKUP(AV$83,Cuision!$G:$P,10,FALSE)))</f>
        <v>6538.0122925826317</v>
      </c>
      <c r="AW109" s="33">
        <f>IF($A109=AW$83, 0, distance(VLOOKUP($A109,Cuision!$G:$P,9,FALSE),VLOOKUP($A109,Cuision!$G:$P,10,FALSE),VLOOKUP(AW$83,Cuision!$G:$P,9,FALSE),VLOOKUP(AW$83,Cuision!$G:$P,10,FALSE)))</f>
        <v>9576.7730460770581</v>
      </c>
      <c r="AX109" s="33">
        <f>IF($A109=AX$83, 0, distance(VLOOKUP($A109,Cuision!$G:$P,9,FALSE),VLOOKUP($A109,Cuision!$G:$P,10,FALSE),VLOOKUP(AX$83,Cuision!$G:$P,9,FALSE),VLOOKUP(AX$83,Cuision!$G:$P,10,FALSE)))</f>
        <v>2375.8977414267388</v>
      </c>
      <c r="AY109" s="33">
        <f>IF($A109=AY$83, 0, distance(VLOOKUP($A109,Cuision!$G:$P,9,FALSE),VLOOKUP($A109,Cuision!$G:$P,10,FALSE),VLOOKUP(AY$83,Cuision!$G:$P,9,FALSE),VLOOKUP(AY$83,Cuision!$G:$P,10,FALSE)))</f>
        <v>-1</v>
      </c>
      <c r="AZ109" s="33">
        <f>IF($A109=AZ$83, 0, distance(VLOOKUP($A109,Cuision!$G:$P,9,FALSE),VLOOKUP($A109,Cuision!$G:$P,10,FALSE),VLOOKUP(AZ$83,Cuision!$G:$P,9,FALSE),VLOOKUP(AZ$83,Cuision!$G:$P,10,FALSE)))</f>
        <v>10600.602823598902</v>
      </c>
      <c r="BA109" s="33">
        <f>IF($A109=BA$83, 0, distance(VLOOKUP($A109,Cuision!$G:$P,9,FALSE),VLOOKUP($A109,Cuision!$G:$P,10,FALSE),VLOOKUP(BA$83,Cuision!$G:$P,9,FALSE),VLOOKUP(BA$83,Cuision!$G:$P,10,FALSE)))</f>
        <v>5878.4091422748625</v>
      </c>
      <c r="BB109" s="33">
        <f>IF($A109=BB$83, 0, distance(VLOOKUP($A109,Cuision!$G:$P,9,FALSE),VLOOKUP($A109,Cuision!$G:$P,10,FALSE),VLOOKUP(BB$83,Cuision!$G:$P,9,FALSE),VLOOKUP(BB$83,Cuision!$G:$P,10,FALSE)))</f>
        <v>1107.477480884914</v>
      </c>
      <c r="BC109" s="33">
        <f>IF($A109=BC$83, 0, distance(VLOOKUP($A109,Cuision!$G:$P,9,FALSE),VLOOKUP($A109,Cuision!$G:$P,10,FALSE),VLOOKUP(BC$83,Cuision!$G:$P,9,FALSE),VLOOKUP(BC$83,Cuision!$G:$P,10,FALSE)))</f>
        <v>7287.916379619799</v>
      </c>
      <c r="BD109" s="33">
        <f>IF($A109=BD$83, 0, distance(VLOOKUP($A109,Cuision!$G:$P,9,FALSE),VLOOKUP($A109,Cuision!$G:$P,10,FALSE),VLOOKUP(BD$83,Cuision!$G:$P,9,FALSE),VLOOKUP(BD$83,Cuision!$G:$P,10,FALSE)))</f>
        <v>7494.4717538843233</v>
      </c>
      <c r="BE109" s="33">
        <f>IF($A109=BE$83, 0, distance(VLOOKUP($A109,Cuision!$G:$P,9,FALSE),VLOOKUP($A109,Cuision!$G:$P,10,FALSE),VLOOKUP(BE$83,Cuision!$G:$P,9,FALSE),VLOOKUP(BE$83,Cuision!$G:$P,10,FALSE)))</f>
        <v>4546.0465721407681</v>
      </c>
      <c r="BF109" s="33">
        <f>IF($A109=BF$83, 0, distance(VLOOKUP($A109,Cuision!$G:$P,9,FALSE),VLOOKUP($A109,Cuision!$G:$P,10,FALSE),VLOOKUP(BF$83,Cuision!$G:$P,9,FALSE),VLOOKUP(BF$83,Cuision!$G:$P,10,FALSE)))</f>
        <v>8188.7860250639169</v>
      </c>
      <c r="BG109" s="33">
        <f>IF($A109=BG$83, 0, distance(VLOOKUP($A109,Cuision!$G:$P,9,FALSE),VLOOKUP($A109,Cuision!$G:$P,10,FALSE),VLOOKUP(BG$83,Cuision!$G:$P,9,FALSE),VLOOKUP(BG$83,Cuision!$G:$P,10,FALSE)))</f>
        <v>7373.6804424504517</v>
      </c>
      <c r="BH109" s="33">
        <f>IF($A109=BH$83, 0, distance(VLOOKUP($A109,Cuision!$G:$P,9,FALSE),VLOOKUP($A109,Cuision!$G:$P,10,FALSE),VLOOKUP(BH$83,Cuision!$G:$P,9,FALSE),VLOOKUP(BH$83,Cuision!$G:$P,10,FALSE)))</f>
        <v>2456.6929830177237</v>
      </c>
      <c r="BI109" s="33">
        <f>IF($A109=BI$83, 0, distance(VLOOKUP($A109,Cuision!$G:$P,9,FALSE),VLOOKUP($A109,Cuision!$G:$P,10,FALSE),VLOOKUP(BI$83,Cuision!$G:$P,9,FALSE),VLOOKUP(BI$83,Cuision!$G:$P,10,FALSE)))</f>
        <v>5501.3502123560629</v>
      </c>
      <c r="BJ109" s="33">
        <f>IF($A109=BJ$83, 0, distance(VLOOKUP($A109,Cuision!$G:$P,9,FALSE),VLOOKUP($A109,Cuision!$G:$P,10,FALSE),VLOOKUP(BJ$83,Cuision!$G:$P,9,FALSE),VLOOKUP(BJ$83,Cuision!$G:$P,10,FALSE)))</f>
        <v>4359.3179587346585</v>
      </c>
      <c r="BK109" s="33">
        <f>IF($A109=BK$83, 0, distance(VLOOKUP($A109,Cuision!$G:$P,9,FALSE),VLOOKUP($A109,Cuision!$G:$P,10,FALSE),VLOOKUP(BK$83,Cuision!$G:$P,9,FALSE),VLOOKUP(BK$83,Cuision!$G:$P,10,FALSE)))</f>
        <v>5956.9711252146253</v>
      </c>
      <c r="BL109" s="33">
        <f>IF($A109=BL$83, 0, distance(VLOOKUP($A109,Cuision!$G:$P,9,FALSE),VLOOKUP($A109,Cuision!$G:$P,10,FALSE),VLOOKUP(BL$83,Cuision!$G:$P,9,FALSE),VLOOKUP(BL$83,Cuision!$G:$P,10,FALSE)))</f>
        <v>-1</v>
      </c>
      <c r="BM109" s="33">
        <f>IF($A109=BM$83, 0, distance(VLOOKUP($A109,Cuision!$G:$P,9,FALSE),VLOOKUP($A109,Cuision!$G:$P,10,FALSE),VLOOKUP(BM$83,Cuision!$G:$P,9,FALSE),VLOOKUP(BM$83,Cuision!$G:$P,10,FALSE)))</f>
        <v>-1</v>
      </c>
      <c r="BN109" s="33">
        <f>IF($A109=BN$83, 0, distance(VLOOKUP($A109,Cuision!$G:$P,9,FALSE),VLOOKUP($A109,Cuision!$G:$P,10,FALSE),VLOOKUP(BN$83,Cuision!$G:$P,9,FALSE),VLOOKUP(BN$83,Cuision!$G:$P,10,FALSE)))</f>
        <v>4655.1556265181625</v>
      </c>
      <c r="BO109" s="33">
        <f>IF($A109=BO$83, 0, distance(VLOOKUP($A109,Cuision!$G:$P,9,FALSE),VLOOKUP($A109,Cuision!$G:$P,10,FALSE),VLOOKUP(BO$83,Cuision!$G:$P,9,FALSE),VLOOKUP(BO$83,Cuision!$G:$P,10,FALSE)))</f>
        <v>10697.762497183669</v>
      </c>
      <c r="BP109" s="33">
        <f>IF($A109=BP$83, 0, distance(VLOOKUP($A109,Cuision!$G:$P,9,FALSE),VLOOKUP($A109,Cuision!$G:$P,10,FALSE),VLOOKUP(BP$83,Cuision!$G:$P,9,FALSE),VLOOKUP(BP$83,Cuision!$G:$P,10,FALSE)))</f>
        <v>5455.5303518061637</v>
      </c>
      <c r="BQ109" s="33">
        <f>IF($A109=BQ$83, 0, distance(VLOOKUP($A109,Cuision!$G:$P,9,FALSE),VLOOKUP($A109,Cuision!$G:$P,10,FALSE),VLOOKUP(BQ$83,Cuision!$G:$P,9,FALSE),VLOOKUP(BQ$83,Cuision!$G:$P,10,FALSE)))</f>
        <v>-1</v>
      </c>
      <c r="BR109" s="33">
        <f>IF($A109=BR$83, 0, distance(VLOOKUP($A109,Cuision!$G:$P,9,FALSE),VLOOKUP($A109,Cuision!$G:$P,10,FALSE),VLOOKUP(BR$83,Cuision!$G:$P,9,FALSE),VLOOKUP(BR$83,Cuision!$G:$P,10,FALSE)))</f>
        <v>1133.9119070339707</v>
      </c>
      <c r="BS109" s="33">
        <f>IF($A109=BS$83, 0, distance(VLOOKUP($A109,Cuision!$G:$P,9,FALSE),VLOOKUP($A109,Cuision!$G:$P,10,FALSE),VLOOKUP(BS$83,Cuision!$G:$P,9,FALSE),VLOOKUP(BS$83,Cuision!$G:$P,10,FALSE)))</f>
        <v>7915.6834754802967</v>
      </c>
      <c r="BT109" s="33">
        <f>IF($A109=BT$83, 0, distance(VLOOKUP($A109,Cuision!$G:$P,9,FALSE),VLOOKUP($A109,Cuision!$G:$P,10,FALSE),VLOOKUP(BT$83,Cuision!$G:$P,9,FALSE),VLOOKUP(BT$83,Cuision!$G:$P,10,FALSE)))</f>
        <v>4623.0449185729312</v>
      </c>
      <c r="BU109" s="33">
        <f>IF($A109=BU$83, 0, distance(VLOOKUP($A109,Cuision!$G:$P,9,FALSE),VLOOKUP($A109,Cuision!$G:$P,10,FALSE),VLOOKUP(BU$83,Cuision!$G:$P,9,FALSE),VLOOKUP(BU$83,Cuision!$G:$P,10,FALSE)))</f>
        <v>9880.7282364133407</v>
      </c>
      <c r="BV109" s="33">
        <f>IF($A109=BV$83, 0, distance(VLOOKUP($A109,Cuision!$G:$P,9,FALSE),VLOOKUP($A109,Cuision!$G:$P,10,FALSE),VLOOKUP(BV$83,Cuision!$G:$P,9,FALSE),VLOOKUP(BV$83,Cuision!$G:$P,10,FALSE)))</f>
        <v>6410.3797015136743</v>
      </c>
      <c r="BW109" s="33">
        <f>IF($A109=BW$83, 0, distance(VLOOKUP($A109,Cuision!$G:$P,9,FALSE),VLOOKUP($A109,Cuision!$G:$P,10,FALSE),VLOOKUP(BW$83,Cuision!$G:$P,9,FALSE),VLOOKUP(BW$83,Cuision!$G:$P,10,FALSE)))</f>
        <v>5920.8000737457614</v>
      </c>
      <c r="BX109" s="33">
        <f>IF($A109=BX$83, 0, distance(VLOOKUP($A109,Cuision!$G:$P,9,FALSE),VLOOKUP($A109,Cuision!$G:$P,10,FALSE),VLOOKUP(BX$83,Cuision!$G:$P,9,FALSE),VLOOKUP(BX$83,Cuision!$G:$P,10,FALSE)))</f>
        <v>7629.5312996834355</v>
      </c>
      <c r="BY109" s="33">
        <f>IF($A109=BY$83, 0, distance(VLOOKUP($A109,Cuision!$G:$P,9,FALSE),VLOOKUP($A109,Cuision!$G:$P,10,FALSE),VLOOKUP(BY$83,Cuision!$G:$P,9,FALSE),VLOOKUP(BY$83,Cuision!$G:$P,10,FALSE)))</f>
        <v>-1</v>
      </c>
      <c r="BZ109" s="33">
        <f>IF($A109=BZ$83, 0, distance(VLOOKUP($A109,Cuision!$G:$P,9,FALSE),VLOOKUP($A109,Cuision!$G:$P,10,FALSE),VLOOKUP(BZ$83,Cuision!$G:$P,9,FALSE),VLOOKUP(BZ$83,Cuision!$G:$P,10,FALSE)))</f>
        <v>-1</v>
      </c>
      <c r="CA109" s="33">
        <f>IF($A109=CA$83, 0, distance(VLOOKUP($A109,Cuision!$G:$P,9,FALSE),VLOOKUP($A109,Cuision!$G:$P,10,FALSE),VLOOKUP(CA$83,Cuision!$G:$P,9,FALSE),VLOOKUP(CA$83,Cuision!$G:$P,10,FALSE)))</f>
        <v>9336.0773324969159</v>
      </c>
    </row>
    <row r="110" spans="1:79" ht="14.25" x14ac:dyDescent="0.2">
      <c r="A110" s="30" t="s">
        <v>74</v>
      </c>
      <c r="B110" s="33">
        <f>IF($A110=B$83, 0, distance(VLOOKUP($A110,Cuision!$G:$P,9,FALSE),VLOOKUP($A110,Cuision!$G:$P,10,FALSE),VLOOKUP(B$83,Cuision!$G:$P,9,FALSE),VLOOKUP(B$83,Cuision!$G:$P,10,FALSE)))</f>
        <v>2921.2317534631065</v>
      </c>
      <c r="C110" s="33">
        <f>IF($A110=C$83, 0, distance(VLOOKUP($A110,Cuision!$G:$P,9,FALSE),VLOOKUP($A110,Cuision!$G:$P,10,FALSE),VLOOKUP(C$83,Cuision!$G:$P,9,FALSE),VLOOKUP(C$83,Cuision!$G:$P,10,FALSE)))</f>
        <v>4243.6238348096449</v>
      </c>
      <c r="D110" s="33">
        <f>IF($A110=D$83, 0, distance(VLOOKUP($A110,Cuision!$G:$P,9,FALSE),VLOOKUP($A110,Cuision!$G:$P,10,FALSE),VLOOKUP(D$83,Cuision!$G:$P,9,FALSE),VLOOKUP(D$83,Cuision!$G:$P,10,FALSE)))</f>
        <v>4285.8768769408171</v>
      </c>
      <c r="E110" s="33">
        <f>IF($A110=E$83, 0, distance(VLOOKUP($A110,Cuision!$G:$P,9,FALSE),VLOOKUP($A110,Cuision!$G:$P,10,FALSE),VLOOKUP(E$83,Cuision!$G:$P,9,FALSE),VLOOKUP(E$83,Cuision!$G:$P,10,FALSE)))</f>
        <v>4285.8768769408171</v>
      </c>
      <c r="F110" s="33">
        <f>IF($A110=F$83, 0, distance(VLOOKUP($A110,Cuision!$G:$P,9,FALSE),VLOOKUP($A110,Cuision!$G:$P,10,FALSE),VLOOKUP(F$83,Cuision!$G:$P,9,FALSE),VLOOKUP(F$83,Cuision!$G:$P,10,FALSE)))</f>
        <v>2050.7521954723848</v>
      </c>
      <c r="G110" s="33">
        <f>IF($A110=G$83, 0, distance(VLOOKUP($A110,Cuision!$G:$P,9,FALSE),VLOOKUP($A110,Cuision!$G:$P,10,FALSE),VLOOKUP(G$83,Cuision!$G:$P,9,FALSE),VLOOKUP(G$83,Cuision!$G:$P,10,FALSE)))</f>
        <v>7339.5745109120608</v>
      </c>
      <c r="H110" s="33">
        <f>IF($A110=H$83, 0, distance(VLOOKUP($A110,Cuision!$G:$P,9,FALSE),VLOOKUP($A110,Cuision!$G:$P,10,FALSE),VLOOKUP(H$83,Cuision!$G:$P,9,FALSE),VLOOKUP(H$83,Cuision!$G:$P,10,FALSE)))</f>
        <v>1604.0299417748781</v>
      </c>
      <c r="I110" s="33">
        <f>IF($A110=I$83, 0, distance(VLOOKUP($A110,Cuision!$G:$P,9,FALSE),VLOOKUP($A110,Cuision!$G:$P,10,FALSE),VLOOKUP(I$83,Cuision!$G:$P,9,FALSE),VLOOKUP(I$83,Cuision!$G:$P,10,FALSE)))</f>
        <v>4304.9619381914426</v>
      </c>
      <c r="J110" s="33">
        <f>IF($A110=J$83, 0, distance(VLOOKUP($A110,Cuision!$G:$P,9,FALSE),VLOOKUP($A110,Cuision!$G:$P,10,FALSE),VLOOKUP(J$83,Cuision!$G:$P,9,FALSE),VLOOKUP(J$83,Cuision!$G:$P,10,FALSE)))</f>
        <v>9965.7095529615617</v>
      </c>
      <c r="K110" s="33">
        <f>IF($A110=K$83, 0, distance(VLOOKUP($A110,Cuision!$G:$P,9,FALSE),VLOOKUP($A110,Cuision!$G:$P,10,FALSE),VLOOKUP(K$83,Cuision!$G:$P,9,FALSE),VLOOKUP(K$83,Cuision!$G:$P,10,FALSE)))</f>
        <v>156.947957727767</v>
      </c>
      <c r="L110" s="33">
        <f>IF($A110=L$83, 0, distance(VLOOKUP($A110,Cuision!$G:$P,9,FALSE),VLOOKUP($A110,Cuision!$G:$P,10,FALSE),VLOOKUP(L$83,Cuision!$G:$P,9,FALSE),VLOOKUP(L$83,Cuision!$G:$P,10,FALSE)))</f>
        <v>4367.5000761870788</v>
      </c>
      <c r="M110" s="33">
        <f>IF($A110=M$83, 0, distance(VLOOKUP($A110,Cuision!$G:$P,9,FALSE),VLOOKUP($A110,Cuision!$G:$P,10,FALSE),VLOOKUP(M$83,Cuision!$G:$P,9,FALSE),VLOOKUP(M$83,Cuision!$G:$P,10,FALSE)))</f>
        <v>-1</v>
      </c>
      <c r="N110" s="33">
        <f>IF($A110=N$83, 0, distance(VLOOKUP($A110,Cuision!$G:$P,9,FALSE),VLOOKUP($A110,Cuision!$G:$P,10,FALSE),VLOOKUP(N$83,Cuision!$G:$P,9,FALSE),VLOOKUP(N$83,Cuision!$G:$P,10,FALSE)))</f>
        <v>1101.0295637429265</v>
      </c>
      <c r="O110" s="33">
        <f>IF($A110=O$83, 0, distance(VLOOKUP($A110,Cuision!$G:$P,9,FALSE),VLOOKUP($A110,Cuision!$G:$P,10,FALSE),VLOOKUP(O$83,Cuision!$G:$P,9,FALSE),VLOOKUP(O$83,Cuision!$G:$P,10,FALSE)))</f>
        <v>445.5715314882097</v>
      </c>
      <c r="P110" s="33">
        <f>IF($A110=P$83, 0, distance(VLOOKUP($A110,Cuision!$G:$P,9,FALSE),VLOOKUP($A110,Cuision!$G:$P,10,FALSE),VLOOKUP(P$83,Cuision!$G:$P,9,FALSE),VLOOKUP(P$83,Cuision!$G:$P,10,FALSE)))</f>
        <v>5909.3257673925382</v>
      </c>
      <c r="Q110" s="33">
        <f>IF($A110=Q$83, 0, distance(VLOOKUP($A110,Cuision!$G:$P,9,FALSE),VLOOKUP($A110,Cuision!$G:$P,10,FALSE),VLOOKUP(Q$83,Cuision!$G:$P,9,FALSE),VLOOKUP(Q$83,Cuision!$G:$P,10,FALSE)))</f>
        <v>-1</v>
      </c>
      <c r="R110" s="33">
        <f>IF($A110=R$83, 0, distance(VLOOKUP($A110,Cuision!$G:$P,9,FALSE),VLOOKUP($A110,Cuision!$G:$P,10,FALSE),VLOOKUP(R$83,Cuision!$G:$P,9,FALSE),VLOOKUP(R$83,Cuision!$G:$P,10,FALSE)))</f>
        <v>641.77956632363794</v>
      </c>
      <c r="S110" s="33">
        <f>IF($A110=S$83, 0, distance(VLOOKUP($A110,Cuision!$G:$P,9,FALSE),VLOOKUP($A110,Cuision!$G:$P,10,FALSE),VLOOKUP(S$83,Cuision!$G:$P,9,FALSE),VLOOKUP(S$83,Cuision!$G:$P,10,FALSE)))</f>
        <v>-1</v>
      </c>
      <c r="T110" s="33">
        <f>IF($A110=T$83, 0, distance(VLOOKUP($A110,Cuision!$G:$P,9,FALSE),VLOOKUP($A110,Cuision!$G:$P,10,FALSE),VLOOKUP(T$83,Cuision!$G:$P,9,FALSE),VLOOKUP(T$83,Cuision!$G:$P,10,FALSE)))</f>
        <v>4818.4062478228025</v>
      </c>
      <c r="U110" s="33">
        <f>IF($A110=U$83, 0, distance(VLOOKUP($A110,Cuision!$G:$P,9,FALSE),VLOOKUP($A110,Cuision!$G:$P,10,FALSE),VLOOKUP(U$83,Cuision!$G:$P,9,FALSE),VLOOKUP(U$83,Cuision!$G:$P,10,FALSE)))</f>
        <v>-1</v>
      </c>
      <c r="V110" s="33">
        <f>IF($A110=V$83, 0, distance(VLOOKUP($A110,Cuision!$G:$P,9,FALSE),VLOOKUP($A110,Cuision!$G:$P,10,FALSE),VLOOKUP(V$83,Cuision!$G:$P,9,FALSE),VLOOKUP(V$83,Cuision!$G:$P,10,FALSE)))</f>
        <v>4285.8768769408171</v>
      </c>
      <c r="W110" s="33">
        <f>IF($A110=W$83, 0, distance(VLOOKUP($A110,Cuision!$G:$P,9,FALSE),VLOOKUP($A110,Cuision!$G:$P,10,FALSE),VLOOKUP(W$83,Cuision!$G:$P,9,FALSE),VLOOKUP(W$83,Cuision!$G:$P,10,FALSE)))</f>
        <v>5629.1610373145477</v>
      </c>
      <c r="X110" s="33">
        <f>IF($A110=X$83, 0, distance(VLOOKUP($A110,Cuision!$G:$P,9,FALSE),VLOOKUP($A110,Cuision!$G:$P,10,FALSE),VLOOKUP(X$83,Cuision!$G:$P,9,FALSE),VLOOKUP(X$83,Cuision!$G:$P,10,FALSE)))</f>
        <v>1101.0295637429265</v>
      </c>
      <c r="Y110" s="33">
        <f>IF($A110=Y$83, 0, distance(VLOOKUP($A110,Cuision!$G:$P,9,FALSE),VLOOKUP($A110,Cuision!$G:$P,10,FALSE),VLOOKUP(Y$83,Cuision!$G:$P,9,FALSE),VLOOKUP(Y$83,Cuision!$G:$P,10,FALSE)))</f>
        <v>4632.270738846014</v>
      </c>
      <c r="Z110" s="33">
        <f>IF($A110=Z$83, 0, distance(VLOOKUP($A110,Cuision!$G:$P,9,FALSE),VLOOKUP($A110,Cuision!$G:$P,10,FALSE),VLOOKUP(Z$83,Cuision!$G:$P,9,FALSE),VLOOKUP(Z$83,Cuision!$G:$P,10,FALSE)))</f>
        <v>-1</v>
      </c>
      <c r="AA110" s="33">
        <f>IF($A110=AA$83, 0, distance(VLOOKUP($A110,Cuision!$G:$P,9,FALSE),VLOOKUP($A110,Cuision!$G:$P,10,FALSE),VLOOKUP(AA$83,Cuision!$G:$P,9,FALSE),VLOOKUP(AA$83,Cuision!$G:$P,10,FALSE)))</f>
        <v>5293.4930305340877</v>
      </c>
      <c r="AB110" s="33">
        <f>IF($A110=AB$83, 0, distance(VLOOKUP($A110,Cuision!$G:$P,9,FALSE),VLOOKUP($A110,Cuision!$G:$P,10,FALSE),VLOOKUP(AB$83,Cuision!$G:$P,9,FALSE),VLOOKUP(AB$83,Cuision!$G:$P,10,FALSE)))</f>
        <v>0</v>
      </c>
      <c r="AC110" s="33">
        <f>IF($A110=AC$83, 0, distance(VLOOKUP($A110,Cuision!$G:$P,9,FALSE),VLOOKUP($A110,Cuision!$G:$P,10,FALSE),VLOOKUP(AC$83,Cuision!$G:$P,9,FALSE),VLOOKUP(AC$83,Cuision!$G:$P,10,FALSE)))</f>
        <v>3161.7452663751119</v>
      </c>
      <c r="AD110" s="33">
        <f>IF($A110=AD$83, 0, distance(VLOOKUP($A110,Cuision!$G:$P,9,FALSE),VLOOKUP($A110,Cuision!$G:$P,10,FALSE),VLOOKUP(AD$83,Cuision!$G:$P,9,FALSE),VLOOKUP(AD$83,Cuision!$G:$P,10,FALSE)))</f>
        <v>6153.2092290434202</v>
      </c>
      <c r="AE110" s="33">
        <f>IF($A110=AE$83, 0, distance(VLOOKUP($A110,Cuision!$G:$P,9,FALSE),VLOOKUP($A110,Cuision!$G:$P,10,FALSE),VLOOKUP(AE$83,Cuision!$G:$P,9,FALSE),VLOOKUP(AE$83,Cuision!$G:$P,10,FALSE)))</f>
        <v>845.79202720593651</v>
      </c>
      <c r="AF110" s="33">
        <f>IF($A110=AF$83, 0, distance(VLOOKUP($A110,Cuision!$G:$P,9,FALSE),VLOOKUP($A110,Cuision!$G:$P,10,FALSE),VLOOKUP(AF$83,Cuision!$G:$P,9,FALSE),VLOOKUP(AF$83,Cuision!$G:$P,10,FALSE)))</f>
        <v>548.02137422248063</v>
      </c>
      <c r="AG110" s="33">
        <f>IF($A110=AG$83, 0, distance(VLOOKUP($A110,Cuision!$G:$P,9,FALSE),VLOOKUP($A110,Cuision!$G:$P,10,FALSE),VLOOKUP(AG$83,Cuision!$G:$P,9,FALSE),VLOOKUP(AG$83,Cuision!$G:$P,10,FALSE)))</f>
        <v>173.45929792040442</v>
      </c>
      <c r="AH110" s="33">
        <f>IF($A110=AH$83, 0, distance(VLOOKUP($A110,Cuision!$G:$P,9,FALSE),VLOOKUP($A110,Cuision!$G:$P,10,FALSE),VLOOKUP(AH$83,Cuision!$G:$P,9,FALSE),VLOOKUP(AH$83,Cuision!$G:$P,10,FALSE)))</f>
        <v>-1</v>
      </c>
      <c r="AI110" s="33">
        <f>IF($A110=AI$83, 0, distance(VLOOKUP($A110,Cuision!$G:$P,9,FALSE),VLOOKUP($A110,Cuision!$G:$P,10,FALSE),VLOOKUP(AI$83,Cuision!$G:$P,9,FALSE),VLOOKUP(AI$83,Cuision!$G:$P,10,FALSE)))</f>
        <v>954.0205553053388</v>
      </c>
      <c r="AJ110" s="33">
        <f>IF($A110=AJ$83, 0, distance(VLOOKUP($A110,Cuision!$G:$P,9,FALSE),VLOOKUP($A110,Cuision!$G:$P,10,FALSE),VLOOKUP(AJ$83,Cuision!$G:$P,9,FALSE),VLOOKUP(AJ$83,Cuision!$G:$P,10,FALSE)))</f>
        <v>2050.7521954723848</v>
      </c>
      <c r="AK110" s="33">
        <f>IF($A110=AK$83, 0, distance(VLOOKUP($A110,Cuision!$G:$P,9,FALSE),VLOOKUP($A110,Cuision!$G:$P,10,FALSE),VLOOKUP(AK$83,Cuision!$G:$P,9,FALSE),VLOOKUP(AK$83,Cuision!$G:$P,10,FALSE)))</f>
        <v>7562.2904295701201</v>
      </c>
      <c r="AL110" s="33">
        <f>IF($A110=AL$83, 0, distance(VLOOKUP($A110,Cuision!$G:$P,9,FALSE),VLOOKUP($A110,Cuision!$G:$P,10,FALSE),VLOOKUP(AL$83,Cuision!$G:$P,9,FALSE),VLOOKUP(AL$83,Cuision!$G:$P,10,FALSE)))</f>
        <v>3948.5196154144774</v>
      </c>
      <c r="AM110" s="33">
        <f>IF($A110=AM$83, 0, distance(VLOOKUP($A110,Cuision!$G:$P,9,FALSE),VLOOKUP($A110,Cuision!$G:$P,10,FALSE),VLOOKUP(AM$83,Cuision!$G:$P,9,FALSE),VLOOKUP(AM$83,Cuision!$G:$P,10,FALSE)))</f>
        <v>-1</v>
      </c>
      <c r="AN110" s="33">
        <f>IF($A110=AN$83, 0, distance(VLOOKUP($A110,Cuision!$G:$P,9,FALSE),VLOOKUP($A110,Cuision!$G:$P,10,FALSE),VLOOKUP(AN$83,Cuision!$G:$P,9,FALSE),VLOOKUP(AN$83,Cuision!$G:$P,10,FALSE)))</f>
        <v>276.01510253658654</v>
      </c>
      <c r="AO110" s="33">
        <f>IF($A110=AO$83, 0, distance(VLOOKUP($A110,Cuision!$G:$P,9,FALSE),VLOOKUP($A110,Cuision!$G:$P,10,FALSE),VLOOKUP(AO$83,Cuision!$G:$P,9,FALSE),VLOOKUP(AO$83,Cuision!$G:$P,10,FALSE)))</f>
        <v>1101.0295637429265</v>
      </c>
      <c r="AP110" s="33">
        <f>IF($A110=AP$83, 0, distance(VLOOKUP($A110,Cuision!$G:$P,9,FALSE),VLOOKUP($A110,Cuision!$G:$P,10,FALSE),VLOOKUP(AP$83,Cuision!$G:$P,9,FALSE),VLOOKUP(AP$83,Cuision!$G:$P,10,FALSE)))</f>
        <v>3545.3594800453084</v>
      </c>
      <c r="AQ110" s="33">
        <f>IF($A110=AQ$83, 0, distance(VLOOKUP($A110,Cuision!$G:$P,9,FALSE),VLOOKUP($A110,Cuision!$G:$P,10,FALSE),VLOOKUP(AQ$83,Cuision!$G:$P,9,FALSE),VLOOKUP(AQ$83,Cuision!$G:$P,10,FALSE)))</f>
        <v>6654.493193937561</v>
      </c>
      <c r="AR110" s="33">
        <f>IF($A110=AR$83, 0, distance(VLOOKUP($A110,Cuision!$G:$P,9,FALSE),VLOOKUP($A110,Cuision!$G:$P,10,FALSE),VLOOKUP(AR$83,Cuision!$G:$P,9,FALSE),VLOOKUP(AR$83,Cuision!$G:$P,10,FALSE)))</f>
        <v>641.77956632363794</v>
      </c>
      <c r="AS110" s="33">
        <f>IF($A110=AS$83, 0, distance(VLOOKUP($A110,Cuision!$G:$P,9,FALSE),VLOOKUP($A110,Cuision!$G:$P,10,FALSE),VLOOKUP(AS$83,Cuision!$G:$P,9,FALSE),VLOOKUP(AS$83,Cuision!$G:$P,10,FALSE)))</f>
        <v>574.08595518662787</v>
      </c>
      <c r="AT110" s="33">
        <f>IF($A110=AT$83, 0, distance(VLOOKUP($A110,Cuision!$G:$P,9,FALSE),VLOOKUP($A110,Cuision!$G:$P,10,FALSE),VLOOKUP(AT$83,Cuision!$G:$P,9,FALSE),VLOOKUP(AT$83,Cuision!$G:$P,10,FALSE)))</f>
        <v>5635.64186741716</v>
      </c>
      <c r="AU110" s="33">
        <f>IF($A110=AU$83, 0, distance(VLOOKUP($A110,Cuision!$G:$P,9,FALSE),VLOOKUP($A110,Cuision!$G:$P,10,FALSE),VLOOKUP(AU$83,Cuision!$G:$P,9,FALSE),VLOOKUP(AU$83,Cuision!$G:$P,10,FALSE)))</f>
        <v>5125.1641418242225</v>
      </c>
      <c r="AV110" s="33">
        <f>IF($A110=AV$83, 0, distance(VLOOKUP($A110,Cuision!$G:$P,9,FALSE),VLOOKUP($A110,Cuision!$G:$P,10,FALSE),VLOOKUP(AV$83,Cuision!$G:$P,9,FALSE),VLOOKUP(AV$83,Cuision!$G:$P,10,FALSE)))</f>
        <v>1346.4361378614292</v>
      </c>
      <c r="AW110" s="33">
        <f>IF($A110=AW$83, 0, distance(VLOOKUP($A110,Cuision!$G:$P,9,FALSE),VLOOKUP($A110,Cuision!$G:$P,10,FALSE),VLOOKUP(AW$83,Cuision!$G:$P,9,FALSE),VLOOKUP(AW$83,Cuision!$G:$P,10,FALSE)))</f>
        <v>5193.1636712163499</v>
      </c>
      <c r="AX110" s="33">
        <f>IF($A110=AX$83, 0, distance(VLOOKUP($A110,Cuision!$G:$P,9,FALSE),VLOOKUP($A110,Cuision!$G:$P,10,FALSE),VLOOKUP(AX$83,Cuision!$G:$P,9,FALSE),VLOOKUP(AX$83,Cuision!$G:$P,10,FALSE)))</f>
        <v>5829.2232304158597</v>
      </c>
      <c r="AY110" s="33">
        <f>IF($A110=AY$83, 0, distance(VLOOKUP($A110,Cuision!$G:$P,9,FALSE),VLOOKUP($A110,Cuision!$G:$P,10,FALSE),VLOOKUP(AY$83,Cuision!$G:$P,9,FALSE),VLOOKUP(AY$83,Cuision!$G:$P,10,FALSE)))</f>
        <v>-1</v>
      </c>
      <c r="AZ110" s="33">
        <f>IF($A110=AZ$83, 0, distance(VLOOKUP($A110,Cuision!$G:$P,9,FALSE),VLOOKUP($A110,Cuision!$G:$P,10,FALSE),VLOOKUP(AZ$83,Cuision!$G:$P,9,FALSE),VLOOKUP(AZ$83,Cuision!$G:$P,10,FALSE)))</f>
        <v>5930.7391289374591</v>
      </c>
      <c r="BA110" s="33">
        <f>IF($A110=BA$83, 0, distance(VLOOKUP($A110,Cuision!$G:$P,9,FALSE),VLOOKUP($A110,Cuision!$G:$P,10,FALSE),VLOOKUP(BA$83,Cuision!$G:$P,9,FALSE),VLOOKUP(BA$83,Cuision!$G:$P,10,FALSE)))</f>
        <v>1088.982978994607</v>
      </c>
      <c r="BB110" s="33">
        <f>IF($A110=BB$83, 0, distance(VLOOKUP($A110,Cuision!$G:$P,9,FALSE),VLOOKUP($A110,Cuision!$G:$P,10,FALSE),VLOOKUP(BB$83,Cuision!$G:$P,9,FALSE),VLOOKUP(BB$83,Cuision!$G:$P,10,FALSE)))</f>
        <v>6164.9783412388779</v>
      </c>
      <c r="BC110" s="33">
        <f>IF($A110=BC$83, 0, distance(VLOOKUP($A110,Cuision!$G:$P,9,FALSE),VLOOKUP($A110,Cuision!$G:$P,10,FALSE),VLOOKUP(BC$83,Cuision!$G:$P,9,FALSE),VLOOKUP(BC$83,Cuision!$G:$P,10,FALSE)))</f>
        <v>2050.7521954723848</v>
      </c>
      <c r="BD110" s="33">
        <f>IF($A110=BD$83, 0, distance(VLOOKUP($A110,Cuision!$G:$P,9,FALSE),VLOOKUP($A110,Cuision!$G:$P,10,FALSE),VLOOKUP(BD$83,Cuision!$G:$P,9,FALSE),VLOOKUP(BD$83,Cuision!$G:$P,10,FALSE)))</f>
        <v>3909.1410365386505</v>
      </c>
      <c r="BE110" s="33">
        <f>IF($A110=BE$83, 0, distance(VLOOKUP($A110,Cuision!$G:$P,9,FALSE),VLOOKUP($A110,Cuision!$G:$P,10,FALSE),VLOOKUP(BE$83,Cuision!$G:$P,9,FALSE),VLOOKUP(BE$83,Cuision!$G:$P,10,FALSE)))</f>
        <v>1545.8561362809646</v>
      </c>
      <c r="BF110" s="33">
        <f>IF($A110=BF$83, 0, distance(VLOOKUP($A110,Cuision!$G:$P,9,FALSE),VLOOKUP($A110,Cuision!$G:$P,10,FALSE),VLOOKUP(BF$83,Cuision!$G:$P,9,FALSE),VLOOKUP(BF$83,Cuision!$G:$P,10,FALSE)))</f>
        <v>3128.1184935188462</v>
      </c>
      <c r="BG110" s="33">
        <f>IF($A110=BG$83, 0, distance(VLOOKUP($A110,Cuision!$G:$P,9,FALSE),VLOOKUP($A110,Cuision!$G:$P,10,FALSE),VLOOKUP(BG$83,Cuision!$G:$P,9,FALSE),VLOOKUP(BG$83,Cuision!$G:$P,10,FALSE)))</f>
        <v>2091.3888870413998</v>
      </c>
      <c r="BH110" s="33">
        <f>IF($A110=BH$83, 0, distance(VLOOKUP($A110,Cuision!$G:$P,9,FALSE),VLOOKUP($A110,Cuision!$G:$P,10,FALSE),VLOOKUP(BH$83,Cuision!$G:$P,9,FALSE),VLOOKUP(BH$83,Cuision!$G:$P,10,FALSE)))</f>
        <v>6917.9767305937576</v>
      </c>
      <c r="BI110" s="33">
        <f>IF($A110=BI$83, 0, distance(VLOOKUP($A110,Cuision!$G:$P,9,FALSE),VLOOKUP($A110,Cuision!$G:$P,10,FALSE),VLOOKUP(BI$83,Cuision!$G:$P,9,FALSE),VLOOKUP(BI$83,Cuision!$G:$P,10,FALSE)))</f>
        <v>321.38283503268286</v>
      </c>
      <c r="BJ110" s="33">
        <f>IF($A110=BJ$83, 0, distance(VLOOKUP($A110,Cuision!$G:$P,9,FALSE),VLOOKUP($A110,Cuision!$G:$P,10,FALSE),VLOOKUP(BJ$83,Cuision!$G:$P,9,FALSE),VLOOKUP(BJ$83,Cuision!$G:$P,10,FALSE)))</f>
        <v>1393.440359478737</v>
      </c>
      <c r="BK110" s="33">
        <f>IF($A110=BK$83, 0, distance(VLOOKUP($A110,Cuision!$G:$P,9,FALSE),VLOOKUP($A110,Cuision!$G:$P,10,FALSE),VLOOKUP(BK$83,Cuision!$G:$P,9,FALSE),VLOOKUP(BK$83,Cuision!$G:$P,10,FALSE)))</f>
        <v>1036.3543891272013</v>
      </c>
      <c r="BL110" s="33">
        <f>IF($A110=BL$83, 0, distance(VLOOKUP($A110,Cuision!$G:$P,9,FALSE),VLOOKUP($A110,Cuision!$G:$P,10,FALSE),VLOOKUP(BL$83,Cuision!$G:$P,9,FALSE),VLOOKUP(BL$83,Cuision!$G:$P,10,FALSE)))</f>
        <v>-1</v>
      </c>
      <c r="BM110" s="33">
        <f>IF($A110=BM$83, 0, distance(VLOOKUP($A110,Cuision!$G:$P,9,FALSE),VLOOKUP($A110,Cuision!$G:$P,10,FALSE),VLOOKUP(BM$83,Cuision!$G:$P,9,FALSE),VLOOKUP(BM$83,Cuision!$G:$P,10,FALSE)))</f>
        <v>-1</v>
      </c>
      <c r="BN110" s="33">
        <f>IF($A110=BN$83, 0, distance(VLOOKUP($A110,Cuision!$G:$P,9,FALSE),VLOOKUP($A110,Cuision!$G:$P,10,FALSE),VLOOKUP(BN$83,Cuision!$G:$P,9,FALSE),VLOOKUP(BN$83,Cuision!$G:$P,10,FALSE)))</f>
        <v>641.77956632363794</v>
      </c>
      <c r="BO110" s="33">
        <f>IF($A110=BO$83, 0, distance(VLOOKUP($A110,Cuision!$G:$P,9,FALSE),VLOOKUP($A110,Cuision!$G:$P,10,FALSE),VLOOKUP(BO$83,Cuision!$G:$P,9,FALSE),VLOOKUP(BO$83,Cuision!$G:$P,10,FALSE)))</f>
        <v>6124.4730150732566</v>
      </c>
      <c r="BP110" s="33">
        <f>IF($A110=BP$83, 0, distance(VLOOKUP($A110,Cuision!$G:$P,9,FALSE),VLOOKUP($A110,Cuision!$G:$P,10,FALSE),VLOOKUP(BP$83,Cuision!$G:$P,9,FALSE),VLOOKUP(BP$83,Cuision!$G:$P,10,FALSE)))</f>
        <v>180.97497673481982</v>
      </c>
      <c r="BQ110" s="33">
        <f>IF($A110=BQ$83, 0, distance(VLOOKUP($A110,Cuision!$G:$P,9,FALSE),VLOOKUP($A110,Cuision!$G:$P,10,FALSE),VLOOKUP(BQ$83,Cuision!$G:$P,9,FALSE),VLOOKUP(BQ$83,Cuision!$G:$P,10,FALSE)))</f>
        <v>-1</v>
      </c>
      <c r="BR110" s="33">
        <f>IF($A110=BR$83, 0, distance(VLOOKUP($A110,Cuision!$G:$P,9,FALSE),VLOOKUP($A110,Cuision!$G:$P,10,FALSE),VLOOKUP(BR$83,Cuision!$G:$P,9,FALSE),VLOOKUP(BR$83,Cuision!$G:$P,10,FALSE)))</f>
        <v>4285.8768769408171</v>
      </c>
      <c r="BS110" s="33">
        <f>IF($A110=BS$83, 0, distance(VLOOKUP($A110,Cuision!$G:$P,9,FALSE),VLOOKUP($A110,Cuision!$G:$P,10,FALSE),VLOOKUP(BS$83,Cuision!$G:$P,9,FALSE),VLOOKUP(BS$83,Cuision!$G:$P,10,FALSE)))</f>
        <v>4632.270738846014</v>
      </c>
      <c r="BT110" s="33">
        <f>IF($A110=BT$83, 0, distance(VLOOKUP($A110,Cuision!$G:$P,9,FALSE),VLOOKUP($A110,Cuision!$G:$P,10,FALSE),VLOOKUP(BT$83,Cuision!$G:$P,9,FALSE),VLOOKUP(BT$83,Cuision!$G:$P,10,FALSE)))</f>
        <v>1101.0295637429265</v>
      </c>
      <c r="BU110" s="33">
        <f>IF($A110=BU$83, 0, distance(VLOOKUP($A110,Cuision!$G:$P,9,FALSE),VLOOKUP($A110,Cuision!$G:$P,10,FALSE),VLOOKUP(BU$83,Cuision!$G:$P,9,FALSE),VLOOKUP(BU$83,Cuision!$G:$P,10,FALSE)))</f>
        <v>5320.0493354309801</v>
      </c>
      <c r="BV110" s="33">
        <f>IF($A110=BV$83, 0, distance(VLOOKUP($A110,Cuision!$G:$P,9,FALSE),VLOOKUP($A110,Cuision!$G:$P,10,FALSE),VLOOKUP(BV$83,Cuision!$G:$P,9,FALSE),VLOOKUP(BV$83,Cuision!$G:$P,10,FALSE)))</f>
        <v>1136.7586310860429</v>
      </c>
      <c r="BW110" s="33">
        <f>IF($A110=BW$83, 0, distance(VLOOKUP($A110,Cuision!$G:$P,9,FALSE),VLOOKUP($A110,Cuision!$G:$P,10,FALSE),VLOOKUP(BW$83,Cuision!$G:$P,9,FALSE),VLOOKUP(BW$83,Cuision!$G:$P,10,FALSE)))</f>
        <v>710.02313418782285</v>
      </c>
      <c r="BX110" s="33">
        <f>IF($A110=BX$83, 0, distance(VLOOKUP($A110,Cuision!$G:$P,9,FALSE),VLOOKUP($A110,Cuision!$G:$P,10,FALSE),VLOOKUP(BX$83,Cuision!$G:$P,9,FALSE),VLOOKUP(BX$83,Cuision!$G:$P,10,FALSE)))</f>
        <v>2651.9695180304152</v>
      </c>
      <c r="BY110" s="33">
        <f>IF($A110=BY$83, 0, distance(VLOOKUP($A110,Cuision!$G:$P,9,FALSE),VLOOKUP($A110,Cuision!$G:$P,10,FALSE),VLOOKUP(BY$83,Cuision!$G:$P,9,FALSE),VLOOKUP(BY$83,Cuision!$G:$P,10,FALSE)))</f>
        <v>-1</v>
      </c>
      <c r="BZ110" s="33">
        <f>IF($A110=BZ$83, 0, distance(VLOOKUP($A110,Cuision!$G:$P,9,FALSE),VLOOKUP($A110,Cuision!$G:$P,10,FALSE),VLOOKUP(BZ$83,Cuision!$G:$P,9,FALSE),VLOOKUP(BZ$83,Cuision!$G:$P,10,FALSE)))</f>
        <v>-1</v>
      </c>
      <c r="CA110" s="33">
        <f>IF($A110=CA$83, 0, distance(VLOOKUP($A110,Cuision!$G:$P,9,FALSE),VLOOKUP($A110,Cuision!$G:$P,10,FALSE),VLOOKUP(CA$83,Cuision!$G:$P,9,FALSE),VLOOKUP(CA$83,Cuision!$G:$P,10,FALSE)))</f>
        <v>5175.6956223535408</v>
      </c>
    </row>
    <row r="111" spans="1:79" ht="14.25" x14ac:dyDescent="0.2">
      <c r="A111" s="30" t="s">
        <v>76</v>
      </c>
      <c r="B111" s="33">
        <f>IF($A111=B$83, 0, distance(VLOOKUP($A111,Cuision!$G:$P,9,FALSE),VLOOKUP($A111,Cuision!$G:$P,10,FALSE),VLOOKUP(B$83,Cuision!$G:$P,9,FALSE),VLOOKUP(B$83,Cuision!$G:$P,10,FALSE)))</f>
        <v>2609.3617306481137</v>
      </c>
      <c r="C111" s="33">
        <f>IF($A111=C$83, 0, distance(VLOOKUP($A111,Cuision!$G:$P,9,FALSE),VLOOKUP($A111,Cuision!$G:$P,10,FALSE),VLOOKUP(C$83,Cuision!$G:$P,9,FALSE),VLOOKUP(C$83,Cuision!$G:$P,10,FALSE)))</f>
        <v>1264.1748477239596</v>
      </c>
      <c r="D111" s="33">
        <f>IF($A111=D$83, 0, distance(VLOOKUP($A111,Cuision!$G:$P,9,FALSE),VLOOKUP($A111,Cuision!$G:$P,10,FALSE),VLOOKUP(D$83,Cuision!$G:$P,9,FALSE),VLOOKUP(D$83,Cuision!$G:$P,10,FALSE)))</f>
        <v>7161.0334431549763</v>
      </c>
      <c r="E111" s="33">
        <f>IF($A111=E$83, 0, distance(VLOOKUP($A111,Cuision!$G:$P,9,FALSE),VLOOKUP($A111,Cuision!$G:$P,10,FALSE),VLOOKUP(E$83,Cuision!$G:$P,9,FALSE),VLOOKUP(E$83,Cuision!$G:$P,10,FALSE)))</f>
        <v>7161.0334431549763</v>
      </c>
      <c r="F111" s="33">
        <f>IF($A111=F$83, 0, distance(VLOOKUP($A111,Cuision!$G:$P,9,FALSE),VLOOKUP($A111,Cuision!$G:$P,10,FALSE),VLOOKUP(F$83,Cuision!$G:$P,9,FALSE),VLOOKUP(F$83,Cuision!$G:$P,10,FALSE)))</f>
        <v>1422.5251673874473</v>
      </c>
      <c r="G111" s="33">
        <f>IF($A111=G$83, 0, distance(VLOOKUP($A111,Cuision!$G:$P,9,FALSE),VLOOKUP($A111,Cuision!$G:$P,10,FALSE),VLOOKUP(G$83,Cuision!$G:$P,9,FALSE),VLOOKUP(G$83,Cuision!$G:$P,10,FALSE)))</f>
        <v>6974.5922657412248</v>
      </c>
      <c r="H111" s="33">
        <f>IF($A111=H$83, 0, distance(VLOOKUP($A111,Cuision!$G:$P,9,FALSE),VLOOKUP($A111,Cuision!$G:$P,10,FALSE),VLOOKUP(H$83,Cuision!$G:$P,9,FALSE),VLOOKUP(H$83,Cuision!$G:$P,10,FALSE)))</f>
        <v>2181.8161811754185</v>
      </c>
      <c r="I111" s="33">
        <f>IF($A111=I$83, 0, distance(VLOOKUP($A111,Cuision!$G:$P,9,FALSE),VLOOKUP($A111,Cuision!$G:$P,10,FALSE),VLOOKUP(I$83,Cuision!$G:$P,9,FALSE),VLOOKUP(I$83,Cuision!$G:$P,10,FALSE)))</f>
        <v>4265.0463018382698</v>
      </c>
      <c r="J111" s="33">
        <f>IF($A111=J$83, 0, distance(VLOOKUP($A111,Cuision!$G:$P,9,FALSE),VLOOKUP($A111,Cuision!$G:$P,10,FALSE),VLOOKUP(J$83,Cuision!$G:$P,9,FALSE),VLOOKUP(J$83,Cuision!$G:$P,10,FALSE)))</f>
        <v>7724.0656029223601</v>
      </c>
      <c r="K111" s="33">
        <f>IF($A111=K$83, 0, distance(VLOOKUP($A111,Cuision!$G:$P,9,FALSE),VLOOKUP($A111,Cuision!$G:$P,10,FALSE),VLOOKUP(K$83,Cuision!$G:$P,9,FALSE),VLOOKUP(K$83,Cuision!$G:$P,10,FALSE)))</f>
        <v>3004.7993979817606</v>
      </c>
      <c r="L111" s="33">
        <f>IF($A111=L$83, 0, distance(VLOOKUP($A111,Cuision!$G:$P,9,FALSE),VLOOKUP($A111,Cuision!$G:$P,10,FALSE),VLOOKUP(L$83,Cuision!$G:$P,9,FALSE),VLOOKUP(L$83,Cuision!$G:$P,10,FALSE)))</f>
        <v>3550.6923960570634</v>
      </c>
      <c r="M111" s="33">
        <f>IF($A111=M$83, 0, distance(VLOOKUP($A111,Cuision!$G:$P,9,FALSE),VLOOKUP($A111,Cuision!$G:$P,10,FALSE),VLOOKUP(M$83,Cuision!$G:$P,9,FALSE),VLOOKUP(M$83,Cuision!$G:$P,10,FALSE)))</f>
        <v>-1</v>
      </c>
      <c r="N111" s="33">
        <f>IF($A111=N$83, 0, distance(VLOOKUP($A111,Cuision!$G:$P,9,FALSE),VLOOKUP($A111,Cuision!$G:$P,10,FALSE),VLOOKUP(N$83,Cuision!$G:$P,9,FALSE),VLOOKUP(N$83,Cuision!$G:$P,10,FALSE)))</f>
        <v>3383.3410356236627</v>
      </c>
      <c r="O111" s="33">
        <f>IF($A111=O$83, 0, distance(VLOOKUP($A111,Cuision!$G:$P,9,FALSE),VLOOKUP($A111,Cuision!$G:$P,10,FALSE),VLOOKUP(O$83,Cuision!$G:$P,9,FALSE),VLOOKUP(O$83,Cuision!$G:$P,10,FALSE)))</f>
        <v>3489.0499827219542</v>
      </c>
      <c r="P111" s="33">
        <f>IF($A111=P$83, 0, distance(VLOOKUP($A111,Cuision!$G:$P,9,FALSE),VLOOKUP($A111,Cuision!$G:$P,10,FALSE),VLOOKUP(P$83,Cuision!$G:$P,9,FALSE),VLOOKUP(P$83,Cuision!$G:$P,10,FALSE)))</f>
        <v>6168.9905154653488</v>
      </c>
      <c r="Q111" s="33">
        <f>IF($A111=Q$83, 0, distance(VLOOKUP($A111,Cuision!$G:$P,9,FALSE),VLOOKUP($A111,Cuision!$G:$P,10,FALSE),VLOOKUP(Q$83,Cuision!$G:$P,9,FALSE),VLOOKUP(Q$83,Cuision!$G:$P,10,FALSE)))</f>
        <v>-1</v>
      </c>
      <c r="R111" s="33">
        <f>IF($A111=R$83, 0, distance(VLOOKUP($A111,Cuision!$G:$P,9,FALSE),VLOOKUP($A111,Cuision!$G:$P,10,FALSE),VLOOKUP(R$83,Cuision!$G:$P,9,FALSE),VLOOKUP(R$83,Cuision!$G:$P,10,FALSE)))</f>
        <v>3664.7179459095614</v>
      </c>
      <c r="S111" s="33">
        <f>IF($A111=S$83, 0, distance(VLOOKUP($A111,Cuision!$G:$P,9,FALSE),VLOOKUP($A111,Cuision!$G:$P,10,FALSE),VLOOKUP(S$83,Cuision!$G:$P,9,FALSE),VLOOKUP(S$83,Cuision!$G:$P,10,FALSE)))</f>
        <v>-1</v>
      </c>
      <c r="T111" s="33">
        <f>IF($A111=T$83, 0, distance(VLOOKUP($A111,Cuision!$G:$P,9,FALSE),VLOOKUP($A111,Cuision!$G:$P,10,FALSE),VLOOKUP(T$83,Cuision!$G:$P,9,FALSE),VLOOKUP(T$83,Cuision!$G:$P,10,FALSE)))</f>
        <v>3893.5025920808644</v>
      </c>
      <c r="U111" s="33">
        <f>IF($A111=U$83, 0, distance(VLOOKUP($A111,Cuision!$G:$P,9,FALSE),VLOOKUP($A111,Cuision!$G:$P,10,FALSE),VLOOKUP(U$83,Cuision!$G:$P,9,FALSE),VLOOKUP(U$83,Cuision!$G:$P,10,FALSE)))</f>
        <v>-1</v>
      </c>
      <c r="V111" s="33">
        <f>IF($A111=V$83, 0, distance(VLOOKUP($A111,Cuision!$G:$P,9,FALSE),VLOOKUP($A111,Cuision!$G:$P,10,FALSE),VLOOKUP(V$83,Cuision!$G:$P,9,FALSE),VLOOKUP(V$83,Cuision!$G:$P,10,FALSE)))</f>
        <v>7161.0334431549763</v>
      </c>
      <c r="W111" s="33">
        <f>IF($A111=W$83, 0, distance(VLOOKUP($A111,Cuision!$G:$P,9,FALSE),VLOOKUP($A111,Cuision!$G:$P,10,FALSE),VLOOKUP(W$83,Cuision!$G:$P,9,FALSE),VLOOKUP(W$83,Cuision!$G:$P,10,FALSE)))</f>
        <v>4492.0150605311255</v>
      </c>
      <c r="X111" s="33">
        <f>IF($A111=X$83, 0, distance(VLOOKUP($A111,Cuision!$G:$P,9,FALSE),VLOOKUP($A111,Cuision!$G:$P,10,FALSE),VLOOKUP(X$83,Cuision!$G:$P,9,FALSE),VLOOKUP(X$83,Cuision!$G:$P,10,FALSE)))</f>
        <v>3383.3410356236627</v>
      </c>
      <c r="Y111" s="33">
        <f>IF($A111=Y$83, 0, distance(VLOOKUP($A111,Cuision!$G:$P,9,FALSE),VLOOKUP($A111,Cuision!$G:$P,10,FALSE),VLOOKUP(Y$83,Cuision!$G:$P,9,FALSE),VLOOKUP(Y$83,Cuision!$G:$P,10,FALSE)))</f>
        <v>5166.1739021496505</v>
      </c>
      <c r="Z111" s="33">
        <f>IF($A111=Z$83, 0, distance(VLOOKUP($A111,Cuision!$G:$P,9,FALSE),VLOOKUP($A111,Cuision!$G:$P,10,FALSE),VLOOKUP(Z$83,Cuision!$G:$P,9,FALSE),VLOOKUP(Z$83,Cuision!$G:$P,10,FALSE)))</f>
        <v>-1</v>
      </c>
      <c r="AA111" s="33">
        <f>IF($A111=AA$83, 0, distance(VLOOKUP($A111,Cuision!$G:$P,9,FALSE),VLOOKUP($A111,Cuision!$G:$P,10,FALSE),VLOOKUP(AA$83,Cuision!$G:$P,9,FALSE),VLOOKUP(AA$83,Cuision!$G:$P,10,FALSE)))</f>
        <v>7881.5602723081884</v>
      </c>
      <c r="AB111" s="33">
        <f>IF($A111=AB$83, 0, distance(VLOOKUP($A111,Cuision!$G:$P,9,FALSE),VLOOKUP($A111,Cuision!$G:$P,10,FALSE),VLOOKUP(AB$83,Cuision!$G:$P,9,FALSE),VLOOKUP(AB$83,Cuision!$G:$P,10,FALSE)))</f>
        <v>3161.7452663751119</v>
      </c>
      <c r="AC111" s="33">
        <f>IF($A111=AC$83, 0, distance(VLOOKUP($A111,Cuision!$G:$P,9,FALSE),VLOOKUP($A111,Cuision!$G:$P,10,FALSE),VLOOKUP(AC$83,Cuision!$G:$P,9,FALSE),VLOOKUP(AC$83,Cuision!$G:$P,10,FALSE)))</f>
        <v>0</v>
      </c>
      <c r="AD111" s="33">
        <f>IF($A111=AD$83, 0, distance(VLOOKUP($A111,Cuision!$G:$P,9,FALSE),VLOOKUP($A111,Cuision!$G:$P,10,FALSE),VLOOKUP(AD$83,Cuision!$G:$P,9,FALSE),VLOOKUP(AD$83,Cuision!$G:$P,10,FALSE)))</f>
        <v>5546.9505321823071</v>
      </c>
      <c r="AE111" s="33">
        <f>IF($A111=AE$83, 0, distance(VLOOKUP($A111,Cuision!$G:$P,9,FALSE),VLOOKUP($A111,Cuision!$G:$P,10,FALSE),VLOOKUP(AE$83,Cuision!$G:$P,9,FALSE),VLOOKUP(AE$83,Cuision!$G:$P,10,FALSE)))</f>
        <v>3911.5569113983406</v>
      </c>
      <c r="AF111" s="33">
        <f>IF($A111=AF$83, 0, distance(VLOOKUP($A111,Cuision!$G:$P,9,FALSE),VLOOKUP($A111,Cuision!$G:$P,10,FALSE),VLOOKUP(AF$83,Cuision!$G:$P,9,FALSE),VLOOKUP(AF$83,Cuision!$G:$P,10,FALSE)))</f>
        <v>3462.9564883033372</v>
      </c>
      <c r="AG111" s="33">
        <f>IF($A111=AG$83, 0, distance(VLOOKUP($A111,Cuision!$G:$P,9,FALSE),VLOOKUP($A111,Cuision!$G:$P,10,FALSE),VLOOKUP(AG$83,Cuision!$G:$P,9,FALSE),VLOOKUP(AG$83,Cuision!$G:$P,10,FALSE)))</f>
        <v>3324.7186558808503</v>
      </c>
      <c r="AH111" s="33">
        <f>IF($A111=AH$83, 0, distance(VLOOKUP($A111,Cuision!$G:$P,9,FALSE),VLOOKUP($A111,Cuision!$G:$P,10,FALSE),VLOOKUP(AH$83,Cuision!$G:$P,9,FALSE),VLOOKUP(AH$83,Cuision!$G:$P,10,FALSE)))</f>
        <v>-1</v>
      </c>
      <c r="AI111" s="33">
        <f>IF($A111=AI$83, 0, distance(VLOOKUP($A111,Cuision!$G:$P,9,FALSE),VLOOKUP($A111,Cuision!$G:$P,10,FALSE),VLOOKUP(AI$83,Cuision!$G:$P,9,FALSE),VLOOKUP(AI$83,Cuision!$G:$P,10,FALSE)))</f>
        <v>2208.8004991720322</v>
      </c>
      <c r="AJ111" s="33">
        <f>IF($A111=AJ$83, 0, distance(VLOOKUP($A111,Cuision!$G:$P,9,FALSE),VLOOKUP($A111,Cuision!$G:$P,10,FALSE),VLOOKUP(AJ$83,Cuision!$G:$P,9,FALSE),VLOOKUP(AJ$83,Cuision!$G:$P,10,FALSE)))</f>
        <v>1422.5251673874473</v>
      </c>
      <c r="AK111" s="33">
        <f>IF($A111=AK$83, 0, distance(VLOOKUP($A111,Cuision!$G:$P,9,FALSE),VLOOKUP($A111,Cuision!$G:$P,10,FALSE),VLOOKUP(AK$83,Cuision!$G:$P,9,FALSE),VLOOKUP(AK$83,Cuision!$G:$P,10,FALSE)))</f>
        <v>10213.16709461764</v>
      </c>
      <c r="AL111" s="33">
        <f>IF($A111=AL$83, 0, distance(VLOOKUP($A111,Cuision!$G:$P,9,FALSE),VLOOKUP($A111,Cuision!$G:$P,10,FALSE),VLOOKUP(AL$83,Cuision!$G:$P,9,FALSE),VLOOKUP(AL$83,Cuision!$G:$P,10,FALSE)))</f>
        <v>3290.1433965552865</v>
      </c>
      <c r="AM111" s="33">
        <f>IF($A111=AM$83, 0, distance(VLOOKUP($A111,Cuision!$G:$P,9,FALSE),VLOOKUP($A111,Cuision!$G:$P,10,FALSE),VLOOKUP(AM$83,Cuision!$G:$P,9,FALSE),VLOOKUP(AM$83,Cuision!$G:$P,10,FALSE)))</f>
        <v>-1</v>
      </c>
      <c r="AN111" s="33">
        <f>IF($A111=AN$83, 0, distance(VLOOKUP($A111,Cuision!$G:$P,9,FALSE),VLOOKUP($A111,Cuision!$G:$P,10,FALSE),VLOOKUP(AN$83,Cuision!$G:$P,9,FALSE),VLOOKUP(AN$83,Cuision!$G:$P,10,FALSE)))</f>
        <v>2898.2974639371701</v>
      </c>
      <c r="AO111" s="33">
        <f>IF($A111=AO$83, 0, distance(VLOOKUP($A111,Cuision!$G:$P,9,FALSE),VLOOKUP($A111,Cuision!$G:$P,10,FALSE),VLOOKUP(AO$83,Cuision!$G:$P,9,FALSE),VLOOKUP(AO$83,Cuision!$G:$P,10,FALSE)))</f>
        <v>3383.3410356236627</v>
      </c>
      <c r="AP111" s="33">
        <f>IF($A111=AP$83, 0, distance(VLOOKUP($A111,Cuision!$G:$P,9,FALSE),VLOOKUP($A111,Cuision!$G:$P,10,FALSE),VLOOKUP(AP$83,Cuision!$G:$P,9,FALSE),VLOOKUP(AP$83,Cuision!$G:$P,10,FALSE)))</f>
        <v>2838.2431048792996</v>
      </c>
      <c r="AQ111" s="33">
        <f>IF($A111=AQ$83, 0, distance(VLOOKUP($A111,Cuision!$G:$P,9,FALSE),VLOOKUP($A111,Cuision!$G:$P,10,FALSE),VLOOKUP(AQ$83,Cuision!$G:$P,9,FALSE),VLOOKUP(AQ$83,Cuision!$G:$P,10,FALSE)))</f>
        <v>4805.7815287328185</v>
      </c>
      <c r="AR111" s="33">
        <f>IF($A111=AR$83, 0, distance(VLOOKUP($A111,Cuision!$G:$P,9,FALSE),VLOOKUP($A111,Cuision!$G:$P,10,FALSE),VLOOKUP(AR$83,Cuision!$G:$P,9,FALSE),VLOOKUP(AR$83,Cuision!$G:$P,10,FALSE)))</f>
        <v>3664.7179459095614</v>
      </c>
      <c r="AS111" s="33">
        <f>IF($A111=AS$83, 0, distance(VLOOKUP($A111,Cuision!$G:$P,9,FALSE),VLOOKUP($A111,Cuision!$G:$P,10,FALSE),VLOOKUP(AS$83,Cuision!$G:$P,9,FALSE),VLOOKUP(AS$83,Cuision!$G:$P,10,FALSE)))</f>
        <v>2776.3560854896082</v>
      </c>
      <c r="AT111" s="33">
        <f>IF($A111=AT$83, 0, distance(VLOOKUP($A111,Cuision!$G:$P,9,FALSE),VLOOKUP($A111,Cuision!$G:$P,10,FALSE),VLOOKUP(AT$83,Cuision!$G:$P,9,FALSE),VLOOKUP(AT$83,Cuision!$G:$P,10,FALSE)))</f>
        <v>6458.7955329231763</v>
      </c>
      <c r="AU111" s="33">
        <f>IF($A111=AU$83, 0, distance(VLOOKUP($A111,Cuision!$G:$P,9,FALSE),VLOOKUP($A111,Cuision!$G:$P,10,FALSE),VLOOKUP(AU$83,Cuision!$G:$P,9,FALSE),VLOOKUP(AU$83,Cuision!$G:$P,10,FALSE)))</f>
        <v>5742.8340282541449</v>
      </c>
      <c r="AV111" s="33">
        <f>IF($A111=AV$83, 0, distance(VLOOKUP($A111,Cuision!$G:$P,9,FALSE),VLOOKUP($A111,Cuision!$G:$P,10,FALSE),VLOOKUP(AV$83,Cuision!$G:$P,9,FALSE),VLOOKUP(AV$83,Cuision!$G:$P,10,FALSE)))</f>
        <v>1863.7227411783297</v>
      </c>
      <c r="AW111" s="33">
        <f>IF($A111=AW$83, 0, distance(VLOOKUP($A111,Cuision!$G:$P,9,FALSE),VLOOKUP($A111,Cuision!$G:$P,10,FALSE),VLOOKUP(AW$83,Cuision!$G:$P,9,FALSE),VLOOKUP(AW$83,Cuision!$G:$P,10,FALSE)))</f>
        <v>4315.1792953869435</v>
      </c>
      <c r="AX111" s="33">
        <f>IF($A111=AX$83, 0, distance(VLOOKUP($A111,Cuision!$G:$P,9,FALSE),VLOOKUP($A111,Cuision!$G:$P,10,FALSE),VLOOKUP(AX$83,Cuision!$G:$P,9,FALSE),VLOOKUP(AX$83,Cuision!$G:$P,10,FALSE)))</f>
        <v>6952.3770668325487</v>
      </c>
      <c r="AY111" s="33">
        <f>IF($A111=AY$83, 0, distance(VLOOKUP($A111,Cuision!$G:$P,9,FALSE),VLOOKUP($A111,Cuision!$G:$P,10,FALSE),VLOOKUP(AY$83,Cuision!$G:$P,9,FALSE),VLOOKUP(AY$83,Cuision!$G:$P,10,FALSE)))</f>
        <v>-1</v>
      </c>
      <c r="AZ111" s="33">
        <f>IF($A111=AZ$83, 0, distance(VLOOKUP($A111,Cuision!$G:$P,9,FALSE),VLOOKUP($A111,Cuision!$G:$P,10,FALSE),VLOOKUP(AZ$83,Cuision!$G:$P,9,FALSE),VLOOKUP(AZ$83,Cuision!$G:$P,10,FALSE)))</f>
        <v>4338.349780841153</v>
      </c>
      <c r="BA111" s="33">
        <f>IF($A111=BA$83, 0, distance(VLOOKUP($A111,Cuision!$G:$P,9,FALSE),VLOOKUP($A111,Cuision!$G:$P,10,FALSE),VLOOKUP(BA$83,Cuision!$G:$P,9,FALSE),VLOOKUP(BA$83,Cuision!$G:$P,10,FALSE)))</f>
        <v>2197.6426152300396</v>
      </c>
      <c r="BB111" s="33">
        <f>IF($A111=BB$83, 0, distance(VLOOKUP($A111,Cuision!$G:$P,9,FALSE),VLOOKUP($A111,Cuision!$G:$P,10,FALSE),VLOOKUP(BB$83,Cuision!$G:$P,9,FALSE),VLOOKUP(BB$83,Cuision!$G:$P,10,FALSE)))</f>
        <v>8960.5980326565459</v>
      </c>
      <c r="BC111" s="33">
        <f>IF($A111=BC$83, 0, distance(VLOOKUP($A111,Cuision!$G:$P,9,FALSE),VLOOKUP($A111,Cuision!$G:$P,10,FALSE),VLOOKUP(BC$83,Cuision!$G:$P,9,FALSE),VLOOKUP(BC$83,Cuision!$G:$P,10,FALSE)))</f>
        <v>1422.5251673874473</v>
      </c>
      <c r="BD111" s="33">
        <f>IF($A111=BD$83, 0, distance(VLOOKUP($A111,Cuision!$G:$P,9,FALSE),VLOOKUP($A111,Cuision!$G:$P,10,FALSE),VLOOKUP(BD$83,Cuision!$G:$P,9,FALSE),VLOOKUP(BD$83,Cuision!$G:$P,10,FALSE)))</f>
        <v>4747.7883263954263</v>
      </c>
      <c r="BE111" s="33">
        <f>IF($A111=BE$83, 0, distance(VLOOKUP($A111,Cuision!$G:$P,9,FALSE),VLOOKUP($A111,Cuision!$G:$P,10,FALSE),VLOOKUP(BE$83,Cuision!$G:$P,9,FALSE),VLOOKUP(BE$83,Cuision!$G:$P,10,FALSE)))</f>
        <v>3360.9841592238572</v>
      </c>
      <c r="BF111" s="33">
        <f>IF($A111=BF$83, 0, distance(VLOOKUP($A111,Cuision!$G:$P,9,FALSE),VLOOKUP($A111,Cuision!$G:$P,10,FALSE),VLOOKUP(BF$83,Cuision!$G:$P,9,FALSE),VLOOKUP(BF$83,Cuision!$G:$P,10,FALSE)))</f>
        <v>2765.5166309850683</v>
      </c>
      <c r="BG111" s="33">
        <f>IF($A111=BG$83, 0, distance(VLOOKUP($A111,Cuision!$G:$P,9,FALSE),VLOOKUP($A111,Cuision!$G:$P,10,FALSE),VLOOKUP(BG$83,Cuision!$G:$P,9,FALSE),VLOOKUP(BG$83,Cuision!$G:$P,10,FALSE)))</f>
        <v>2008.0613195547601</v>
      </c>
      <c r="BH111" s="33">
        <f>IF($A111=BH$83, 0, distance(VLOOKUP($A111,Cuision!$G:$P,9,FALSE),VLOOKUP($A111,Cuision!$G:$P,10,FALSE),VLOOKUP(BH$83,Cuision!$G:$P,9,FALSE),VLOOKUP(BH$83,Cuision!$G:$P,10,FALSE)))</f>
        <v>8078.2109864208724</v>
      </c>
      <c r="BI111" s="33">
        <f>IF($A111=BI$83, 0, distance(VLOOKUP($A111,Cuision!$G:$P,9,FALSE),VLOOKUP($A111,Cuision!$G:$P,10,FALSE),VLOOKUP(BI$83,Cuision!$G:$P,9,FALSE),VLOOKUP(BI$83,Cuision!$G:$P,10,FALSE)))</f>
        <v>3148.1691234483469</v>
      </c>
      <c r="BJ111" s="33">
        <f>IF($A111=BJ$83, 0, distance(VLOOKUP($A111,Cuision!$G:$P,9,FALSE),VLOOKUP($A111,Cuision!$G:$P,10,FALSE),VLOOKUP(BJ$83,Cuision!$G:$P,9,FALSE),VLOOKUP(BJ$83,Cuision!$G:$P,10,FALSE)))</f>
        <v>3596.6355545508072</v>
      </c>
      <c r="BK111" s="33">
        <f>IF($A111=BK$83, 0, distance(VLOOKUP($A111,Cuision!$G:$P,9,FALSE),VLOOKUP($A111,Cuision!$G:$P,10,FALSE),VLOOKUP(BK$83,Cuision!$G:$P,9,FALSE),VLOOKUP(BK$83,Cuision!$G:$P,10,FALSE)))</f>
        <v>3229.1633501380543</v>
      </c>
      <c r="BL111" s="33">
        <f>IF($A111=BL$83, 0, distance(VLOOKUP($A111,Cuision!$G:$P,9,FALSE),VLOOKUP($A111,Cuision!$G:$P,10,FALSE),VLOOKUP(BL$83,Cuision!$G:$P,9,FALSE),VLOOKUP(BL$83,Cuision!$G:$P,10,FALSE)))</f>
        <v>-1</v>
      </c>
      <c r="BM111" s="33">
        <f>IF($A111=BM$83, 0, distance(VLOOKUP($A111,Cuision!$G:$P,9,FALSE),VLOOKUP($A111,Cuision!$G:$P,10,FALSE),VLOOKUP(BM$83,Cuision!$G:$P,9,FALSE),VLOOKUP(BM$83,Cuision!$G:$P,10,FALSE)))</f>
        <v>-1</v>
      </c>
      <c r="BN111" s="33">
        <f>IF($A111=BN$83, 0, distance(VLOOKUP($A111,Cuision!$G:$P,9,FALSE),VLOOKUP($A111,Cuision!$G:$P,10,FALSE),VLOOKUP(BN$83,Cuision!$G:$P,9,FALSE),VLOOKUP(BN$83,Cuision!$G:$P,10,FALSE)))</f>
        <v>3664.7179459095614</v>
      </c>
      <c r="BO111" s="33">
        <f>IF($A111=BO$83, 0, distance(VLOOKUP($A111,Cuision!$G:$P,9,FALSE),VLOOKUP($A111,Cuision!$G:$P,10,FALSE),VLOOKUP(BO$83,Cuision!$G:$P,9,FALSE),VLOOKUP(BO$83,Cuision!$G:$P,10,FALSE)))</f>
        <v>4505.5347758173402</v>
      </c>
      <c r="BP111" s="33">
        <f>IF($A111=BP$83, 0, distance(VLOOKUP($A111,Cuision!$G:$P,9,FALSE),VLOOKUP($A111,Cuision!$G:$P,10,FALSE),VLOOKUP(BP$83,Cuision!$G:$P,9,FALSE),VLOOKUP(BP$83,Cuision!$G:$P,10,FALSE)))</f>
        <v>2982.9213814040781</v>
      </c>
      <c r="BQ111" s="33">
        <f>IF($A111=BQ$83, 0, distance(VLOOKUP($A111,Cuision!$G:$P,9,FALSE),VLOOKUP($A111,Cuision!$G:$P,10,FALSE),VLOOKUP(BQ$83,Cuision!$G:$P,9,FALSE),VLOOKUP(BQ$83,Cuision!$G:$P,10,FALSE)))</f>
        <v>-1</v>
      </c>
      <c r="BR111" s="33">
        <f>IF($A111=BR$83, 0, distance(VLOOKUP($A111,Cuision!$G:$P,9,FALSE),VLOOKUP($A111,Cuision!$G:$P,10,FALSE),VLOOKUP(BR$83,Cuision!$G:$P,9,FALSE),VLOOKUP(BR$83,Cuision!$G:$P,10,FALSE)))</f>
        <v>7161.0334431549763</v>
      </c>
      <c r="BS111" s="33">
        <f>IF($A111=BS$83, 0, distance(VLOOKUP($A111,Cuision!$G:$P,9,FALSE),VLOOKUP($A111,Cuision!$G:$P,10,FALSE),VLOOKUP(BS$83,Cuision!$G:$P,9,FALSE),VLOOKUP(BS$83,Cuision!$G:$P,10,FALSE)))</f>
        <v>5166.1739021496505</v>
      </c>
      <c r="BT111" s="33">
        <f>IF($A111=BT$83, 0, distance(VLOOKUP($A111,Cuision!$G:$P,9,FALSE),VLOOKUP($A111,Cuision!$G:$P,10,FALSE),VLOOKUP(BT$83,Cuision!$G:$P,9,FALSE),VLOOKUP(BT$83,Cuision!$G:$P,10,FALSE)))</f>
        <v>3383.3410356236627</v>
      </c>
      <c r="BU111" s="33">
        <f>IF($A111=BU$83, 0, distance(VLOOKUP($A111,Cuision!$G:$P,9,FALSE),VLOOKUP($A111,Cuision!$G:$P,10,FALSE),VLOOKUP(BU$83,Cuision!$G:$P,9,FALSE),VLOOKUP(BU$83,Cuision!$G:$P,10,FALSE)))</f>
        <v>4184.8986603585781</v>
      </c>
      <c r="BV111" s="33">
        <f>IF($A111=BV$83, 0, distance(VLOOKUP($A111,Cuision!$G:$P,9,FALSE),VLOOKUP($A111,Cuision!$G:$P,10,FALSE),VLOOKUP(BV$83,Cuision!$G:$P,9,FALSE),VLOOKUP(BV$83,Cuision!$G:$P,10,FALSE)))</f>
        <v>2165.6109791208214</v>
      </c>
      <c r="BW111" s="33">
        <f>IF($A111=BW$83, 0, distance(VLOOKUP($A111,Cuision!$G:$P,9,FALSE),VLOOKUP($A111,Cuision!$G:$P,10,FALSE),VLOOKUP(BW$83,Cuision!$G:$P,9,FALSE),VLOOKUP(BW$83,Cuision!$G:$P,10,FALSE)))</f>
        <v>2900.9319304228075</v>
      </c>
      <c r="BX111" s="33">
        <f>IF($A111=BX$83, 0, distance(VLOOKUP($A111,Cuision!$G:$P,9,FALSE),VLOOKUP($A111,Cuision!$G:$P,10,FALSE),VLOOKUP(BX$83,Cuision!$G:$P,9,FALSE),VLOOKUP(BX$83,Cuision!$G:$P,10,FALSE)))</f>
        <v>2900.9347915816084</v>
      </c>
      <c r="BY111" s="33">
        <f>IF($A111=BY$83, 0, distance(VLOOKUP($A111,Cuision!$G:$P,9,FALSE),VLOOKUP($A111,Cuision!$G:$P,10,FALSE),VLOOKUP(BY$83,Cuision!$G:$P,9,FALSE),VLOOKUP(BY$83,Cuision!$G:$P,10,FALSE)))</f>
        <v>-1</v>
      </c>
      <c r="BZ111" s="33">
        <f>IF($A111=BZ$83, 0, distance(VLOOKUP($A111,Cuision!$G:$P,9,FALSE),VLOOKUP($A111,Cuision!$G:$P,10,FALSE),VLOOKUP(BZ$83,Cuision!$G:$P,9,FALSE),VLOOKUP(BZ$83,Cuision!$G:$P,10,FALSE)))</f>
        <v>-1</v>
      </c>
      <c r="CA111" s="33">
        <f>IF($A111=CA$83, 0, distance(VLOOKUP($A111,Cuision!$G:$P,9,FALSE),VLOOKUP($A111,Cuision!$G:$P,10,FALSE),VLOOKUP(CA$83,Cuision!$G:$P,9,FALSE),VLOOKUP(CA$83,Cuision!$G:$P,10,FALSE)))</f>
        <v>4523.5298561902227</v>
      </c>
    </row>
    <row r="112" spans="1:79" ht="14.25" x14ac:dyDescent="0.2">
      <c r="A112" s="30" t="s">
        <v>78</v>
      </c>
      <c r="B112" s="33">
        <f>IF($A112=B$83, 0, distance(VLOOKUP($A112,Cuision!$G:$P,9,FALSE),VLOOKUP($A112,Cuision!$G:$P,10,FALSE),VLOOKUP(B$83,Cuision!$G:$P,9,FALSE),VLOOKUP(B$83,Cuision!$G:$P,10,FALSE)))</f>
        <v>3490.5482565296907</v>
      </c>
      <c r="C112" s="33">
        <f>IF($A112=C$83, 0, distance(VLOOKUP($A112,Cuision!$G:$P,9,FALSE),VLOOKUP($A112,Cuision!$G:$P,10,FALSE),VLOOKUP(C$83,Cuision!$G:$P,9,FALSE),VLOOKUP(C$83,Cuision!$G:$P,10,FALSE)))</f>
        <v>6137.4597585595648</v>
      </c>
      <c r="D112" s="33">
        <f>IF($A112=D$83, 0, distance(VLOOKUP($A112,Cuision!$G:$P,9,FALSE),VLOOKUP($A112,Cuision!$G:$P,10,FALSE),VLOOKUP(D$83,Cuision!$G:$P,9,FALSE),VLOOKUP(D$83,Cuision!$G:$P,10,FALSE)))</f>
        <v>8560.9016737059901</v>
      </c>
      <c r="E112" s="33">
        <f>IF($A112=E$83, 0, distance(VLOOKUP($A112,Cuision!$G:$P,9,FALSE),VLOOKUP($A112,Cuision!$G:$P,10,FALSE),VLOOKUP(E$83,Cuision!$G:$P,9,FALSE),VLOOKUP(E$83,Cuision!$G:$P,10,FALSE)))</f>
        <v>8560.9016737059901</v>
      </c>
      <c r="F112" s="33">
        <f>IF($A112=F$83, 0, distance(VLOOKUP($A112,Cuision!$G:$P,9,FALSE),VLOOKUP($A112,Cuision!$G:$P,10,FALSE),VLOOKUP(F$83,Cuision!$G:$P,9,FALSE),VLOOKUP(F$83,Cuision!$G:$P,10,FALSE)))</f>
        <v>5042.5080887338581</v>
      </c>
      <c r="G112" s="33">
        <f>IF($A112=G$83, 0, distance(VLOOKUP($A112,Cuision!$G:$P,9,FALSE),VLOOKUP($A112,Cuision!$G:$P,10,FALSE),VLOOKUP(G$83,Cuision!$G:$P,9,FALSE),VLOOKUP(G$83,Cuision!$G:$P,10,FALSE)))</f>
        <v>11053.134407003683</v>
      </c>
      <c r="H112" s="33">
        <f>IF($A112=H$83, 0, distance(VLOOKUP($A112,Cuision!$G:$P,9,FALSE),VLOOKUP($A112,Cuision!$G:$P,10,FALSE),VLOOKUP(H$83,Cuision!$G:$P,9,FALSE),VLOOKUP(H$83,Cuision!$G:$P,10,FALSE)))</f>
        <v>4863.2819410283682</v>
      </c>
      <c r="I112" s="33">
        <f>IF($A112=I$83, 0, distance(VLOOKUP($A112,Cuision!$G:$P,9,FALSE),VLOOKUP($A112,Cuision!$G:$P,10,FALSE),VLOOKUP(I$83,Cuision!$G:$P,9,FALSE),VLOOKUP(I$83,Cuision!$G:$P,10,FALSE)))</f>
        <v>1849.290410860461</v>
      </c>
      <c r="J112" s="33">
        <f>IF($A112=J$83, 0, distance(VLOOKUP($A112,Cuision!$G:$P,9,FALSE),VLOOKUP($A112,Cuision!$G:$P,10,FALSE),VLOOKUP(J$83,Cuision!$G:$P,9,FALSE),VLOOKUP(J$83,Cuision!$G:$P,10,FALSE)))</f>
        <v>3908.2764576260129</v>
      </c>
      <c r="K112" s="33">
        <f>IF($A112=K$83, 0, distance(VLOOKUP($A112,Cuision!$G:$P,9,FALSE),VLOOKUP($A112,Cuision!$G:$P,10,FALSE),VLOOKUP(K$83,Cuision!$G:$P,9,FALSE),VLOOKUP(K$83,Cuision!$G:$P,10,FALSE)))</f>
        <v>6118.030071872563</v>
      </c>
      <c r="L112" s="33">
        <f>IF($A112=L$83, 0, distance(VLOOKUP($A112,Cuision!$G:$P,9,FALSE),VLOOKUP($A112,Cuision!$G:$P,10,FALSE),VLOOKUP(L$83,Cuision!$G:$P,9,FALSE),VLOOKUP(L$83,Cuision!$G:$P,10,FALSE)))</f>
        <v>2086.8242079270608</v>
      </c>
      <c r="M112" s="33">
        <f>IF($A112=M$83, 0, distance(VLOOKUP($A112,Cuision!$G:$P,9,FALSE),VLOOKUP($A112,Cuision!$G:$P,10,FALSE),VLOOKUP(M$83,Cuision!$G:$P,9,FALSE),VLOOKUP(M$83,Cuision!$G:$P,10,FALSE)))</f>
        <v>-1</v>
      </c>
      <c r="N112" s="33">
        <f>IF($A112=N$83, 0, distance(VLOOKUP($A112,Cuision!$G:$P,9,FALSE),VLOOKUP($A112,Cuision!$G:$P,10,FALSE),VLOOKUP(N$83,Cuision!$G:$P,9,FALSE),VLOOKUP(N$83,Cuision!$G:$P,10,FALSE)))</f>
        <v>7241.8978224343373</v>
      </c>
      <c r="O112" s="33">
        <f>IF($A112=O$83, 0, distance(VLOOKUP($A112,Cuision!$G:$P,9,FALSE),VLOOKUP($A112,Cuision!$G:$P,10,FALSE),VLOOKUP(O$83,Cuision!$G:$P,9,FALSE),VLOOKUP(O$83,Cuision!$G:$P,10,FALSE)))</f>
        <v>6528.6624114404267</v>
      </c>
      <c r="P112" s="33">
        <f>IF($A112=P$83, 0, distance(VLOOKUP($A112,Cuision!$G:$P,9,FALSE),VLOOKUP($A112,Cuision!$G:$P,10,FALSE),VLOOKUP(P$83,Cuision!$G:$P,9,FALSE),VLOOKUP(P$83,Cuision!$G:$P,10,FALSE)))</f>
        <v>11692.375686027855</v>
      </c>
      <c r="Q112" s="33">
        <f>IF($A112=Q$83, 0, distance(VLOOKUP($A112,Cuision!$G:$P,9,FALSE),VLOOKUP($A112,Cuision!$G:$P,10,FALSE),VLOOKUP(Q$83,Cuision!$G:$P,9,FALSE),VLOOKUP(Q$83,Cuision!$G:$P,10,FALSE)))</f>
        <v>-1</v>
      </c>
      <c r="R112" s="33">
        <f>IF($A112=R$83, 0, distance(VLOOKUP($A112,Cuision!$G:$P,9,FALSE),VLOOKUP($A112,Cuision!$G:$P,10,FALSE),VLOOKUP(R$83,Cuision!$G:$P,9,FALSE),VLOOKUP(R$83,Cuision!$G:$P,10,FALSE)))</f>
        <v>6669.9184350642254</v>
      </c>
      <c r="S112" s="33">
        <f>IF($A112=S$83, 0, distance(VLOOKUP($A112,Cuision!$G:$P,9,FALSE),VLOOKUP($A112,Cuision!$G:$P,10,FALSE),VLOOKUP(S$83,Cuision!$G:$P,9,FALSE),VLOOKUP(S$83,Cuision!$G:$P,10,FALSE)))</f>
        <v>-1</v>
      </c>
      <c r="T112" s="33">
        <f>IF($A112=T$83, 0, distance(VLOOKUP($A112,Cuision!$G:$P,9,FALSE),VLOOKUP($A112,Cuision!$G:$P,10,FALSE),VLOOKUP(T$83,Cuision!$G:$P,9,FALSE),VLOOKUP(T$83,Cuision!$G:$P,10,FALSE)))</f>
        <v>1676.6608392471278</v>
      </c>
      <c r="U112" s="33">
        <f>IF($A112=U$83, 0, distance(VLOOKUP($A112,Cuision!$G:$P,9,FALSE),VLOOKUP($A112,Cuision!$G:$P,10,FALSE),VLOOKUP(U$83,Cuision!$G:$P,9,FALSE),VLOOKUP(U$83,Cuision!$G:$P,10,FALSE)))</f>
        <v>-1</v>
      </c>
      <c r="V112" s="33">
        <f>IF($A112=V$83, 0, distance(VLOOKUP($A112,Cuision!$G:$P,9,FALSE),VLOOKUP($A112,Cuision!$G:$P,10,FALSE),VLOOKUP(V$83,Cuision!$G:$P,9,FALSE),VLOOKUP(V$83,Cuision!$G:$P,10,FALSE)))</f>
        <v>8560.9016737059901</v>
      </c>
      <c r="W112" s="33">
        <f>IF($A112=W$83, 0, distance(VLOOKUP($A112,Cuision!$G:$P,9,FALSE),VLOOKUP($A112,Cuision!$G:$P,10,FALSE),VLOOKUP(W$83,Cuision!$G:$P,9,FALSE),VLOOKUP(W$83,Cuision!$G:$P,10,FALSE)))</f>
        <v>1100.6921569256515</v>
      </c>
      <c r="X112" s="33">
        <f>IF($A112=X$83, 0, distance(VLOOKUP($A112,Cuision!$G:$P,9,FALSE),VLOOKUP($A112,Cuision!$G:$P,10,FALSE),VLOOKUP(X$83,Cuision!$G:$P,9,FALSE),VLOOKUP(X$83,Cuision!$G:$P,10,FALSE)))</f>
        <v>7241.8978224343373</v>
      </c>
      <c r="Y112" s="33">
        <f>IF($A112=Y$83, 0, distance(VLOOKUP($A112,Cuision!$G:$P,9,FALSE),VLOOKUP($A112,Cuision!$G:$P,10,FALSE),VLOOKUP(Y$83,Cuision!$G:$P,9,FALSE),VLOOKUP(Y$83,Cuision!$G:$P,10,FALSE)))</f>
        <v>1770.4881182960353</v>
      </c>
      <c r="Z112" s="33">
        <f>IF($A112=Z$83, 0, distance(VLOOKUP($A112,Cuision!$G:$P,9,FALSE),VLOOKUP($A112,Cuision!$G:$P,10,FALSE),VLOOKUP(Z$83,Cuision!$G:$P,9,FALSE),VLOOKUP(Z$83,Cuision!$G:$P,10,FALSE)))</f>
        <v>-1</v>
      </c>
      <c r="AA112" s="33">
        <f>IF($A112=AA$83, 0, distance(VLOOKUP($A112,Cuision!$G:$P,9,FALSE),VLOOKUP($A112,Cuision!$G:$P,10,FALSE),VLOOKUP(AA$83,Cuision!$G:$P,9,FALSE),VLOOKUP(AA$83,Cuision!$G:$P,10,FALSE)))</f>
        <v>9388.3732419440312</v>
      </c>
      <c r="AB112" s="33">
        <f>IF($A112=AB$83, 0, distance(VLOOKUP($A112,Cuision!$G:$P,9,FALSE),VLOOKUP($A112,Cuision!$G:$P,10,FALSE),VLOOKUP(AB$83,Cuision!$G:$P,9,FALSE),VLOOKUP(AB$83,Cuision!$G:$P,10,FALSE)))</f>
        <v>6153.2092290434202</v>
      </c>
      <c r="AC112" s="33">
        <f>IF($A112=AC$83, 0, distance(VLOOKUP($A112,Cuision!$G:$P,9,FALSE),VLOOKUP($A112,Cuision!$G:$P,10,FALSE),VLOOKUP(AC$83,Cuision!$G:$P,9,FALSE),VLOOKUP(AC$83,Cuision!$G:$P,10,FALSE)))</f>
        <v>5546.9505321823071</v>
      </c>
      <c r="AD112" s="33">
        <f>IF($A112=AD$83, 0, distance(VLOOKUP($A112,Cuision!$G:$P,9,FALSE),VLOOKUP($A112,Cuision!$G:$P,10,FALSE),VLOOKUP(AD$83,Cuision!$G:$P,9,FALSE),VLOOKUP(AD$83,Cuision!$G:$P,10,FALSE)))</f>
        <v>0</v>
      </c>
      <c r="AE112" s="33">
        <f>IF($A112=AE$83, 0, distance(VLOOKUP($A112,Cuision!$G:$P,9,FALSE),VLOOKUP($A112,Cuision!$G:$P,10,FALSE),VLOOKUP(AE$83,Cuision!$G:$P,9,FALSE),VLOOKUP(AE$83,Cuision!$G:$P,10,FALSE)))</f>
        <v>5904.0127943331299</v>
      </c>
      <c r="AF112" s="33">
        <f>IF($A112=AF$83, 0, distance(VLOOKUP($A112,Cuision!$G:$P,9,FALSE),VLOOKUP($A112,Cuision!$G:$P,10,FALSE),VLOOKUP(AF$83,Cuision!$G:$P,9,FALSE),VLOOKUP(AF$83,Cuision!$G:$P,10,FALSE)))</f>
        <v>6675.5819607282747</v>
      </c>
      <c r="AG112" s="33">
        <f>IF($A112=AG$83, 0, distance(VLOOKUP($A112,Cuision!$G:$P,9,FALSE),VLOOKUP($A112,Cuision!$G:$P,10,FALSE),VLOOKUP(AG$83,Cuision!$G:$P,9,FALSE),VLOOKUP(AG$83,Cuision!$G:$P,10,FALSE)))</f>
        <v>6129.8909101716454</v>
      </c>
      <c r="AH112" s="33">
        <f>IF($A112=AH$83, 0, distance(VLOOKUP($A112,Cuision!$G:$P,9,FALSE),VLOOKUP($A112,Cuision!$G:$P,10,FALSE),VLOOKUP(AH$83,Cuision!$G:$P,9,FALSE),VLOOKUP(AH$83,Cuision!$G:$P,10,FALSE)))</f>
        <v>-1</v>
      </c>
      <c r="AI112" s="33">
        <f>IF($A112=AI$83, 0, distance(VLOOKUP($A112,Cuision!$G:$P,9,FALSE),VLOOKUP($A112,Cuision!$G:$P,10,FALSE),VLOOKUP(AI$83,Cuision!$G:$P,9,FALSE),VLOOKUP(AI$83,Cuision!$G:$P,10,FALSE)))</f>
        <v>5985.492291386483</v>
      </c>
      <c r="AJ112" s="33">
        <f>IF($A112=AJ$83, 0, distance(VLOOKUP($A112,Cuision!$G:$P,9,FALSE),VLOOKUP($A112,Cuision!$G:$P,10,FALSE),VLOOKUP(AJ$83,Cuision!$G:$P,9,FALSE),VLOOKUP(AJ$83,Cuision!$G:$P,10,FALSE)))</f>
        <v>5042.5080887338581</v>
      </c>
      <c r="AK112" s="33">
        <f>IF($A112=AK$83, 0, distance(VLOOKUP($A112,Cuision!$G:$P,9,FALSE),VLOOKUP($A112,Cuision!$G:$P,10,FALSE),VLOOKUP(AK$83,Cuision!$G:$P,9,FALSE),VLOOKUP(AK$83,Cuision!$G:$P,10,FALSE)))</f>
        <v>5462.2387314283042</v>
      </c>
      <c r="AL112" s="33">
        <f>IF($A112=AL$83, 0, distance(VLOOKUP($A112,Cuision!$G:$P,9,FALSE),VLOOKUP($A112,Cuision!$G:$P,10,FALSE),VLOOKUP(AL$83,Cuision!$G:$P,9,FALSE),VLOOKUP(AL$83,Cuision!$G:$P,10,FALSE)))</f>
        <v>2458.1307506224207</v>
      </c>
      <c r="AM112" s="33">
        <f>IF($A112=AM$83, 0, distance(VLOOKUP($A112,Cuision!$G:$P,9,FALSE),VLOOKUP($A112,Cuision!$G:$P,10,FALSE),VLOOKUP(AM$83,Cuision!$G:$P,9,FALSE),VLOOKUP(AM$83,Cuision!$G:$P,10,FALSE)))</f>
        <v>-1</v>
      </c>
      <c r="AN112" s="33">
        <f>IF($A112=AN$83, 0, distance(VLOOKUP($A112,Cuision!$G:$P,9,FALSE),VLOOKUP($A112,Cuision!$G:$P,10,FALSE),VLOOKUP(AN$83,Cuision!$G:$P,9,FALSE),VLOOKUP(AN$83,Cuision!$G:$P,10,FALSE)))</f>
        <v>6017.761205239477</v>
      </c>
      <c r="AO112" s="33">
        <f>IF($A112=AO$83, 0, distance(VLOOKUP($A112,Cuision!$G:$P,9,FALSE),VLOOKUP($A112,Cuision!$G:$P,10,FALSE),VLOOKUP(AO$83,Cuision!$G:$P,9,FALSE),VLOOKUP(AO$83,Cuision!$G:$P,10,FALSE)))</f>
        <v>7241.8978224343373</v>
      </c>
      <c r="AP112" s="33">
        <f>IF($A112=AP$83, 0, distance(VLOOKUP($A112,Cuision!$G:$P,9,FALSE),VLOOKUP($A112,Cuision!$G:$P,10,FALSE),VLOOKUP(AP$83,Cuision!$G:$P,9,FALSE),VLOOKUP(AP$83,Cuision!$G:$P,10,FALSE)))</f>
        <v>2954.1636770714822</v>
      </c>
      <c r="AQ112" s="33">
        <f>IF($A112=AQ$83, 0, distance(VLOOKUP($A112,Cuision!$G:$P,9,FALSE),VLOOKUP($A112,Cuision!$G:$P,10,FALSE),VLOOKUP(AQ$83,Cuision!$G:$P,9,FALSE),VLOOKUP(AQ$83,Cuision!$G:$P,10,FALSE)))</f>
        <v>1733.3376489699242</v>
      </c>
      <c r="AR112" s="33">
        <f>IF($A112=AR$83, 0, distance(VLOOKUP($A112,Cuision!$G:$P,9,FALSE),VLOOKUP($A112,Cuision!$G:$P,10,FALSE),VLOOKUP(AR$83,Cuision!$G:$P,9,FALSE),VLOOKUP(AR$83,Cuision!$G:$P,10,FALSE)))</f>
        <v>6669.9184350642254</v>
      </c>
      <c r="AS112" s="33">
        <f>IF($A112=AS$83, 0, distance(VLOOKUP($A112,Cuision!$G:$P,9,FALSE),VLOOKUP($A112,Cuision!$G:$P,10,FALSE),VLOOKUP(AS$83,Cuision!$G:$P,9,FALSE),VLOOKUP(AS$83,Cuision!$G:$P,10,FALSE)))</f>
        <v>6456.849987398371</v>
      </c>
      <c r="AT112" s="33">
        <f>IF($A112=AT$83, 0, distance(VLOOKUP($A112,Cuision!$G:$P,9,FALSE),VLOOKUP($A112,Cuision!$G:$P,10,FALSE),VLOOKUP(AT$83,Cuision!$G:$P,9,FALSE),VLOOKUP(AT$83,Cuision!$G:$P,10,FALSE)))</f>
        <v>1861.2816477533845</v>
      </c>
      <c r="AU112" s="33">
        <f>IF($A112=AU$83, 0, distance(VLOOKUP($A112,Cuision!$G:$P,9,FALSE),VLOOKUP($A112,Cuision!$G:$P,10,FALSE),VLOOKUP(AU$83,Cuision!$G:$P,9,FALSE),VLOOKUP(AU$83,Cuision!$G:$P,10,FALSE)))</f>
        <v>1629.0916990541855</v>
      </c>
      <c r="AV112" s="33">
        <f>IF($A112=AV$83, 0, distance(VLOOKUP($A112,Cuision!$G:$P,9,FALSE),VLOOKUP($A112,Cuision!$G:$P,10,FALSE),VLOOKUP(AV$83,Cuision!$G:$P,9,FALSE),VLOOKUP(AV$83,Cuision!$G:$P,10,FALSE)))</f>
        <v>5596.7991028748938</v>
      </c>
      <c r="AW112" s="33">
        <f>IF($A112=AW$83, 0, distance(VLOOKUP($A112,Cuision!$G:$P,9,FALSE),VLOOKUP($A112,Cuision!$G:$P,10,FALSE),VLOOKUP(AW$83,Cuision!$G:$P,9,FALSE),VLOOKUP(AW$83,Cuision!$G:$P,10,FALSE)))</f>
        <v>1240.338517978219</v>
      </c>
      <c r="AX112" s="33">
        <f>IF($A112=AX$83, 0, distance(VLOOKUP($A112,Cuision!$G:$P,9,FALSE),VLOOKUP($A112,Cuision!$G:$P,10,FALSE),VLOOKUP(AX$83,Cuision!$G:$P,9,FALSE),VLOOKUP(AX$83,Cuision!$G:$P,10,FALSE)))</f>
        <v>11717.048312080922</v>
      </c>
      <c r="AY112" s="33">
        <f>IF($A112=AY$83, 0, distance(VLOOKUP($A112,Cuision!$G:$P,9,FALSE),VLOOKUP($A112,Cuision!$G:$P,10,FALSE),VLOOKUP(AY$83,Cuision!$G:$P,9,FALSE),VLOOKUP(AY$83,Cuision!$G:$P,10,FALSE)))</f>
        <v>-1</v>
      </c>
      <c r="AZ112" s="33">
        <f>IF($A112=AZ$83, 0, distance(VLOOKUP($A112,Cuision!$G:$P,9,FALSE),VLOOKUP($A112,Cuision!$G:$P,10,FALSE),VLOOKUP(AZ$83,Cuision!$G:$P,9,FALSE),VLOOKUP(AZ$83,Cuision!$G:$P,10,FALSE)))</f>
        <v>1534.3625441824265</v>
      </c>
      <c r="BA112" s="33">
        <f>IF($A112=BA$83, 0, distance(VLOOKUP($A112,Cuision!$G:$P,9,FALSE),VLOOKUP($A112,Cuision!$G:$P,10,FALSE),VLOOKUP(BA$83,Cuision!$G:$P,9,FALSE),VLOOKUP(BA$83,Cuision!$G:$P,10,FALSE)))</f>
        <v>6358.2591531773187</v>
      </c>
      <c r="BB112" s="33">
        <f>IF($A112=BB$83, 0, distance(VLOOKUP($A112,Cuision!$G:$P,9,FALSE),VLOOKUP($A112,Cuision!$G:$P,10,FALSE),VLOOKUP(BB$83,Cuision!$G:$P,9,FALSE),VLOOKUP(BB$83,Cuision!$G:$P,10,FALSE)))</f>
        <v>8835.7325900816868</v>
      </c>
      <c r="BC112" s="33">
        <f>IF($A112=BC$83, 0, distance(VLOOKUP($A112,Cuision!$G:$P,9,FALSE),VLOOKUP($A112,Cuision!$G:$P,10,FALSE),VLOOKUP(BC$83,Cuision!$G:$P,9,FALSE),VLOOKUP(BC$83,Cuision!$G:$P,10,FALSE)))</f>
        <v>5042.5080887338581</v>
      </c>
      <c r="BD112" s="33">
        <f>IF($A112=BD$83, 0, distance(VLOOKUP($A112,Cuision!$G:$P,9,FALSE),VLOOKUP($A112,Cuision!$G:$P,10,FALSE),VLOOKUP(BD$83,Cuision!$G:$P,9,FALSE),VLOOKUP(BD$83,Cuision!$G:$P,10,FALSE)))</f>
        <v>2438.6623094599918</v>
      </c>
      <c r="BE112" s="33">
        <f>IF($A112=BE$83, 0, distance(VLOOKUP($A112,Cuision!$G:$P,9,FALSE),VLOOKUP($A112,Cuision!$G:$P,10,FALSE),VLOOKUP(BE$83,Cuision!$G:$P,9,FALSE),VLOOKUP(BE$83,Cuision!$G:$P,10,FALSE)))</f>
        <v>7636.8488811724828</v>
      </c>
      <c r="BF112" s="33">
        <f>IF($A112=BF$83, 0, distance(VLOOKUP($A112,Cuision!$G:$P,9,FALSE),VLOOKUP($A112,Cuision!$G:$P,10,FALSE),VLOOKUP(BF$83,Cuision!$G:$P,9,FALSE),VLOOKUP(BF$83,Cuision!$G:$P,10,FALSE)))</f>
        <v>3262.6557969860719</v>
      </c>
      <c r="BG112" s="33">
        <f>IF($A112=BG$83, 0, distance(VLOOKUP($A112,Cuision!$G:$P,9,FALSE),VLOOKUP($A112,Cuision!$G:$P,10,FALSE),VLOOKUP(BG$83,Cuision!$G:$P,9,FALSE),VLOOKUP(BG$83,Cuision!$G:$P,10,FALSE)))</f>
        <v>4495.5811628617676</v>
      </c>
      <c r="BH112" s="33">
        <f>IF($A112=BH$83, 0, distance(VLOOKUP($A112,Cuision!$G:$P,9,FALSE),VLOOKUP($A112,Cuision!$G:$P,10,FALSE),VLOOKUP(BH$83,Cuision!$G:$P,9,FALSE),VLOOKUP(BH$83,Cuision!$G:$P,10,FALSE)))</f>
        <v>11212.894083197296</v>
      </c>
      <c r="BI112" s="33">
        <f>IF($A112=BI$83, 0, distance(VLOOKUP($A112,Cuision!$G:$P,9,FALSE),VLOOKUP($A112,Cuision!$G:$P,10,FALSE),VLOOKUP(BI$83,Cuision!$G:$P,9,FALSE),VLOOKUP(BI$83,Cuision!$G:$P,10,FALSE)))</f>
        <v>5834.9604137037531</v>
      </c>
      <c r="BJ112" s="33">
        <f>IF($A112=BJ$83, 0, distance(VLOOKUP($A112,Cuision!$G:$P,9,FALSE),VLOOKUP($A112,Cuision!$G:$P,10,FALSE),VLOOKUP(BJ$83,Cuision!$G:$P,9,FALSE),VLOOKUP(BJ$83,Cuision!$G:$P,10,FALSE)))</f>
        <v>7544.1508647528235</v>
      </c>
      <c r="BK112" s="33">
        <f>IF($A112=BK$83, 0, distance(VLOOKUP($A112,Cuision!$G:$P,9,FALSE),VLOOKUP($A112,Cuision!$G:$P,10,FALSE),VLOOKUP(BK$83,Cuision!$G:$P,9,FALSE),VLOOKUP(BK$83,Cuision!$G:$P,10,FALSE)))</f>
        <v>5130.3702029139777</v>
      </c>
      <c r="BL112" s="33">
        <f>IF($A112=BL$83, 0, distance(VLOOKUP($A112,Cuision!$G:$P,9,FALSE),VLOOKUP($A112,Cuision!$G:$P,10,FALSE),VLOOKUP(BL$83,Cuision!$G:$P,9,FALSE),VLOOKUP(BL$83,Cuision!$G:$P,10,FALSE)))</f>
        <v>-1</v>
      </c>
      <c r="BM112" s="33">
        <f>IF($A112=BM$83, 0, distance(VLOOKUP($A112,Cuision!$G:$P,9,FALSE),VLOOKUP($A112,Cuision!$G:$P,10,FALSE),VLOOKUP(BM$83,Cuision!$G:$P,9,FALSE),VLOOKUP(BM$83,Cuision!$G:$P,10,FALSE)))</f>
        <v>-1</v>
      </c>
      <c r="BN112" s="33">
        <f>IF($A112=BN$83, 0, distance(VLOOKUP($A112,Cuision!$G:$P,9,FALSE),VLOOKUP($A112,Cuision!$G:$P,10,FALSE),VLOOKUP(BN$83,Cuision!$G:$P,9,FALSE),VLOOKUP(BN$83,Cuision!$G:$P,10,FALSE)))</f>
        <v>6669.9184350642254</v>
      </c>
      <c r="BO112" s="33">
        <f>IF($A112=BO$83, 0, distance(VLOOKUP($A112,Cuision!$G:$P,9,FALSE),VLOOKUP($A112,Cuision!$G:$P,10,FALSE),VLOOKUP(BO$83,Cuision!$G:$P,9,FALSE),VLOOKUP(BO$83,Cuision!$G:$P,10,FALSE)))</f>
        <v>1487.5570319020173</v>
      </c>
      <c r="BP112" s="33">
        <f>IF($A112=BP$83, 0, distance(VLOOKUP($A112,Cuision!$G:$P,9,FALSE),VLOOKUP($A112,Cuision!$G:$P,10,FALSE),VLOOKUP(BP$83,Cuision!$G:$P,9,FALSE),VLOOKUP(BP$83,Cuision!$G:$P,10,FALSE)))</f>
        <v>6087.4730104073769</v>
      </c>
      <c r="BQ112" s="33">
        <f>IF($A112=BQ$83, 0, distance(VLOOKUP($A112,Cuision!$G:$P,9,FALSE),VLOOKUP($A112,Cuision!$G:$P,10,FALSE),VLOOKUP(BQ$83,Cuision!$G:$P,9,FALSE),VLOOKUP(BQ$83,Cuision!$G:$P,10,FALSE)))</f>
        <v>-1</v>
      </c>
      <c r="BR112" s="33">
        <f>IF($A112=BR$83, 0, distance(VLOOKUP($A112,Cuision!$G:$P,9,FALSE),VLOOKUP($A112,Cuision!$G:$P,10,FALSE),VLOOKUP(BR$83,Cuision!$G:$P,9,FALSE),VLOOKUP(BR$83,Cuision!$G:$P,10,FALSE)))</f>
        <v>8560.9016737059901</v>
      </c>
      <c r="BS112" s="33">
        <f>IF($A112=BS$83, 0, distance(VLOOKUP($A112,Cuision!$G:$P,9,FALSE),VLOOKUP($A112,Cuision!$G:$P,10,FALSE),VLOOKUP(BS$83,Cuision!$G:$P,9,FALSE),VLOOKUP(BS$83,Cuision!$G:$P,10,FALSE)))</f>
        <v>1770.4881182960353</v>
      </c>
      <c r="BT112" s="33">
        <f>IF($A112=BT$83, 0, distance(VLOOKUP($A112,Cuision!$G:$P,9,FALSE),VLOOKUP($A112,Cuision!$G:$P,10,FALSE),VLOOKUP(BT$83,Cuision!$G:$P,9,FALSE),VLOOKUP(BT$83,Cuision!$G:$P,10,FALSE)))</f>
        <v>7241.8978224343373</v>
      </c>
      <c r="BU112" s="33">
        <f>IF($A112=BU$83, 0, distance(VLOOKUP($A112,Cuision!$G:$P,9,FALSE),VLOOKUP($A112,Cuision!$G:$P,10,FALSE),VLOOKUP(BU$83,Cuision!$G:$P,9,FALSE),VLOOKUP(BU$83,Cuision!$G:$P,10,FALSE)))</f>
        <v>1372.6793397675963</v>
      </c>
      <c r="BV112" s="33">
        <f>IF($A112=BV$83, 0, distance(VLOOKUP($A112,Cuision!$G:$P,9,FALSE),VLOOKUP($A112,Cuision!$G:$P,10,FALSE),VLOOKUP(BV$83,Cuision!$G:$P,9,FALSE),VLOOKUP(BV$83,Cuision!$G:$P,10,FALSE)))</f>
        <v>5477.5910738045586</v>
      </c>
      <c r="BW112" s="33">
        <f>IF($A112=BW$83, 0, distance(VLOOKUP($A112,Cuision!$G:$P,9,FALSE),VLOOKUP($A112,Cuision!$G:$P,10,FALSE),VLOOKUP(BW$83,Cuision!$G:$P,9,FALSE),VLOOKUP(BW$83,Cuision!$G:$P,10,FALSE)))</f>
        <v>5463.7271755603515</v>
      </c>
      <c r="BX112" s="33">
        <f>IF($A112=BX$83, 0, distance(VLOOKUP($A112,Cuision!$G:$P,9,FALSE),VLOOKUP($A112,Cuision!$G:$P,10,FALSE),VLOOKUP(BX$83,Cuision!$G:$P,9,FALSE),VLOOKUP(BX$83,Cuision!$G:$P,10,FALSE)))</f>
        <v>3588.4926236356364</v>
      </c>
      <c r="BY112" s="33">
        <f>IF($A112=BY$83, 0, distance(VLOOKUP($A112,Cuision!$G:$P,9,FALSE),VLOOKUP($A112,Cuision!$G:$P,10,FALSE),VLOOKUP(BY$83,Cuision!$G:$P,9,FALSE),VLOOKUP(BY$83,Cuision!$G:$P,10,FALSE)))</f>
        <v>-1</v>
      </c>
      <c r="BZ112" s="33">
        <f>IF($A112=BZ$83, 0, distance(VLOOKUP($A112,Cuision!$G:$P,9,FALSE),VLOOKUP($A112,Cuision!$G:$P,10,FALSE),VLOOKUP(BZ$83,Cuision!$G:$P,9,FALSE),VLOOKUP(BZ$83,Cuision!$G:$P,10,FALSE)))</f>
        <v>-1</v>
      </c>
      <c r="CA112" s="33">
        <f>IF($A112=CA$83, 0, distance(VLOOKUP($A112,Cuision!$G:$P,9,FALSE),VLOOKUP($A112,Cuision!$G:$P,10,FALSE),VLOOKUP(CA$83,Cuision!$G:$P,9,FALSE),VLOOKUP(CA$83,Cuision!$G:$P,10,FALSE)))</f>
        <v>1089.330837181406</v>
      </c>
    </row>
    <row r="113" spans="1:79" ht="14.25" x14ac:dyDescent="0.2">
      <c r="A113" s="30" t="s">
        <v>117</v>
      </c>
      <c r="B113" s="33">
        <f>IF($A113=B$83, 0, distance(VLOOKUP($A113,Cuision!$G:$P,9,FALSE),VLOOKUP($A113,Cuision!$G:$P,10,FALSE),VLOOKUP(B$83,Cuision!$G:$P,9,FALSE),VLOOKUP(B$83,Cuision!$G:$P,10,FALSE)))</f>
        <v>3084.6729377501283</v>
      </c>
      <c r="C113" s="33">
        <f>IF($A113=C$83, 0, distance(VLOOKUP($A113,Cuision!$G:$P,9,FALSE),VLOOKUP($A113,Cuision!$G:$P,10,FALSE),VLOOKUP(C$83,Cuision!$G:$P,9,FALSE),VLOOKUP(C$83,Cuision!$G:$P,10,FALSE)))</f>
        <v>5051.0476876773982</v>
      </c>
      <c r="D113" s="33">
        <f>IF($A113=D$83, 0, distance(VLOOKUP($A113,Cuision!$G:$P,9,FALSE),VLOOKUP($A113,Cuision!$G:$P,10,FALSE),VLOOKUP(D$83,Cuision!$G:$P,9,FALSE),VLOOKUP(D$83,Cuision!$G:$P,10,FALSE)))</f>
        <v>3866.1313323118429</v>
      </c>
      <c r="E113" s="33">
        <f>IF($A113=E$83, 0, distance(VLOOKUP($A113,Cuision!$G:$P,9,FALSE),VLOOKUP($A113,Cuision!$G:$P,10,FALSE),VLOOKUP(E$83,Cuision!$G:$P,9,FALSE),VLOOKUP(E$83,Cuision!$G:$P,10,FALSE)))</f>
        <v>3866.1313323118429</v>
      </c>
      <c r="F113" s="33">
        <f>IF($A113=F$83, 0, distance(VLOOKUP($A113,Cuision!$G:$P,9,FALSE),VLOOKUP($A113,Cuision!$G:$P,10,FALSE),VLOOKUP(F$83,Cuision!$G:$P,9,FALSE),VLOOKUP(F$83,Cuision!$G:$P,10,FALSE)))</f>
        <v>2652.6220509166424</v>
      </c>
      <c r="G113" s="33">
        <f>IF($A113=G$83, 0, distance(VLOOKUP($A113,Cuision!$G:$P,9,FALSE),VLOOKUP($A113,Cuision!$G:$P,10,FALSE),VLOOKUP(G$83,Cuision!$G:$P,9,FALSE),VLOOKUP(G$83,Cuision!$G:$P,10,FALSE)))</f>
        <v>7745.6651053001069</v>
      </c>
      <c r="H113" s="33">
        <f>IF($A113=H$83, 0, distance(VLOOKUP($A113,Cuision!$G:$P,9,FALSE),VLOOKUP($A113,Cuision!$G:$P,10,FALSE),VLOOKUP(H$83,Cuision!$G:$P,9,FALSE),VLOOKUP(H$83,Cuision!$G:$P,10,FALSE)))</f>
        <v>2025.1071350857458</v>
      </c>
      <c r="I113" s="33">
        <f>IF($A113=I$83, 0, distance(VLOOKUP($A113,Cuision!$G:$P,9,FALSE),VLOOKUP($A113,Cuision!$G:$P,10,FALSE),VLOOKUP(I$83,Cuision!$G:$P,9,FALSE),VLOOKUP(I$83,Cuision!$G:$P,10,FALSE)))</f>
        <v>4112.4385095469606</v>
      </c>
      <c r="J113" s="33">
        <f>IF($A113=J$83, 0, distance(VLOOKUP($A113,Cuision!$G:$P,9,FALSE),VLOOKUP($A113,Cuision!$G:$P,10,FALSE),VLOOKUP(J$83,Cuision!$G:$P,9,FALSE),VLOOKUP(J$83,Cuision!$G:$P,10,FALSE)))</f>
        <v>9811.0332499125961</v>
      </c>
      <c r="K113" s="33">
        <f>IF($A113=K$83, 0, distance(VLOOKUP($A113,Cuision!$G:$P,9,FALSE),VLOOKUP($A113,Cuision!$G:$P,10,FALSE),VLOOKUP(K$83,Cuision!$G:$P,9,FALSE),VLOOKUP(K$83,Cuision!$G:$P,10,FALSE)))</f>
        <v>984.40638534104824</v>
      </c>
      <c r="L113" s="33">
        <f>IF($A113=L$83, 0, distance(VLOOKUP($A113,Cuision!$G:$P,9,FALSE),VLOOKUP($A113,Cuision!$G:$P,10,FALSE),VLOOKUP(L$83,Cuision!$G:$P,9,FALSE),VLOOKUP(L$83,Cuision!$G:$P,10,FALSE)))</f>
        <v>4396.9427997288158</v>
      </c>
      <c r="M113" s="33">
        <f>IF($A113=M$83, 0, distance(VLOOKUP($A113,Cuision!$G:$P,9,FALSE),VLOOKUP($A113,Cuision!$G:$P,10,FALSE),VLOOKUP(M$83,Cuision!$G:$P,9,FALSE),VLOOKUP(M$83,Cuision!$G:$P,10,FALSE)))</f>
        <v>-1</v>
      </c>
      <c r="N113" s="33">
        <f>IF($A113=N$83, 0, distance(VLOOKUP($A113,Cuision!$G:$P,9,FALSE),VLOOKUP($A113,Cuision!$G:$P,10,FALSE),VLOOKUP(N$83,Cuision!$G:$P,9,FALSE),VLOOKUP(N$83,Cuision!$G:$P,10,FALSE)))</f>
        <v>1650.6264556329184</v>
      </c>
      <c r="O113" s="33">
        <f>IF($A113=O$83, 0, distance(VLOOKUP($A113,Cuision!$G:$P,9,FALSE),VLOOKUP($A113,Cuision!$G:$P,10,FALSE),VLOOKUP(O$83,Cuision!$G:$P,9,FALSE),VLOOKUP(O$83,Cuision!$G:$P,10,FALSE)))</f>
        <v>844.6721833135158</v>
      </c>
      <c r="P113" s="33">
        <f>IF($A113=P$83, 0, distance(VLOOKUP($A113,Cuision!$G:$P,9,FALSE),VLOOKUP($A113,Cuision!$G:$P,10,FALSE),VLOOKUP(P$83,Cuision!$G:$P,9,FALSE),VLOOKUP(P$83,Cuision!$G:$P,10,FALSE)))</f>
        <v>6292.2904088275618</v>
      </c>
      <c r="Q113" s="33">
        <f>IF($A113=Q$83, 0, distance(VLOOKUP($A113,Cuision!$G:$P,9,FALSE),VLOOKUP($A113,Cuision!$G:$P,10,FALSE),VLOOKUP(Q$83,Cuision!$G:$P,9,FALSE),VLOOKUP(Q$83,Cuision!$G:$P,10,FALSE)))</f>
        <v>-1</v>
      </c>
      <c r="R113" s="33">
        <f>IF($A113=R$83, 0, distance(VLOOKUP($A113,Cuision!$G:$P,9,FALSE),VLOOKUP($A113,Cuision!$G:$P,10,FALSE),VLOOKUP(R$83,Cuision!$G:$P,9,FALSE),VLOOKUP(R$83,Cuision!$G:$P,10,FALSE)))</f>
        <v>876.99149719592697</v>
      </c>
      <c r="S113" s="33">
        <f>IF($A113=S$83, 0, distance(VLOOKUP($A113,Cuision!$G:$P,9,FALSE),VLOOKUP($A113,Cuision!$G:$P,10,FALSE),VLOOKUP(S$83,Cuision!$G:$P,9,FALSE),VLOOKUP(S$83,Cuision!$G:$P,10,FALSE)))</f>
        <v>-1</v>
      </c>
      <c r="T113" s="33">
        <f>IF($A113=T$83, 0, distance(VLOOKUP($A113,Cuision!$G:$P,9,FALSE),VLOOKUP($A113,Cuision!$G:$P,10,FALSE),VLOOKUP(T$83,Cuision!$G:$P,9,FALSE),VLOOKUP(T$83,Cuision!$G:$P,10,FALSE)))</f>
        <v>4817.4492852998601</v>
      </c>
      <c r="U113" s="33">
        <f>IF($A113=U$83, 0, distance(VLOOKUP($A113,Cuision!$G:$P,9,FALSE),VLOOKUP($A113,Cuision!$G:$P,10,FALSE),VLOOKUP(U$83,Cuision!$G:$P,9,FALSE),VLOOKUP(U$83,Cuision!$G:$P,10,FALSE)))</f>
        <v>-1</v>
      </c>
      <c r="V113" s="33">
        <f>IF($A113=V$83, 0, distance(VLOOKUP($A113,Cuision!$G:$P,9,FALSE),VLOOKUP($A113,Cuision!$G:$P,10,FALSE),VLOOKUP(V$83,Cuision!$G:$P,9,FALSE),VLOOKUP(V$83,Cuision!$G:$P,10,FALSE)))</f>
        <v>3866.1313323118429</v>
      </c>
      <c r="W113" s="33">
        <f>IF($A113=W$83, 0, distance(VLOOKUP($A113,Cuision!$G:$P,9,FALSE),VLOOKUP($A113,Cuision!$G:$P,10,FALSE),VLOOKUP(W$83,Cuision!$G:$P,9,FALSE),VLOOKUP(W$83,Cuision!$G:$P,10,FALSE)))</f>
        <v>5594.5060005751993</v>
      </c>
      <c r="X113" s="33">
        <f>IF($A113=X$83, 0, distance(VLOOKUP($A113,Cuision!$G:$P,9,FALSE),VLOOKUP($A113,Cuision!$G:$P,10,FALSE),VLOOKUP(X$83,Cuision!$G:$P,9,FALSE),VLOOKUP(X$83,Cuision!$G:$P,10,FALSE)))</f>
        <v>1650.6264556329184</v>
      </c>
      <c r="Y113" s="33">
        <f>IF($A113=Y$83, 0, distance(VLOOKUP($A113,Cuision!$G:$P,9,FALSE),VLOOKUP($A113,Cuision!$G:$P,10,FALSE),VLOOKUP(Y$83,Cuision!$G:$P,9,FALSE),VLOOKUP(Y$83,Cuision!$G:$P,10,FALSE)))</f>
        <v>4230.5343323383104</v>
      </c>
      <c r="Z113" s="33">
        <f>IF($A113=Z$83, 0, distance(VLOOKUP($A113,Cuision!$G:$P,9,FALSE),VLOOKUP($A113,Cuision!$G:$P,10,FALSE),VLOOKUP(Z$83,Cuision!$G:$P,9,FALSE),VLOOKUP(Z$83,Cuision!$G:$P,10,FALSE)))</f>
        <v>-1</v>
      </c>
      <c r="AA113" s="33">
        <f>IF($A113=AA$83, 0, distance(VLOOKUP($A113,Cuision!$G:$P,9,FALSE),VLOOKUP($A113,Cuision!$G:$P,10,FALSE),VLOOKUP(AA$83,Cuision!$G:$P,9,FALSE),VLOOKUP(AA$83,Cuision!$G:$P,10,FALSE)))</f>
        <v>4959.8516727675151</v>
      </c>
      <c r="AB113" s="33">
        <f>IF($A113=AB$83, 0, distance(VLOOKUP($A113,Cuision!$G:$P,9,FALSE),VLOOKUP($A113,Cuision!$G:$P,10,FALSE),VLOOKUP(AB$83,Cuision!$G:$P,9,FALSE),VLOOKUP(AB$83,Cuision!$G:$P,10,FALSE)))</f>
        <v>845.79202720593651</v>
      </c>
      <c r="AC113" s="33">
        <f>IF($A113=AC$83, 0, distance(VLOOKUP($A113,Cuision!$G:$P,9,FALSE),VLOOKUP($A113,Cuision!$G:$P,10,FALSE),VLOOKUP(AC$83,Cuision!$G:$P,9,FALSE),VLOOKUP(AC$83,Cuision!$G:$P,10,FALSE)))</f>
        <v>3911.5569113983406</v>
      </c>
      <c r="AD113" s="33">
        <f>IF($A113=AD$83, 0, distance(VLOOKUP($A113,Cuision!$G:$P,9,FALSE),VLOOKUP($A113,Cuision!$G:$P,10,FALSE),VLOOKUP(AD$83,Cuision!$G:$P,9,FALSE),VLOOKUP(AD$83,Cuision!$G:$P,10,FALSE)))</f>
        <v>5904.0127943331299</v>
      </c>
      <c r="AE113" s="33">
        <f>IF($A113=AE$83, 0, distance(VLOOKUP($A113,Cuision!$G:$P,9,FALSE),VLOOKUP($A113,Cuision!$G:$P,10,FALSE),VLOOKUP(AE$83,Cuision!$G:$P,9,FALSE),VLOOKUP(AE$83,Cuision!$G:$P,10,FALSE)))</f>
        <v>0</v>
      </c>
      <c r="AF113" s="33">
        <f>IF($A113=AF$83, 0, distance(VLOOKUP($A113,Cuision!$G:$P,9,FALSE),VLOOKUP($A113,Cuision!$G:$P,10,FALSE),VLOOKUP(AF$83,Cuision!$G:$P,9,FALSE),VLOOKUP(AF$83,Cuision!$G:$P,10,FALSE)))</f>
        <v>1003.8419477689785</v>
      </c>
      <c r="AG113" s="33">
        <f>IF($A113=AG$83, 0, distance(VLOOKUP($A113,Cuision!$G:$P,9,FALSE),VLOOKUP($A113,Cuision!$G:$P,10,FALSE),VLOOKUP(AG$83,Cuision!$G:$P,9,FALSE),VLOOKUP(AG$83,Cuision!$G:$P,10,FALSE)))</f>
        <v>675.37634572204195</v>
      </c>
      <c r="AH113" s="33">
        <f>IF($A113=AH$83, 0, distance(VLOOKUP($A113,Cuision!$G:$P,9,FALSE),VLOOKUP($A113,Cuision!$G:$P,10,FALSE),VLOOKUP(AH$83,Cuision!$G:$P,9,FALSE),VLOOKUP(AH$83,Cuision!$G:$P,10,FALSE)))</f>
        <v>-1</v>
      </c>
      <c r="AI113" s="33">
        <f>IF($A113=AI$83, 0, distance(VLOOKUP($A113,Cuision!$G:$P,9,FALSE),VLOOKUP($A113,Cuision!$G:$P,10,FALSE),VLOOKUP(AI$83,Cuision!$G:$P,9,FALSE),VLOOKUP(AI$83,Cuision!$G:$P,10,FALSE)))</f>
        <v>1746.8452065776528</v>
      </c>
      <c r="AJ113" s="33">
        <f>IF($A113=AJ$83, 0, distance(VLOOKUP($A113,Cuision!$G:$P,9,FALSE),VLOOKUP($A113,Cuision!$G:$P,10,FALSE),VLOOKUP(AJ$83,Cuision!$G:$P,9,FALSE),VLOOKUP(AJ$83,Cuision!$G:$P,10,FALSE)))</f>
        <v>2652.6220509166424</v>
      </c>
      <c r="AK113" s="33">
        <f>IF($A113=AK$83, 0, distance(VLOOKUP($A113,Cuision!$G:$P,9,FALSE),VLOOKUP($A113,Cuision!$G:$P,10,FALSE),VLOOKUP(AK$83,Cuision!$G:$P,9,FALSE),VLOOKUP(AK$83,Cuision!$G:$P,10,FALSE)))</f>
        <v>6720.0428686043879</v>
      </c>
      <c r="AL113" s="33">
        <f>IF($A113=AL$83, 0, distance(VLOOKUP($A113,Cuision!$G:$P,9,FALSE),VLOOKUP($A113,Cuision!$G:$P,10,FALSE),VLOOKUP(AL$83,Cuision!$G:$P,9,FALSE),VLOOKUP(AL$83,Cuision!$G:$P,10,FALSE)))</f>
        <v>3997.3008933938663</v>
      </c>
      <c r="AM113" s="33">
        <f>IF($A113=AM$83, 0, distance(VLOOKUP($A113,Cuision!$G:$P,9,FALSE),VLOOKUP($A113,Cuision!$G:$P,10,FALSE),VLOOKUP(AM$83,Cuision!$G:$P,9,FALSE),VLOOKUP(AM$83,Cuision!$G:$P,10,FALSE)))</f>
        <v>-1</v>
      </c>
      <c r="AN113" s="33">
        <f>IF($A113=AN$83, 0, distance(VLOOKUP($A113,Cuision!$G:$P,9,FALSE),VLOOKUP($A113,Cuision!$G:$P,10,FALSE),VLOOKUP(AN$83,Cuision!$G:$P,9,FALSE),VLOOKUP(AN$83,Cuision!$G:$P,10,FALSE)))</f>
        <v>1053.8471387649245</v>
      </c>
      <c r="AO113" s="33">
        <f>IF($A113=AO$83, 0, distance(VLOOKUP($A113,Cuision!$G:$P,9,FALSE),VLOOKUP($A113,Cuision!$G:$P,10,FALSE),VLOOKUP(AO$83,Cuision!$G:$P,9,FALSE),VLOOKUP(AO$83,Cuision!$G:$P,10,FALSE)))</f>
        <v>1650.6264556329184</v>
      </c>
      <c r="AP113" s="33">
        <f>IF($A113=AP$83, 0, distance(VLOOKUP($A113,Cuision!$G:$P,9,FALSE),VLOOKUP($A113,Cuision!$G:$P,10,FALSE),VLOOKUP(AP$83,Cuision!$G:$P,9,FALSE),VLOOKUP(AP$83,Cuision!$G:$P,10,FALSE)))</f>
        <v>3682.6063320824437</v>
      </c>
      <c r="AQ113" s="33">
        <f>IF($A113=AQ$83, 0, distance(VLOOKUP($A113,Cuision!$G:$P,9,FALSE),VLOOKUP($A113,Cuision!$G:$P,10,FALSE),VLOOKUP(AQ$83,Cuision!$G:$P,9,FALSE),VLOOKUP(AQ$83,Cuision!$G:$P,10,FALSE)))</f>
        <v>6742.6341915268467</v>
      </c>
      <c r="AR113" s="33">
        <f>IF($A113=AR$83, 0, distance(VLOOKUP($A113,Cuision!$G:$P,9,FALSE),VLOOKUP($A113,Cuision!$G:$P,10,FALSE),VLOOKUP(AR$83,Cuision!$G:$P,9,FALSE),VLOOKUP(AR$83,Cuision!$G:$P,10,FALSE)))</f>
        <v>876.99149719592697</v>
      </c>
      <c r="AS113" s="33">
        <f>IF($A113=AS$83, 0, distance(VLOOKUP($A113,Cuision!$G:$P,9,FALSE),VLOOKUP($A113,Cuision!$G:$P,10,FALSE),VLOOKUP(AS$83,Cuision!$G:$P,9,FALSE),VLOOKUP(AS$83,Cuision!$G:$P,10,FALSE)))</f>
        <v>1408.6634076941423</v>
      </c>
      <c r="AT113" s="33">
        <f>IF($A113=AT$83, 0, distance(VLOOKUP($A113,Cuision!$G:$P,9,FALSE),VLOOKUP($A113,Cuision!$G:$P,10,FALSE),VLOOKUP(AT$83,Cuision!$G:$P,9,FALSE),VLOOKUP(AT$83,Cuision!$G:$P,10,FALSE)))</f>
        <v>5064.8371576031368</v>
      </c>
      <c r="AU113" s="33">
        <f>IF($A113=AU$83, 0, distance(VLOOKUP($A113,Cuision!$G:$P,9,FALSE),VLOOKUP($A113,Cuision!$G:$P,10,FALSE),VLOOKUP(AU$83,Cuision!$G:$P,9,FALSE),VLOOKUP(AU$83,Cuision!$G:$P,10,FALSE)))</f>
        <v>4649.2247044696314</v>
      </c>
      <c r="AV113" s="33">
        <f>IF($A113=AV$83, 0, distance(VLOOKUP($A113,Cuision!$G:$P,9,FALSE),VLOOKUP($A113,Cuision!$G:$P,10,FALSE),VLOOKUP(AV$83,Cuision!$G:$P,9,FALSE),VLOOKUP(AV$83,Cuision!$G:$P,10,FALSE)))</f>
        <v>2049.1777688145739</v>
      </c>
      <c r="AW113" s="33">
        <f>IF($A113=AW$83, 0, distance(VLOOKUP($A113,Cuision!$G:$P,9,FALSE),VLOOKUP($A113,Cuision!$G:$P,10,FALSE),VLOOKUP(AW$83,Cuision!$G:$P,9,FALSE),VLOOKUP(AW$83,Cuision!$G:$P,10,FALSE)))</f>
        <v>5131.3298516551695</v>
      </c>
      <c r="AX113" s="33">
        <f>IF($A113=AX$83, 0, distance(VLOOKUP($A113,Cuision!$G:$P,9,FALSE),VLOOKUP($A113,Cuision!$G:$P,10,FALSE),VLOOKUP(AX$83,Cuision!$G:$P,9,FALSE),VLOOKUP(AX$83,Cuision!$G:$P,10,FALSE)))</f>
        <v>5973.0608387831562</v>
      </c>
      <c r="AY113" s="33">
        <f>IF($A113=AY$83, 0, distance(VLOOKUP($A113,Cuision!$G:$P,9,FALSE),VLOOKUP($A113,Cuision!$G:$P,10,FALSE),VLOOKUP(AY$83,Cuision!$G:$P,9,FALSE),VLOOKUP(AY$83,Cuision!$G:$P,10,FALSE)))</f>
        <v>-1</v>
      </c>
      <c r="AZ113" s="33">
        <f>IF($A113=AZ$83, 0, distance(VLOOKUP($A113,Cuision!$G:$P,9,FALSE),VLOOKUP($A113,Cuision!$G:$P,10,FALSE),VLOOKUP(AZ$83,Cuision!$G:$P,9,FALSE),VLOOKUP(AZ$83,Cuision!$G:$P,10,FALSE)))</f>
        <v>6005.1876234209785</v>
      </c>
      <c r="BA113" s="33">
        <f>IF($A113=BA$83, 0, distance(VLOOKUP($A113,Cuision!$G:$P,9,FALSE),VLOOKUP($A113,Cuision!$G:$P,10,FALSE),VLOOKUP(BA$83,Cuision!$G:$P,9,FALSE),VLOOKUP(BA$83,Cuision!$G:$P,10,FALSE)))</f>
        <v>1931.6562394332145</v>
      </c>
      <c r="BB113" s="33">
        <f>IF($A113=BB$83, 0, distance(VLOOKUP($A113,Cuision!$G:$P,9,FALSE),VLOOKUP($A113,Cuision!$G:$P,10,FALSE),VLOOKUP(BB$83,Cuision!$G:$P,9,FALSE),VLOOKUP(BB$83,Cuision!$G:$P,10,FALSE)))</f>
        <v>5686.4162438873191</v>
      </c>
      <c r="BC113" s="33">
        <f>IF($A113=BC$83, 0, distance(VLOOKUP($A113,Cuision!$G:$P,9,FALSE),VLOOKUP($A113,Cuision!$G:$P,10,FALSE),VLOOKUP(BC$83,Cuision!$G:$P,9,FALSE),VLOOKUP(BC$83,Cuision!$G:$P,10,FALSE)))</f>
        <v>2652.6220509166424</v>
      </c>
      <c r="BD113" s="33">
        <f>IF($A113=BD$83, 0, distance(VLOOKUP($A113,Cuision!$G:$P,9,FALSE),VLOOKUP($A113,Cuision!$G:$P,10,FALSE),VLOOKUP(BD$83,Cuision!$G:$P,9,FALSE),VLOOKUP(BD$83,Cuision!$G:$P,10,FALSE)))</f>
        <v>3508.7171413238425</v>
      </c>
      <c r="BE113" s="33">
        <f>IF($A113=BE$83, 0, distance(VLOOKUP($A113,Cuision!$G:$P,9,FALSE),VLOOKUP($A113,Cuision!$G:$P,10,FALSE),VLOOKUP(BE$83,Cuision!$G:$P,9,FALSE),VLOOKUP(BE$83,Cuision!$G:$P,10,FALSE)))</f>
        <v>2124.9220126873065</v>
      </c>
      <c r="BF113" s="33">
        <f>IF($A113=BF$83, 0, distance(VLOOKUP($A113,Cuision!$G:$P,9,FALSE),VLOOKUP($A113,Cuision!$G:$P,10,FALSE),VLOOKUP(BF$83,Cuision!$G:$P,9,FALSE),VLOOKUP(BF$83,Cuision!$G:$P,10,FALSE)))</f>
        <v>3253.8984755285719</v>
      </c>
      <c r="BG113" s="33">
        <f>IF($A113=BG$83, 0, distance(VLOOKUP($A113,Cuision!$G:$P,9,FALSE),VLOOKUP($A113,Cuision!$G:$P,10,FALSE),VLOOKUP(BG$83,Cuision!$G:$P,9,FALSE),VLOOKUP(BG$83,Cuision!$G:$P,10,FALSE)))</f>
        <v>2482.529755240078</v>
      </c>
      <c r="BH113" s="33">
        <f>IF($A113=BH$83, 0, distance(VLOOKUP($A113,Cuision!$G:$P,9,FALSE),VLOOKUP($A113,Cuision!$G:$P,10,FALSE),VLOOKUP(BH$83,Cuision!$G:$P,9,FALSE),VLOOKUP(BH$83,Cuision!$G:$P,10,FALSE)))</f>
        <v>6933.1432686807902</v>
      </c>
      <c r="BI113" s="33">
        <f>IF($A113=BI$83, 0, distance(VLOOKUP($A113,Cuision!$G:$P,9,FALSE),VLOOKUP($A113,Cuision!$G:$P,10,FALSE),VLOOKUP(BI$83,Cuision!$G:$P,9,FALSE),VLOOKUP(BI$83,Cuision!$G:$P,10,FALSE)))</f>
        <v>764.59908345489487</v>
      </c>
      <c r="BJ113" s="33">
        <f>IF($A113=BJ$83, 0, distance(VLOOKUP($A113,Cuision!$G:$P,9,FALSE),VLOOKUP($A113,Cuision!$G:$P,10,FALSE),VLOOKUP(BJ$83,Cuision!$G:$P,9,FALSE),VLOOKUP(BJ$83,Cuision!$G:$P,10,FALSE)))</f>
        <v>1861.4118320072016</v>
      </c>
      <c r="BK113" s="33">
        <f>IF($A113=BK$83, 0, distance(VLOOKUP($A113,Cuision!$G:$P,9,FALSE),VLOOKUP($A113,Cuision!$G:$P,10,FALSE),VLOOKUP(BK$83,Cuision!$G:$P,9,FALSE),VLOOKUP(BK$83,Cuision!$G:$P,10,FALSE)))</f>
        <v>997.12123348117825</v>
      </c>
      <c r="BL113" s="33">
        <f>IF($A113=BL$83, 0, distance(VLOOKUP($A113,Cuision!$G:$P,9,FALSE),VLOOKUP($A113,Cuision!$G:$P,10,FALSE),VLOOKUP(BL$83,Cuision!$G:$P,9,FALSE),VLOOKUP(BL$83,Cuision!$G:$P,10,FALSE)))</f>
        <v>-1</v>
      </c>
      <c r="BM113" s="33">
        <f>IF($A113=BM$83, 0, distance(VLOOKUP($A113,Cuision!$G:$P,9,FALSE),VLOOKUP($A113,Cuision!$G:$P,10,FALSE),VLOOKUP(BM$83,Cuision!$G:$P,9,FALSE),VLOOKUP(BM$83,Cuision!$G:$P,10,FALSE)))</f>
        <v>-1</v>
      </c>
      <c r="BN113" s="33">
        <f>IF($A113=BN$83, 0, distance(VLOOKUP($A113,Cuision!$G:$P,9,FALSE),VLOOKUP($A113,Cuision!$G:$P,10,FALSE),VLOOKUP(BN$83,Cuision!$G:$P,9,FALSE),VLOOKUP(BN$83,Cuision!$G:$P,10,FALSE)))</f>
        <v>876.99149719592697</v>
      </c>
      <c r="BO113" s="33">
        <f>IF($A113=BO$83, 0, distance(VLOOKUP($A113,Cuision!$G:$P,9,FALSE),VLOOKUP($A113,Cuision!$G:$P,10,FALSE),VLOOKUP(BO$83,Cuision!$G:$P,9,FALSE),VLOOKUP(BO$83,Cuision!$G:$P,10,FALSE)))</f>
        <v>6187.7162068979296</v>
      </c>
      <c r="BP113" s="33">
        <f>IF($A113=BP$83, 0, distance(VLOOKUP($A113,Cuision!$G:$P,9,FALSE),VLOOKUP($A113,Cuision!$G:$P,10,FALSE),VLOOKUP(BP$83,Cuision!$G:$P,9,FALSE),VLOOKUP(BP$83,Cuision!$G:$P,10,FALSE)))</f>
        <v>993.42892852216823</v>
      </c>
      <c r="BQ113" s="33">
        <f>IF($A113=BQ$83, 0, distance(VLOOKUP($A113,Cuision!$G:$P,9,FALSE),VLOOKUP($A113,Cuision!$G:$P,10,FALSE),VLOOKUP(BQ$83,Cuision!$G:$P,9,FALSE),VLOOKUP(BQ$83,Cuision!$G:$P,10,FALSE)))</f>
        <v>-1</v>
      </c>
      <c r="BR113" s="33">
        <f>IF($A113=BR$83, 0, distance(VLOOKUP($A113,Cuision!$G:$P,9,FALSE),VLOOKUP($A113,Cuision!$G:$P,10,FALSE),VLOOKUP(BR$83,Cuision!$G:$P,9,FALSE),VLOOKUP(BR$83,Cuision!$G:$P,10,FALSE)))</f>
        <v>3866.1313323118429</v>
      </c>
      <c r="BS113" s="33">
        <f>IF($A113=BS$83, 0, distance(VLOOKUP($A113,Cuision!$G:$P,9,FALSE),VLOOKUP($A113,Cuision!$G:$P,10,FALSE),VLOOKUP(BS$83,Cuision!$G:$P,9,FALSE),VLOOKUP(BS$83,Cuision!$G:$P,10,FALSE)))</f>
        <v>4230.5343323383104</v>
      </c>
      <c r="BT113" s="33">
        <f>IF($A113=BT$83, 0, distance(VLOOKUP($A113,Cuision!$G:$P,9,FALSE),VLOOKUP($A113,Cuision!$G:$P,10,FALSE),VLOOKUP(BT$83,Cuision!$G:$P,9,FALSE),VLOOKUP(BT$83,Cuision!$G:$P,10,FALSE)))</f>
        <v>1650.6264556329184</v>
      </c>
      <c r="BU113" s="33">
        <f>IF($A113=BU$83, 0, distance(VLOOKUP($A113,Cuision!$G:$P,9,FALSE),VLOOKUP($A113,Cuision!$G:$P,10,FALSE),VLOOKUP(BU$83,Cuision!$G:$P,9,FALSE),VLOOKUP(BU$83,Cuision!$G:$P,10,FALSE)))</f>
        <v>5320.0817972097166</v>
      </c>
      <c r="BV113" s="33">
        <f>IF($A113=BV$83, 0, distance(VLOOKUP($A113,Cuision!$G:$P,9,FALSE),VLOOKUP($A113,Cuision!$G:$P,10,FALSE),VLOOKUP(BV$83,Cuision!$G:$P,9,FALSE),VLOOKUP(BV$83,Cuision!$G:$P,10,FALSE)))</f>
        <v>1765.2739675290475</v>
      </c>
      <c r="BW113" s="33">
        <f>IF($A113=BW$83, 0, distance(VLOOKUP($A113,Cuision!$G:$P,9,FALSE),VLOOKUP($A113,Cuision!$G:$P,10,FALSE),VLOOKUP(BW$83,Cuision!$G:$P,9,FALSE),VLOOKUP(BW$83,Cuision!$G:$P,10,FALSE)))</f>
        <v>1065.7146491445424</v>
      </c>
      <c r="BX113" s="33">
        <f>IF($A113=BX$83, 0, distance(VLOOKUP($A113,Cuision!$G:$P,9,FALSE),VLOOKUP($A113,Cuision!$G:$P,10,FALSE),VLOOKUP(BX$83,Cuision!$G:$P,9,FALSE),VLOOKUP(BX$83,Cuision!$G:$P,10,FALSE)))</f>
        <v>2708.9371962626724</v>
      </c>
      <c r="BY113" s="33">
        <f>IF($A113=BY$83, 0, distance(VLOOKUP($A113,Cuision!$G:$P,9,FALSE),VLOOKUP($A113,Cuision!$G:$P,10,FALSE),VLOOKUP(BY$83,Cuision!$G:$P,9,FALSE),VLOOKUP(BY$83,Cuision!$G:$P,10,FALSE)))</f>
        <v>-1</v>
      </c>
      <c r="BZ113" s="33">
        <f>IF($A113=BZ$83, 0, distance(VLOOKUP($A113,Cuision!$G:$P,9,FALSE),VLOOKUP($A113,Cuision!$G:$P,10,FALSE),VLOOKUP(BZ$83,Cuision!$G:$P,9,FALSE),VLOOKUP(BZ$83,Cuision!$G:$P,10,FALSE)))</f>
        <v>-1</v>
      </c>
      <c r="CA113" s="33">
        <f>IF($A113=CA$83, 0, distance(VLOOKUP($A113,Cuision!$G:$P,9,FALSE),VLOOKUP($A113,Cuision!$G:$P,10,FALSE),VLOOKUP(CA$83,Cuision!$G:$P,9,FALSE),VLOOKUP(CA$83,Cuision!$G:$P,10,FALSE)))</f>
        <v>5049.1805626918585</v>
      </c>
    </row>
    <row r="114" spans="1:79" ht="14.25" x14ac:dyDescent="0.2">
      <c r="A114" s="30" t="s">
        <v>80</v>
      </c>
      <c r="B114" s="33">
        <f>IF($A114=B$83, 0, distance(VLOOKUP($A114,Cuision!$G:$P,9,FALSE),VLOOKUP($A114,Cuision!$G:$P,10,FALSE),VLOOKUP(B$83,Cuision!$G:$P,9,FALSE),VLOOKUP(B$83,Cuision!$G:$P,10,FALSE)))</f>
        <v>3467.8146994718327</v>
      </c>
      <c r="C114" s="33">
        <f>IF($A114=C$83, 0, distance(VLOOKUP($A114,Cuision!$G:$P,9,FALSE),VLOOKUP($A114,Cuision!$G:$P,10,FALSE),VLOOKUP(C$83,Cuision!$G:$P,9,FALSE),VLOOKUP(C$83,Cuision!$G:$P,10,FALSE)))</f>
        <v>4434.1088443156877</v>
      </c>
      <c r="D114" s="33">
        <f>IF($A114=D$83, 0, distance(VLOOKUP($A114,Cuision!$G:$P,9,FALSE),VLOOKUP($A114,Cuision!$G:$P,10,FALSE),VLOOKUP(D$83,Cuision!$G:$P,9,FALSE),VLOOKUP(D$83,Cuision!$G:$P,10,FALSE)))</f>
        <v>3830.9664587251614</v>
      </c>
      <c r="E114" s="33">
        <f>IF($A114=E$83, 0, distance(VLOOKUP($A114,Cuision!$G:$P,9,FALSE),VLOOKUP($A114,Cuision!$G:$P,10,FALSE),VLOOKUP(E$83,Cuision!$G:$P,9,FALSE),VLOOKUP(E$83,Cuision!$G:$P,10,FALSE)))</f>
        <v>3830.9664587251614</v>
      </c>
      <c r="F114" s="33">
        <f>IF($A114=F$83, 0, distance(VLOOKUP($A114,Cuision!$G:$P,9,FALSE),VLOOKUP($A114,Cuision!$G:$P,10,FALSE),VLOOKUP(F$83,Cuision!$G:$P,9,FALSE),VLOOKUP(F$83,Cuision!$G:$P,10,FALSE)))</f>
        <v>2502.2183139621284</v>
      </c>
      <c r="G114" s="33">
        <f>IF($A114=G$83, 0, distance(VLOOKUP($A114,Cuision!$G:$P,9,FALSE),VLOOKUP($A114,Cuision!$G:$P,10,FALSE),VLOOKUP(G$83,Cuision!$G:$P,9,FALSE),VLOOKUP(G$83,Cuision!$G:$P,10,FALSE)))</f>
        <v>6865.8107606360536</v>
      </c>
      <c r="H114" s="33">
        <f>IF($A114=H$83, 0, distance(VLOOKUP($A114,Cuision!$G:$P,9,FALSE),VLOOKUP($A114,Cuision!$G:$P,10,FALSE),VLOOKUP(H$83,Cuision!$G:$P,9,FALSE),VLOOKUP(H$83,Cuision!$G:$P,10,FALSE)))</f>
        <v>2131.5409805490704</v>
      </c>
      <c r="I114" s="33">
        <f>IF($A114=I$83, 0, distance(VLOOKUP($A114,Cuision!$G:$P,9,FALSE),VLOOKUP($A114,Cuision!$G:$P,10,FALSE),VLOOKUP(I$83,Cuision!$G:$P,9,FALSE),VLOOKUP(I$83,Cuision!$G:$P,10,FALSE)))</f>
        <v>4831.4708925326522</v>
      </c>
      <c r="J114" s="33">
        <f>IF($A114=J$83, 0, distance(VLOOKUP($A114,Cuision!$G:$P,9,FALSE),VLOOKUP($A114,Cuision!$G:$P,10,FALSE),VLOOKUP(J$83,Cuision!$G:$P,9,FALSE),VLOOKUP(J$83,Cuision!$G:$P,10,FALSE)))</f>
        <v>10513.069520018331</v>
      </c>
      <c r="K114" s="33">
        <f>IF($A114=K$83, 0, distance(VLOOKUP($A114,Cuision!$G:$P,9,FALSE),VLOOKUP($A114,Cuision!$G:$P,10,FALSE),VLOOKUP(K$83,Cuision!$G:$P,9,FALSE),VLOOKUP(K$83,Cuision!$G:$P,10,FALSE)))</f>
        <v>642.06927017816588</v>
      </c>
      <c r="L114" s="33">
        <f>IF($A114=L$83, 0, distance(VLOOKUP($A114,Cuision!$G:$P,9,FALSE),VLOOKUP($A114,Cuision!$G:$P,10,FALSE),VLOOKUP(L$83,Cuision!$G:$P,9,FALSE),VLOOKUP(L$83,Cuision!$G:$P,10,FALSE)))</f>
        <v>4915.3890924621746</v>
      </c>
      <c r="M114" s="33">
        <f>IF($A114=M$83, 0, distance(VLOOKUP($A114,Cuision!$G:$P,9,FALSE),VLOOKUP($A114,Cuision!$G:$P,10,FALSE),VLOOKUP(M$83,Cuision!$G:$P,9,FALSE),VLOOKUP(M$83,Cuision!$G:$P,10,FALSE)))</f>
        <v>-1</v>
      </c>
      <c r="N114" s="33">
        <f>IF($A114=N$83, 0, distance(VLOOKUP($A114,Cuision!$G:$P,9,FALSE),VLOOKUP($A114,Cuision!$G:$P,10,FALSE),VLOOKUP(N$83,Cuision!$G:$P,9,FALSE),VLOOKUP(N$83,Cuision!$G:$P,10,FALSE)))</f>
        <v>653.47387203501921</v>
      </c>
      <c r="O114" s="33">
        <f>IF($A114=O$83, 0, distance(VLOOKUP($A114,Cuision!$G:$P,9,FALSE),VLOOKUP($A114,Cuision!$G:$P,10,FALSE),VLOOKUP(O$83,Cuision!$G:$P,9,FALSE),VLOOKUP(O$83,Cuision!$G:$P,10,FALSE)))</f>
        <v>164.3999675744752</v>
      </c>
      <c r="P114" s="33">
        <f>IF($A114=P$83, 0, distance(VLOOKUP($A114,Cuision!$G:$P,9,FALSE),VLOOKUP($A114,Cuision!$G:$P,10,FALSE),VLOOKUP(P$83,Cuision!$G:$P,9,FALSE),VLOOKUP(P$83,Cuision!$G:$P,10,FALSE)))</f>
        <v>5421.464479253983</v>
      </c>
      <c r="Q114" s="33">
        <f>IF($A114=Q$83, 0, distance(VLOOKUP($A114,Cuision!$G:$P,9,FALSE),VLOOKUP($A114,Cuision!$G:$P,10,FALSE),VLOOKUP(Q$83,Cuision!$G:$P,9,FALSE),VLOOKUP(Q$83,Cuision!$G:$P,10,FALSE)))</f>
        <v>-1</v>
      </c>
      <c r="R114" s="33">
        <f>IF($A114=R$83, 0, distance(VLOOKUP($A114,Cuision!$G:$P,9,FALSE),VLOOKUP($A114,Cuision!$G:$P,10,FALSE),VLOOKUP(R$83,Cuision!$G:$P,9,FALSE),VLOOKUP(R$83,Cuision!$G:$P,10,FALSE)))</f>
        <v>214.01332790653947</v>
      </c>
      <c r="S114" s="33">
        <f>IF($A114=S$83, 0, distance(VLOOKUP($A114,Cuision!$G:$P,9,FALSE),VLOOKUP($A114,Cuision!$G:$P,10,FALSE),VLOOKUP(S$83,Cuision!$G:$P,9,FALSE),VLOOKUP(S$83,Cuision!$G:$P,10,FALSE)))</f>
        <v>-1</v>
      </c>
      <c r="T114" s="33">
        <f>IF($A114=T$83, 0, distance(VLOOKUP($A114,Cuision!$G:$P,9,FALSE),VLOOKUP($A114,Cuision!$G:$P,10,FALSE),VLOOKUP(T$83,Cuision!$G:$P,9,FALSE),VLOOKUP(T$83,Cuision!$G:$P,10,FALSE)))</f>
        <v>5365.9105431588059</v>
      </c>
      <c r="U114" s="33">
        <f>IF($A114=U$83, 0, distance(VLOOKUP($A114,Cuision!$G:$P,9,FALSE),VLOOKUP($A114,Cuision!$G:$P,10,FALSE),VLOOKUP(U$83,Cuision!$G:$P,9,FALSE),VLOOKUP(U$83,Cuision!$G:$P,10,FALSE)))</f>
        <v>-1</v>
      </c>
      <c r="V114" s="33">
        <f>IF($A114=V$83, 0, distance(VLOOKUP($A114,Cuision!$G:$P,9,FALSE),VLOOKUP($A114,Cuision!$G:$P,10,FALSE),VLOOKUP(V$83,Cuision!$G:$P,9,FALSE),VLOOKUP(V$83,Cuision!$G:$P,10,FALSE)))</f>
        <v>3830.9664587251614</v>
      </c>
      <c r="W114" s="33">
        <f>IF($A114=W$83, 0, distance(VLOOKUP($A114,Cuision!$G:$P,9,FALSE),VLOOKUP($A114,Cuision!$G:$P,10,FALSE),VLOOKUP(W$83,Cuision!$G:$P,9,FALSE),VLOOKUP(W$83,Cuision!$G:$P,10,FALSE)))</f>
        <v>6176.1763948219759</v>
      </c>
      <c r="X114" s="33">
        <f>IF($A114=X$83, 0, distance(VLOOKUP($A114,Cuision!$G:$P,9,FALSE),VLOOKUP($A114,Cuision!$G:$P,10,FALSE),VLOOKUP(X$83,Cuision!$G:$P,9,FALSE),VLOOKUP(X$83,Cuision!$G:$P,10,FALSE)))</f>
        <v>653.47387203501921</v>
      </c>
      <c r="Y114" s="33">
        <f>IF($A114=Y$83, 0, distance(VLOOKUP($A114,Cuision!$G:$P,9,FALSE),VLOOKUP($A114,Cuision!$G:$P,10,FALSE),VLOOKUP(Y$83,Cuision!$G:$P,9,FALSE),VLOOKUP(Y$83,Cuision!$G:$P,10,FALSE)))</f>
        <v>5105.3803948869372</v>
      </c>
      <c r="Z114" s="33">
        <f>IF($A114=Z$83, 0, distance(VLOOKUP($A114,Cuision!$G:$P,9,FALSE),VLOOKUP($A114,Cuision!$G:$P,10,FALSE),VLOOKUP(Z$83,Cuision!$G:$P,9,FALSE),VLOOKUP(Z$83,Cuision!$G:$P,10,FALSE)))</f>
        <v>-1</v>
      </c>
      <c r="AA114" s="33">
        <f>IF($A114=AA$83, 0, distance(VLOOKUP($A114,Cuision!$G:$P,9,FALSE),VLOOKUP($A114,Cuision!$G:$P,10,FALSE),VLOOKUP(AA$83,Cuision!$G:$P,9,FALSE),VLOOKUP(AA$83,Cuision!$G:$P,10,FALSE)))</f>
        <v>4796.8416642480242</v>
      </c>
      <c r="AB114" s="33">
        <f>IF($A114=AB$83, 0, distance(VLOOKUP($A114,Cuision!$G:$P,9,FALSE),VLOOKUP($A114,Cuision!$G:$P,10,FALSE),VLOOKUP(AB$83,Cuision!$G:$P,9,FALSE),VLOOKUP(AB$83,Cuision!$G:$P,10,FALSE)))</f>
        <v>548.02137422248063</v>
      </c>
      <c r="AC114" s="33">
        <f>IF($A114=AC$83, 0, distance(VLOOKUP($A114,Cuision!$G:$P,9,FALSE),VLOOKUP($A114,Cuision!$G:$P,10,FALSE),VLOOKUP(AC$83,Cuision!$G:$P,9,FALSE),VLOOKUP(AC$83,Cuision!$G:$P,10,FALSE)))</f>
        <v>3462.9564883033372</v>
      </c>
      <c r="AD114" s="33">
        <f>IF($A114=AD$83, 0, distance(VLOOKUP($A114,Cuision!$G:$P,9,FALSE),VLOOKUP($A114,Cuision!$G:$P,10,FALSE),VLOOKUP(AD$83,Cuision!$G:$P,9,FALSE),VLOOKUP(AD$83,Cuision!$G:$P,10,FALSE)))</f>
        <v>6675.5819607282747</v>
      </c>
      <c r="AE114" s="33">
        <f>IF($A114=AE$83, 0, distance(VLOOKUP($A114,Cuision!$G:$P,9,FALSE),VLOOKUP($A114,Cuision!$G:$P,10,FALSE),VLOOKUP(AE$83,Cuision!$G:$P,9,FALSE),VLOOKUP(AE$83,Cuision!$G:$P,10,FALSE)))</f>
        <v>1003.8419477689785</v>
      </c>
      <c r="AF114" s="33">
        <f>IF($A114=AF$83, 0, distance(VLOOKUP($A114,Cuision!$G:$P,9,FALSE),VLOOKUP($A114,Cuision!$G:$P,10,FALSE),VLOOKUP(AF$83,Cuision!$G:$P,9,FALSE),VLOOKUP(AF$83,Cuision!$G:$P,10,FALSE)))</f>
        <v>0</v>
      </c>
      <c r="AG114" s="33">
        <f>IF($A114=AG$83, 0, distance(VLOOKUP($A114,Cuision!$G:$P,9,FALSE),VLOOKUP($A114,Cuision!$G:$P,10,FALSE),VLOOKUP(AG$83,Cuision!$G:$P,9,FALSE),VLOOKUP(AG$83,Cuision!$G:$P,10,FALSE)))</f>
        <v>545.72281257047678</v>
      </c>
      <c r="AH114" s="33">
        <f>IF($A114=AH$83, 0, distance(VLOOKUP($A114,Cuision!$G:$P,9,FALSE),VLOOKUP($A114,Cuision!$G:$P,10,FALSE),VLOOKUP(AH$83,Cuision!$G:$P,9,FALSE),VLOOKUP(AH$83,Cuision!$G:$P,10,FALSE)))</f>
        <v>-1</v>
      </c>
      <c r="AI114" s="33">
        <f>IF($A114=AI$83, 0, distance(VLOOKUP($A114,Cuision!$G:$P,9,FALSE),VLOOKUP($A114,Cuision!$G:$P,10,FALSE),VLOOKUP(AI$83,Cuision!$G:$P,9,FALSE),VLOOKUP(AI$83,Cuision!$G:$P,10,FALSE)))</f>
        <v>1301.98987669645</v>
      </c>
      <c r="AJ114" s="33">
        <f>IF($A114=AJ$83, 0, distance(VLOOKUP($A114,Cuision!$G:$P,9,FALSE),VLOOKUP($A114,Cuision!$G:$P,10,FALSE),VLOOKUP(AJ$83,Cuision!$G:$P,9,FALSE),VLOOKUP(AJ$83,Cuision!$G:$P,10,FALSE)))</f>
        <v>2502.2183139621284</v>
      </c>
      <c r="AK114" s="33">
        <f>IF($A114=AK$83, 0, distance(VLOOKUP($A114,Cuision!$G:$P,9,FALSE),VLOOKUP($A114,Cuision!$G:$P,10,FALSE),VLOOKUP(AK$83,Cuision!$G:$P,9,FALSE),VLOOKUP(AK$83,Cuision!$G:$P,10,FALSE)))</f>
        <v>7495.6742026636421</v>
      </c>
      <c r="AL114" s="33">
        <f>IF($A114=AL$83, 0, distance(VLOOKUP($A114,Cuision!$G:$P,9,FALSE),VLOOKUP($A114,Cuision!$G:$P,10,FALSE),VLOOKUP(AL$83,Cuision!$G:$P,9,FALSE),VLOOKUP(AL$83,Cuision!$G:$P,10,FALSE)))</f>
        <v>4496.4872980845712</v>
      </c>
      <c r="AM114" s="33">
        <f>IF($A114=AM$83, 0, distance(VLOOKUP($A114,Cuision!$G:$P,9,FALSE),VLOOKUP($A114,Cuision!$G:$P,10,FALSE),VLOOKUP(AM$83,Cuision!$G:$P,9,FALSE),VLOOKUP(AM$83,Cuision!$G:$P,10,FALSE)))</f>
        <v>-1</v>
      </c>
      <c r="AN114" s="33">
        <f>IF($A114=AN$83, 0, distance(VLOOKUP($A114,Cuision!$G:$P,9,FALSE),VLOOKUP($A114,Cuision!$G:$P,10,FALSE),VLOOKUP(AN$83,Cuision!$G:$P,9,FALSE),VLOOKUP(AN$83,Cuision!$G:$P,10,FALSE)))</f>
        <v>773.01037670018877</v>
      </c>
      <c r="AO114" s="33">
        <f>IF($A114=AO$83, 0, distance(VLOOKUP($A114,Cuision!$G:$P,9,FALSE),VLOOKUP($A114,Cuision!$G:$P,10,FALSE),VLOOKUP(AO$83,Cuision!$G:$P,9,FALSE),VLOOKUP(AO$83,Cuision!$G:$P,10,FALSE)))</f>
        <v>653.47387203501921</v>
      </c>
      <c r="AP114" s="33">
        <f>IF($A114=AP$83, 0, distance(VLOOKUP($A114,Cuision!$G:$P,9,FALSE),VLOOKUP($A114,Cuision!$G:$P,10,FALSE),VLOOKUP(AP$83,Cuision!$G:$P,9,FALSE),VLOOKUP(AP$83,Cuision!$G:$P,10,FALSE)))</f>
        <v>4091.9372885391103</v>
      </c>
      <c r="AQ114" s="33">
        <f>IF($A114=AQ$83, 0, distance(VLOOKUP($A114,Cuision!$G:$P,9,FALSE),VLOOKUP($A114,Cuision!$G:$P,10,FALSE),VLOOKUP(AQ$83,Cuision!$G:$P,9,FALSE),VLOOKUP(AQ$83,Cuision!$G:$P,10,FALSE)))</f>
        <v>7198.9210009248409</v>
      </c>
      <c r="AR114" s="33">
        <f>IF($A114=AR$83, 0, distance(VLOOKUP($A114,Cuision!$G:$P,9,FALSE),VLOOKUP($A114,Cuision!$G:$P,10,FALSE),VLOOKUP(AR$83,Cuision!$G:$P,9,FALSE),VLOOKUP(AR$83,Cuision!$G:$P,10,FALSE)))</f>
        <v>214.01332790653947</v>
      </c>
      <c r="AS114" s="33">
        <f>IF($A114=AS$83, 0, distance(VLOOKUP($A114,Cuision!$G:$P,9,FALSE),VLOOKUP($A114,Cuision!$G:$P,10,FALSE),VLOOKUP(AS$83,Cuision!$G:$P,9,FALSE),VLOOKUP(AS$83,Cuision!$G:$P,10,FALSE)))</f>
        <v>686.62507959142101</v>
      </c>
      <c r="AT114" s="33">
        <f>IF($A114=AT$83, 0, distance(VLOOKUP($A114,Cuision!$G:$P,9,FALSE),VLOOKUP($A114,Cuision!$G:$P,10,FALSE),VLOOKUP(AT$83,Cuision!$G:$P,9,FALSE),VLOOKUP(AT$83,Cuision!$G:$P,10,FALSE)))</f>
        <v>6034.8730391560157</v>
      </c>
      <c r="AU114" s="33">
        <f>IF($A114=AU$83, 0, distance(VLOOKUP($A114,Cuision!$G:$P,9,FALSE),VLOOKUP($A114,Cuision!$G:$P,10,FALSE),VLOOKUP(AU$83,Cuision!$G:$P,9,FALSE),VLOOKUP(AU$83,Cuision!$G:$P,10,FALSE)))</f>
        <v>5571.0465978087186</v>
      </c>
      <c r="AV114" s="33">
        <f>IF($A114=AV$83, 0, distance(VLOOKUP($A114,Cuision!$G:$P,9,FALSE),VLOOKUP($A114,Cuision!$G:$P,10,FALSE),VLOOKUP(AV$83,Cuision!$G:$P,9,FALSE),VLOOKUP(AV$83,Cuision!$G:$P,10,FALSE)))</f>
        <v>1762.0003393785764</v>
      </c>
      <c r="AW114" s="33">
        <f>IF($A114=AW$83, 0, distance(VLOOKUP($A114,Cuision!$G:$P,9,FALSE),VLOOKUP($A114,Cuision!$G:$P,10,FALSE),VLOOKUP(AW$83,Cuision!$G:$P,9,FALSE),VLOOKUP(AW$83,Cuision!$G:$P,10,FALSE)))</f>
        <v>5738.2126881556214</v>
      </c>
      <c r="AX114" s="33">
        <f>IF($A114=AX$83, 0, distance(VLOOKUP($A114,Cuision!$G:$P,9,FALSE),VLOOKUP($A114,Cuision!$G:$P,10,FALSE),VLOOKUP(AX$83,Cuision!$G:$P,9,FALSE),VLOOKUP(AX$83,Cuision!$G:$P,10,FALSE)))</f>
        <v>5288.8357556198353</v>
      </c>
      <c r="AY114" s="33">
        <f>IF($A114=AY$83, 0, distance(VLOOKUP($A114,Cuision!$G:$P,9,FALSE),VLOOKUP($A114,Cuision!$G:$P,10,FALSE),VLOOKUP(AY$83,Cuision!$G:$P,9,FALSE),VLOOKUP(AY$83,Cuision!$G:$P,10,FALSE)))</f>
        <v>-1</v>
      </c>
      <c r="AZ114" s="33">
        <f>IF($A114=AZ$83, 0, distance(VLOOKUP($A114,Cuision!$G:$P,9,FALSE),VLOOKUP($A114,Cuision!$G:$P,10,FALSE),VLOOKUP(AZ$83,Cuision!$G:$P,9,FALSE),VLOOKUP(AZ$83,Cuision!$G:$P,10,FALSE)))</f>
        <v>6477.1270771275822</v>
      </c>
      <c r="BA114" s="33">
        <f>IF($A114=BA$83, 0, distance(VLOOKUP($A114,Cuision!$G:$P,9,FALSE),VLOOKUP($A114,Cuision!$G:$P,10,FALSE),VLOOKUP(BA$83,Cuision!$G:$P,9,FALSE),VLOOKUP(BA$83,Cuision!$G:$P,10,FALSE)))</f>
        <v>1272.0225443803229</v>
      </c>
      <c r="BB114" s="33">
        <f>IF($A114=BB$83, 0, distance(VLOOKUP($A114,Cuision!$G:$P,9,FALSE),VLOOKUP($A114,Cuision!$G:$P,10,FALSE),VLOOKUP(BB$83,Cuision!$G:$P,9,FALSE),VLOOKUP(BB$83,Cuision!$G:$P,10,FALSE)))</f>
        <v>5714.0853377376734</v>
      </c>
      <c r="BC114" s="33">
        <f>IF($A114=BC$83, 0, distance(VLOOKUP($A114,Cuision!$G:$P,9,FALSE),VLOOKUP($A114,Cuision!$G:$P,10,FALSE),VLOOKUP(BC$83,Cuision!$G:$P,9,FALSE),VLOOKUP(BC$83,Cuision!$G:$P,10,FALSE)))</f>
        <v>2502.2183139621284</v>
      </c>
      <c r="BD114" s="33">
        <f>IF($A114=BD$83, 0, distance(VLOOKUP($A114,Cuision!$G:$P,9,FALSE),VLOOKUP($A114,Cuision!$G:$P,10,FALSE),VLOOKUP(BD$83,Cuision!$G:$P,9,FALSE),VLOOKUP(BD$83,Cuision!$G:$P,10,FALSE)))</f>
        <v>4378.6746098463709</v>
      </c>
      <c r="BE114" s="33">
        <f>IF($A114=BE$83, 0, distance(VLOOKUP($A114,Cuision!$G:$P,9,FALSE),VLOOKUP($A114,Cuision!$G:$P,10,FALSE),VLOOKUP(BE$83,Cuision!$G:$P,9,FALSE),VLOOKUP(BE$83,Cuision!$G:$P,10,FALSE)))</f>
        <v>1128.2362005181431</v>
      </c>
      <c r="BF114" s="33">
        <f>IF($A114=BF$83, 0, distance(VLOOKUP($A114,Cuision!$G:$P,9,FALSE),VLOOKUP($A114,Cuision!$G:$P,10,FALSE),VLOOKUP(BF$83,Cuision!$G:$P,9,FALSE),VLOOKUP(BF$83,Cuision!$G:$P,10,FALSE)))</f>
        <v>3675.7059608965174</v>
      </c>
      <c r="BG114" s="33">
        <f>IF($A114=BG$83, 0, distance(VLOOKUP($A114,Cuision!$G:$P,9,FALSE),VLOOKUP($A114,Cuision!$G:$P,10,FALSE),VLOOKUP(BG$83,Cuision!$G:$P,9,FALSE),VLOOKUP(BG$83,Cuision!$G:$P,10,FALSE)))</f>
        <v>2616.2959161936892</v>
      </c>
      <c r="BH114" s="33">
        <f>IF($A114=BH$83, 0, distance(VLOOKUP($A114,Cuision!$G:$P,9,FALSE),VLOOKUP($A114,Cuision!$G:$P,10,FALSE),VLOOKUP(BH$83,Cuision!$G:$P,9,FALSE),VLOOKUP(BH$83,Cuision!$G:$P,10,FALSE)))</f>
        <v>6370.405461622885</v>
      </c>
      <c r="BI114" s="33">
        <f>IF($A114=BI$83, 0, distance(VLOOKUP($A114,Cuision!$G:$P,9,FALSE),VLOOKUP($A114,Cuision!$G:$P,10,FALSE),VLOOKUP(BI$83,Cuision!$G:$P,9,FALSE),VLOOKUP(BI$83,Cuision!$G:$P,10,FALSE)))</f>
        <v>849.27507609202871</v>
      </c>
      <c r="BJ114" s="33">
        <f>IF($A114=BJ$83, 0, distance(VLOOKUP($A114,Cuision!$G:$P,9,FALSE),VLOOKUP($A114,Cuision!$G:$P,10,FALSE),VLOOKUP(BJ$83,Cuision!$G:$P,9,FALSE),VLOOKUP(BJ$83,Cuision!$G:$P,10,FALSE)))</f>
        <v>902.20674307723357</v>
      </c>
      <c r="BK114" s="33">
        <f>IF($A114=BK$83, 0, distance(VLOOKUP($A114,Cuision!$G:$P,9,FALSE),VLOOKUP($A114,Cuision!$G:$P,10,FALSE),VLOOKUP(BK$83,Cuision!$G:$P,9,FALSE),VLOOKUP(BK$83,Cuision!$G:$P,10,FALSE)))</f>
        <v>1545.214794610775</v>
      </c>
      <c r="BL114" s="33">
        <f>IF($A114=BL$83, 0, distance(VLOOKUP($A114,Cuision!$G:$P,9,FALSE),VLOOKUP($A114,Cuision!$G:$P,10,FALSE),VLOOKUP(BL$83,Cuision!$G:$P,9,FALSE),VLOOKUP(BL$83,Cuision!$G:$P,10,FALSE)))</f>
        <v>-1</v>
      </c>
      <c r="BM114" s="33">
        <f>IF($A114=BM$83, 0, distance(VLOOKUP($A114,Cuision!$G:$P,9,FALSE),VLOOKUP($A114,Cuision!$G:$P,10,FALSE),VLOOKUP(BM$83,Cuision!$G:$P,9,FALSE),VLOOKUP(BM$83,Cuision!$G:$P,10,FALSE)))</f>
        <v>-1</v>
      </c>
      <c r="BN114" s="33">
        <f>IF($A114=BN$83, 0, distance(VLOOKUP($A114,Cuision!$G:$P,9,FALSE),VLOOKUP($A114,Cuision!$G:$P,10,FALSE),VLOOKUP(BN$83,Cuision!$G:$P,9,FALSE),VLOOKUP(BN$83,Cuision!$G:$P,10,FALSE)))</f>
        <v>214.01332790653947</v>
      </c>
      <c r="BO114" s="33">
        <f>IF($A114=BO$83, 0, distance(VLOOKUP($A114,Cuision!$G:$P,9,FALSE),VLOOKUP($A114,Cuision!$G:$P,10,FALSE),VLOOKUP(BO$83,Cuision!$G:$P,9,FALSE),VLOOKUP(BO$83,Cuision!$G:$P,10,FALSE)))</f>
        <v>6671.1781825746866</v>
      </c>
      <c r="BP114" s="33">
        <f>IF($A114=BP$83, 0, distance(VLOOKUP($A114,Cuision!$G:$P,9,FALSE),VLOOKUP($A114,Cuision!$G:$P,10,FALSE),VLOOKUP(BP$83,Cuision!$G:$P,9,FALSE),VLOOKUP(BP$83,Cuision!$G:$P,10,FALSE)))</f>
        <v>676.37927896689428</v>
      </c>
      <c r="BQ114" s="33">
        <f>IF($A114=BQ$83, 0, distance(VLOOKUP($A114,Cuision!$G:$P,9,FALSE),VLOOKUP($A114,Cuision!$G:$P,10,FALSE),VLOOKUP(BQ$83,Cuision!$G:$P,9,FALSE),VLOOKUP(BQ$83,Cuision!$G:$P,10,FALSE)))</f>
        <v>-1</v>
      </c>
      <c r="BR114" s="33">
        <f>IF($A114=BR$83, 0, distance(VLOOKUP($A114,Cuision!$G:$P,9,FALSE),VLOOKUP($A114,Cuision!$G:$P,10,FALSE),VLOOKUP(BR$83,Cuision!$G:$P,9,FALSE),VLOOKUP(BR$83,Cuision!$G:$P,10,FALSE)))</f>
        <v>3830.9664587251614</v>
      </c>
      <c r="BS114" s="33">
        <f>IF($A114=BS$83, 0, distance(VLOOKUP($A114,Cuision!$G:$P,9,FALSE),VLOOKUP($A114,Cuision!$G:$P,10,FALSE),VLOOKUP(BS$83,Cuision!$G:$P,9,FALSE),VLOOKUP(BS$83,Cuision!$G:$P,10,FALSE)))</f>
        <v>5105.3803948869372</v>
      </c>
      <c r="BT114" s="33">
        <f>IF($A114=BT$83, 0, distance(VLOOKUP($A114,Cuision!$G:$P,9,FALSE),VLOOKUP($A114,Cuision!$G:$P,10,FALSE),VLOOKUP(BT$83,Cuision!$G:$P,9,FALSE),VLOOKUP(BT$83,Cuision!$G:$P,10,FALSE)))</f>
        <v>653.47387203501921</v>
      </c>
      <c r="BU114" s="33">
        <f>IF($A114=BU$83, 0, distance(VLOOKUP($A114,Cuision!$G:$P,9,FALSE),VLOOKUP($A114,Cuision!$G:$P,10,FALSE),VLOOKUP(BU$83,Cuision!$G:$P,9,FALSE),VLOOKUP(BU$83,Cuision!$G:$P,10,FALSE)))</f>
        <v>5867.8553826067027</v>
      </c>
      <c r="BV114" s="33">
        <f>IF($A114=BV$83, 0, distance(VLOOKUP($A114,Cuision!$G:$P,9,FALSE),VLOOKUP($A114,Cuision!$G:$P,10,FALSE),VLOOKUP(BV$83,Cuision!$G:$P,9,FALSE),VLOOKUP(BV$83,Cuision!$G:$P,10,FALSE)))</f>
        <v>1613.7913511032925</v>
      </c>
      <c r="BW114" s="33">
        <f>IF($A114=BW$83, 0, distance(VLOOKUP($A114,Cuision!$G:$P,9,FALSE),VLOOKUP($A114,Cuision!$G:$P,10,FALSE),VLOOKUP(BW$83,Cuision!$G:$P,9,FALSE),VLOOKUP(BW$83,Cuision!$G:$P,10,FALSE)))</f>
        <v>1257.3434671922678</v>
      </c>
      <c r="BX114" s="33">
        <f>IF($A114=BX$83, 0, distance(VLOOKUP($A114,Cuision!$G:$P,9,FALSE),VLOOKUP($A114,Cuision!$G:$P,10,FALSE),VLOOKUP(BX$83,Cuision!$G:$P,9,FALSE),VLOOKUP(BX$83,Cuision!$G:$P,10,FALSE)))</f>
        <v>3198.8217405732908</v>
      </c>
      <c r="BY114" s="33">
        <f>IF($A114=BY$83, 0, distance(VLOOKUP($A114,Cuision!$G:$P,9,FALSE),VLOOKUP($A114,Cuision!$G:$P,10,FALSE),VLOOKUP(BY$83,Cuision!$G:$P,9,FALSE),VLOOKUP(BY$83,Cuision!$G:$P,10,FALSE)))</f>
        <v>-1</v>
      </c>
      <c r="BZ114" s="33">
        <f>IF($A114=BZ$83, 0, distance(VLOOKUP($A114,Cuision!$G:$P,9,FALSE),VLOOKUP($A114,Cuision!$G:$P,10,FALSE),VLOOKUP(BZ$83,Cuision!$G:$P,9,FALSE),VLOOKUP(BZ$83,Cuision!$G:$P,10,FALSE)))</f>
        <v>-1</v>
      </c>
      <c r="CA114" s="33">
        <f>IF($A114=CA$83, 0, distance(VLOOKUP($A114,Cuision!$G:$P,9,FALSE),VLOOKUP($A114,Cuision!$G:$P,10,FALSE),VLOOKUP(CA$83,Cuision!$G:$P,9,FALSE),VLOOKUP(CA$83,Cuision!$G:$P,10,FALSE)))</f>
        <v>5714.7811342704717</v>
      </c>
    </row>
    <row r="115" spans="1:79" ht="14.25" x14ac:dyDescent="0.2">
      <c r="A115" s="30" t="s">
        <v>81</v>
      </c>
      <c r="B115" s="33">
        <f>IF($A115=B$83, 0, distance(VLOOKUP($A115,Cuision!$G:$P,9,FALSE),VLOOKUP($A115,Cuision!$G:$P,10,FALSE),VLOOKUP(B$83,Cuision!$G:$P,9,FALSE),VLOOKUP(B$83,Cuision!$G:$P,10,FALSE)))</f>
        <v>2967.8272217075946</v>
      </c>
      <c r="C115" s="33">
        <f>IF($A115=C$83, 0, distance(VLOOKUP($A115,Cuision!$G:$P,9,FALSE),VLOOKUP($A115,Cuision!$G:$P,10,FALSE),VLOOKUP(C$83,Cuision!$G:$P,9,FALSE),VLOOKUP(C$83,Cuision!$G:$P,10,FALSE)))</f>
        <v>4415.1918362670658</v>
      </c>
      <c r="D115" s="33">
        <f>IF($A115=D$83, 0, distance(VLOOKUP($A115,Cuision!$G:$P,9,FALSE),VLOOKUP($A115,Cuision!$G:$P,10,FALSE),VLOOKUP(D$83,Cuision!$G:$P,9,FALSE),VLOOKUP(D$83,Cuision!$G:$P,10,FALSE)))</f>
        <v>4169.9898960172895</v>
      </c>
      <c r="E115" s="33">
        <f>IF($A115=E$83, 0, distance(VLOOKUP($A115,Cuision!$G:$P,9,FALSE),VLOOKUP($A115,Cuision!$G:$P,10,FALSE),VLOOKUP(E$83,Cuision!$G:$P,9,FALSE),VLOOKUP(E$83,Cuision!$G:$P,10,FALSE)))</f>
        <v>4169.9898960172895</v>
      </c>
      <c r="F115" s="33">
        <f>IF($A115=F$83, 0, distance(VLOOKUP($A115,Cuision!$G:$P,9,FALSE),VLOOKUP($A115,Cuision!$G:$P,10,FALSE),VLOOKUP(F$83,Cuision!$G:$P,9,FALSE),VLOOKUP(F$83,Cuision!$G:$P,10,FALSE)))</f>
        <v>2182.5385348179407</v>
      </c>
      <c r="G115" s="33">
        <f>IF($A115=G$83, 0, distance(VLOOKUP($A115,Cuision!$G:$P,9,FALSE),VLOOKUP($A115,Cuision!$G:$P,10,FALSE),VLOOKUP(G$83,Cuision!$G:$P,9,FALSE),VLOOKUP(G$83,Cuision!$G:$P,10,FALSE)))</f>
        <v>7400.3383939840141</v>
      </c>
      <c r="H115" s="33">
        <f>IF($A115=H$83, 0, distance(VLOOKUP($A115,Cuision!$G:$P,9,FALSE),VLOOKUP($A115,Cuision!$G:$P,10,FALSE),VLOOKUP(H$83,Cuision!$G:$P,9,FALSE),VLOOKUP(H$83,Cuision!$G:$P,10,FALSE)))</f>
        <v>1691.6105623513615</v>
      </c>
      <c r="I115" s="33">
        <f>IF($A115=I$83, 0, distance(VLOOKUP($A115,Cuision!$G:$P,9,FALSE),VLOOKUP($A115,Cuision!$G:$P,10,FALSE),VLOOKUP(I$83,Cuision!$G:$P,9,FALSE),VLOOKUP(I$83,Cuision!$G:$P,10,FALSE)))</f>
        <v>4286.3696440003469</v>
      </c>
      <c r="J115" s="33">
        <f>IF($A115=J$83, 0, distance(VLOOKUP($A115,Cuision!$G:$P,9,FALSE),VLOOKUP($A115,Cuision!$G:$P,10,FALSE),VLOOKUP(J$83,Cuision!$G:$P,9,FALSE),VLOOKUP(J$83,Cuision!$G:$P,10,FALSE)))</f>
        <v>9982.5056133116523</v>
      </c>
      <c r="K115" s="33">
        <f>IF($A115=K$83, 0, distance(VLOOKUP($A115,Cuision!$G:$P,9,FALSE),VLOOKUP($A115,Cuision!$G:$P,10,FALSE),VLOOKUP(K$83,Cuision!$G:$P,9,FALSE),VLOOKUP(K$83,Cuision!$G:$P,10,FALSE)))</f>
        <v>325.0298805240937</v>
      </c>
      <c r="L115" s="33">
        <f>IF($A115=L$83, 0, distance(VLOOKUP($A115,Cuision!$G:$P,9,FALSE),VLOOKUP($A115,Cuision!$G:$P,10,FALSE),VLOOKUP(L$83,Cuision!$G:$P,9,FALSE),VLOOKUP(L$83,Cuision!$G:$P,10,FALSE)))</f>
        <v>4395.055476107399</v>
      </c>
      <c r="M115" s="33">
        <f>IF($A115=M$83, 0, distance(VLOOKUP($A115,Cuision!$G:$P,9,FALSE),VLOOKUP($A115,Cuision!$G:$P,10,FALSE),VLOOKUP(M$83,Cuision!$G:$P,9,FALSE),VLOOKUP(M$83,Cuision!$G:$P,10,FALSE)))</f>
        <v>-1</v>
      </c>
      <c r="N115" s="33">
        <f>IF($A115=N$83, 0, distance(VLOOKUP($A115,Cuision!$G:$P,9,FALSE),VLOOKUP($A115,Cuision!$G:$P,10,FALSE),VLOOKUP(N$83,Cuision!$G:$P,9,FALSE),VLOOKUP(N$83,Cuision!$G:$P,10,FALSE)))</f>
        <v>1161.242928171687</v>
      </c>
      <c r="O115" s="33">
        <f>IF($A115=O$83, 0, distance(VLOOKUP($A115,Cuision!$G:$P,9,FALSE),VLOOKUP($A115,Cuision!$G:$P,10,FALSE),VLOOKUP(O$83,Cuision!$G:$P,9,FALSE),VLOOKUP(O$83,Cuision!$G:$P,10,FALSE)))</f>
        <v>404.55604995888916</v>
      </c>
      <c r="P115" s="33">
        <f>IF($A115=P$83, 0, distance(VLOOKUP($A115,Cuision!$G:$P,9,FALSE),VLOOKUP($A115,Cuision!$G:$P,10,FALSE),VLOOKUP(P$83,Cuision!$G:$P,9,FALSE),VLOOKUP(P$83,Cuision!$G:$P,10,FALSE)))</f>
        <v>5960.4859989613515</v>
      </c>
      <c r="Q115" s="33">
        <f>IF($A115=Q$83, 0, distance(VLOOKUP($A115,Cuision!$G:$P,9,FALSE),VLOOKUP($A115,Cuision!$G:$P,10,FALSE),VLOOKUP(Q$83,Cuision!$G:$P,9,FALSE),VLOOKUP(Q$83,Cuision!$G:$P,10,FALSE)))</f>
        <v>-1</v>
      </c>
      <c r="R115" s="33">
        <f>IF($A115=R$83, 0, distance(VLOOKUP($A115,Cuision!$G:$P,9,FALSE),VLOOKUP($A115,Cuision!$G:$P,10,FALSE),VLOOKUP(R$83,Cuision!$G:$P,9,FALSE),VLOOKUP(R$83,Cuision!$G:$P,10,FALSE)))</f>
        <v>579.08706893054705</v>
      </c>
      <c r="S115" s="33">
        <f>IF($A115=S$83, 0, distance(VLOOKUP($A115,Cuision!$G:$P,9,FALSE),VLOOKUP($A115,Cuision!$G:$P,10,FALSE),VLOOKUP(S$83,Cuision!$G:$P,9,FALSE),VLOOKUP(S$83,Cuision!$G:$P,10,FALSE)))</f>
        <v>-1</v>
      </c>
      <c r="T115" s="33">
        <f>IF($A115=T$83, 0, distance(VLOOKUP($A115,Cuision!$G:$P,9,FALSE),VLOOKUP($A115,Cuision!$G:$P,10,FALSE),VLOOKUP(T$83,Cuision!$G:$P,9,FALSE),VLOOKUP(T$83,Cuision!$G:$P,10,FALSE)))</f>
        <v>4841.7351610344067</v>
      </c>
      <c r="U115" s="33">
        <f>IF($A115=U$83, 0, distance(VLOOKUP($A115,Cuision!$G:$P,9,FALSE),VLOOKUP($A115,Cuision!$G:$P,10,FALSE),VLOOKUP(U$83,Cuision!$G:$P,9,FALSE),VLOOKUP(U$83,Cuision!$G:$P,10,FALSE)))</f>
        <v>-1</v>
      </c>
      <c r="V115" s="33">
        <f>IF($A115=V$83, 0, distance(VLOOKUP($A115,Cuision!$G:$P,9,FALSE),VLOOKUP($A115,Cuision!$G:$P,10,FALSE),VLOOKUP(V$83,Cuision!$G:$P,9,FALSE),VLOOKUP(V$83,Cuision!$G:$P,10,FALSE)))</f>
        <v>4169.9898960172895</v>
      </c>
      <c r="W115" s="33">
        <f>IF($A115=W$83, 0, distance(VLOOKUP($A115,Cuision!$G:$P,9,FALSE),VLOOKUP($A115,Cuision!$G:$P,10,FALSE),VLOOKUP(W$83,Cuision!$G:$P,9,FALSE),VLOOKUP(W$83,Cuision!$G:$P,10,FALSE)))</f>
        <v>5648.8113933499835</v>
      </c>
      <c r="X115" s="33">
        <f>IF($A115=X$83, 0, distance(VLOOKUP($A115,Cuision!$G:$P,9,FALSE),VLOOKUP($A115,Cuision!$G:$P,10,FALSE),VLOOKUP(X$83,Cuision!$G:$P,9,FALSE),VLOOKUP(X$83,Cuision!$G:$P,10,FALSE)))</f>
        <v>1161.242928171687</v>
      </c>
      <c r="Y115" s="33">
        <f>IF($A115=Y$83, 0, distance(VLOOKUP($A115,Cuision!$G:$P,9,FALSE),VLOOKUP($A115,Cuision!$G:$P,10,FALSE),VLOOKUP(Y$83,Cuision!$G:$P,9,FALSE),VLOOKUP(Y$83,Cuision!$G:$P,10,FALSE)))</f>
        <v>4570.8191072065283</v>
      </c>
      <c r="Z115" s="33">
        <f>IF($A115=Z$83, 0, distance(VLOOKUP($A115,Cuision!$G:$P,9,FALSE),VLOOKUP($A115,Cuision!$G:$P,10,FALSE),VLOOKUP(Z$83,Cuision!$G:$P,9,FALSE),VLOOKUP(Z$83,Cuision!$G:$P,10,FALSE)))</f>
        <v>-1</v>
      </c>
      <c r="AA115" s="33">
        <f>IF($A115=AA$83, 0, distance(VLOOKUP($A115,Cuision!$G:$P,9,FALSE),VLOOKUP($A115,Cuision!$G:$P,10,FALSE),VLOOKUP(AA$83,Cuision!$G:$P,9,FALSE),VLOOKUP(AA$83,Cuision!$G:$P,10,FALSE)))</f>
        <v>5196.2615861698059</v>
      </c>
      <c r="AB115" s="33">
        <f>IF($A115=AB$83, 0, distance(VLOOKUP($A115,Cuision!$G:$P,9,FALSE),VLOOKUP($A115,Cuision!$G:$P,10,FALSE),VLOOKUP(AB$83,Cuision!$G:$P,9,FALSE),VLOOKUP(AB$83,Cuision!$G:$P,10,FALSE)))</f>
        <v>173.45929792040442</v>
      </c>
      <c r="AC115" s="33">
        <f>IF($A115=AC$83, 0, distance(VLOOKUP($A115,Cuision!$G:$P,9,FALSE),VLOOKUP($A115,Cuision!$G:$P,10,FALSE),VLOOKUP(AC$83,Cuision!$G:$P,9,FALSE),VLOOKUP(AC$83,Cuision!$G:$P,10,FALSE)))</f>
        <v>3324.7186558808503</v>
      </c>
      <c r="AD115" s="33">
        <f>IF($A115=AD$83, 0, distance(VLOOKUP($A115,Cuision!$G:$P,9,FALSE),VLOOKUP($A115,Cuision!$G:$P,10,FALSE),VLOOKUP(AD$83,Cuision!$G:$P,9,FALSE),VLOOKUP(AD$83,Cuision!$G:$P,10,FALSE)))</f>
        <v>6129.8909101716454</v>
      </c>
      <c r="AE115" s="33">
        <f>IF($A115=AE$83, 0, distance(VLOOKUP($A115,Cuision!$G:$P,9,FALSE),VLOOKUP($A115,Cuision!$G:$P,10,FALSE),VLOOKUP(AE$83,Cuision!$G:$P,9,FALSE),VLOOKUP(AE$83,Cuision!$G:$P,10,FALSE)))</f>
        <v>675.37634572204195</v>
      </c>
      <c r="AF115" s="33">
        <f>IF($A115=AF$83, 0, distance(VLOOKUP($A115,Cuision!$G:$P,9,FALSE),VLOOKUP($A115,Cuision!$G:$P,10,FALSE),VLOOKUP(AF$83,Cuision!$G:$P,9,FALSE),VLOOKUP(AF$83,Cuision!$G:$P,10,FALSE)))</f>
        <v>545.72281257047678</v>
      </c>
      <c r="AG115" s="33">
        <f>IF($A115=AG$83, 0, distance(VLOOKUP($A115,Cuision!$G:$P,9,FALSE),VLOOKUP($A115,Cuision!$G:$P,10,FALSE),VLOOKUP(AG$83,Cuision!$G:$P,9,FALSE),VLOOKUP(AG$83,Cuision!$G:$P,10,FALSE)))</f>
        <v>0</v>
      </c>
      <c r="AH115" s="33">
        <f>IF($A115=AH$83, 0, distance(VLOOKUP($A115,Cuision!$G:$P,9,FALSE),VLOOKUP($A115,Cuision!$G:$P,10,FALSE),VLOOKUP(AH$83,Cuision!$G:$P,9,FALSE),VLOOKUP(AH$83,Cuision!$G:$P,10,FALSE)))</f>
        <v>-1</v>
      </c>
      <c r="AI115" s="33">
        <f>IF($A115=AI$83, 0, distance(VLOOKUP($A115,Cuision!$G:$P,9,FALSE),VLOOKUP($A115,Cuision!$G:$P,10,FALSE),VLOOKUP(AI$83,Cuision!$G:$P,9,FALSE),VLOOKUP(AI$83,Cuision!$G:$P,10,FALSE)))</f>
        <v>1120.1821914283989</v>
      </c>
      <c r="AJ115" s="33">
        <f>IF($A115=AJ$83, 0, distance(VLOOKUP($A115,Cuision!$G:$P,9,FALSE),VLOOKUP($A115,Cuision!$G:$P,10,FALSE),VLOOKUP(AJ$83,Cuision!$G:$P,9,FALSE),VLOOKUP(AJ$83,Cuision!$G:$P,10,FALSE)))</f>
        <v>2182.5385348179407</v>
      </c>
      <c r="AK115" s="33">
        <f>IF($A115=AK$83, 0, distance(VLOOKUP($A115,Cuision!$G:$P,9,FALSE),VLOOKUP($A115,Cuision!$G:$P,10,FALSE),VLOOKUP(AK$83,Cuision!$G:$P,9,FALSE),VLOOKUP(AK$83,Cuision!$G:$P,10,FALSE)))</f>
        <v>7389.290961718938</v>
      </c>
      <c r="AL115" s="33">
        <f>IF($A115=AL$83, 0, distance(VLOOKUP($A115,Cuision!$G:$P,9,FALSE),VLOOKUP($A115,Cuision!$G:$P,10,FALSE),VLOOKUP(AL$83,Cuision!$G:$P,9,FALSE),VLOOKUP(AL$83,Cuision!$G:$P,10,FALSE)))</f>
        <v>3977.9758623917128</v>
      </c>
      <c r="AM115" s="33">
        <f>IF($A115=AM$83, 0, distance(VLOOKUP($A115,Cuision!$G:$P,9,FALSE),VLOOKUP($A115,Cuision!$G:$P,10,FALSE),VLOOKUP(AM$83,Cuision!$G:$P,9,FALSE),VLOOKUP(AM$83,Cuision!$G:$P,10,FALSE)))</f>
        <v>-1</v>
      </c>
      <c r="AN115" s="33">
        <f>IF($A115=AN$83, 0, distance(VLOOKUP($A115,Cuision!$G:$P,9,FALSE),VLOOKUP($A115,Cuision!$G:$P,10,FALSE),VLOOKUP(AN$83,Cuision!$G:$P,9,FALSE),VLOOKUP(AN$83,Cuision!$G:$P,10,FALSE)))</f>
        <v>427.2481493023617</v>
      </c>
      <c r="AO115" s="33">
        <f>IF($A115=AO$83, 0, distance(VLOOKUP($A115,Cuision!$G:$P,9,FALSE),VLOOKUP($A115,Cuision!$G:$P,10,FALSE),VLOOKUP(AO$83,Cuision!$G:$P,9,FALSE),VLOOKUP(AO$83,Cuision!$G:$P,10,FALSE)))</f>
        <v>1161.242928171687</v>
      </c>
      <c r="AP115" s="33">
        <f>IF($A115=AP$83, 0, distance(VLOOKUP($A115,Cuision!$G:$P,9,FALSE),VLOOKUP($A115,Cuision!$G:$P,10,FALSE),VLOOKUP(AP$83,Cuision!$G:$P,9,FALSE),VLOOKUP(AP$83,Cuision!$G:$P,10,FALSE)))</f>
        <v>3590.6978410378561</v>
      </c>
      <c r="AQ115" s="33">
        <f>IF($A115=AQ$83, 0, distance(VLOOKUP($A115,Cuision!$G:$P,9,FALSE),VLOOKUP($A115,Cuision!$G:$P,10,FALSE),VLOOKUP(AQ$83,Cuision!$G:$P,9,FALSE),VLOOKUP(AQ$83,Cuision!$G:$P,10,FALSE)))</f>
        <v>6702.8058669881839</v>
      </c>
      <c r="AR115" s="33">
        <f>IF($A115=AR$83, 0, distance(VLOOKUP($A115,Cuision!$G:$P,9,FALSE),VLOOKUP($A115,Cuision!$G:$P,10,FALSE),VLOOKUP(AR$83,Cuision!$G:$P,9,FALSE),VLOOKUP(AR$83,Cuision!$G:$P,10,FALSE)))</f>
        <v>579.08706893054705</v>
      </c>
      <c r="AS115" s="33">
        <f>IF($A115=AS$83, 0, distance(VLOOKUP($A115,Cuision!$G:$P,9,FALSE),VLOOKUP($A115,Cuision!$G:$P,10,FALSE),VLOOKUP(AS$83,Cuision!$G:$P,9,FALSE),VLOOKUP(AS$83,Cuision!$G:$P,10,FALSE)))</f>
        <v>735.70608457763501</v>
      </c>
      <c r="AT115" s="33">
        <f>IF($A115=AT$83, 0, distance(VLOOKUP($A115,Cuision!$G:$P,9,FALSE),VLOOKUP($A115,Cuision!$G:$P,10,FALSE),VLOOKUP(AT$83,Cuision!$G:$P,9,FALSE),VLOOKUP(AT$83,Cuision!$G:$P,10,FALSE)))</f>
        <v>5539.7276058834277</v>
      </c>
      <c r="AU115" s="33">
        <f>IF($A115=AU$83, 0, distance(VLOOKUP($A115,Cuision!$G:$P,9,FALSE),VLOOKUP($A115,Cuision!$G:$P,10,FALSE),VLOOKUP(AU$83,Cuision!$G:$P,9,FALSE),VLOOKUP(AU$83,Cuision!$G:$P,10,FALSE)))</f>
        <v>5049.2135353796548</v>
      </c>
      <c r="AV115" s="33">
        <f>IF($A115=AV$83, 0, distance(VLOOKUP($A115,Cuision!$G:$P,9,FALSE),VLOOKUP($A115,Cuision!$G:$P,10,FALSE),VLOOKUP(AV$83,Cuision!$G:$P,9,FALSE),VLOOKUP(AV$83,Cuision!$G:$P,10,FALSE)))</f>
        <v>1495.1895497652306</v>
      </c>
      <c r="AW115" s="33">
        <f>IF($A115=AW$83, 0, distance(VLOOKUP($A115,Cuision!$G:$P,9,FALSE),VLOOKUP($A115,Cuision!$G:$P,10,FALSE),VLOOKUP(AW$83,Cuision!$G:$P,9,FALSE),VLOOKUP(AW$83,Cuision!$G:$P,10,FALSE)))</f>
        <v>5205.5276509559999</v>
      </c>
      <c r="AX115" s="33">
        <f>IF($A115=AX$83, 0, distance(VLOOKUP($A115,Cuision!$G:$P,9,FALSE),VLOOKUP($A115,Cuision!$G:$P,10,FALSE),VLOOKUP(AX$83,Cuision!$G:$P,9,FALSE),VLOOKUP(AX$83,Cuision!$G:$P,10,FALSE)))</f>
        <v>5828.5749940700889</v>
      </c>
      <c r="AY115" s="33">
        <f>IF($A115=AY$83, 0, distance(VLOOKUP($A115,Cuision!$G:$P,9,FALSE),VLOOKUP($A115,Cuision!$G:$P,10,FALSE),VLOOKUP(AY$83,Cuision!$G:$P,9,FALSE),VLOOKUP(AY$83,Cuision!$G:$P,10,FALSE)))</f>
        <v>-1</v>
      </c>
      <c r="AZ115" s="33">
        <f>IF($A115=AZ$83, 0, distance(VLOOKUP($A115,Cuision!$G:$P,9,FALSE),VLOOKUP($A115,Cuision!$G:$P,10,FALSE),VLOOKUP(AZ$83,Cuision!$G:$P,9,FALSE),VLOOKUP(AZ$83,Cuision!$G:$P,10,FALSE)))</f>
        <v>5973.6829435854743</v>
      </c>
      <c r="BA115" s="33">
        <f>IF($A115=BA$83, 0, distance(VLOOKUP($A115,Cuision!$G:$P,9,FALSE),VLOOKUP($A115,Cuision!$G:$P,10,FALSE),VLOOKUP(BA$83,Cuision!$G:$P,9,FALSE),VLOOKUP(BA$83,Cuision!$G:$P,10,FALSE)))</f>
        <v>1262.2207315109704</v>
      </c>
      <c r="BB115" s="33">
        <f>IF($A115=BB$83, 0, distance(VLOOKUP($A115,Cuision!$G:$P,9,FALSE),VLOOKUP($A115,Cuision!$G:$P,10,FALSE),VLOOKUP(BB$83,Cuision!$G:$P,9,FALSE),VLOOKUP(BB$83,Cuision!$G:$P,10,FALSE)))</f>
        <v>6043.7950089309315</v>
      </c>
      <c r="BC115" s="33">
        <f>IF($A115=BC$83, 0, distance(VLOOKUP($A115,Cuision!$G:$P,9,FALSE),VLOOKUP($A115,Cuision!$G:$P,10,FALSE),VLOOKUP(BC$83,Cuision!$G:$P,9,FALSE),VLOOKUP(BC$83,Cuision!$G:$P,10,FALSE)))</f>
        <v>2182.5385348179407</v>
      </c>
      <c r="BD115" s="33">
        <f>IF($A115=BD$83, 0, distance(VLOOKUP($A115,Cuision!$G:$P,9,FALSE),VLOOKUP($A115,Cuision!$G:$P,10,FALSE),VLOOKUP(BD$83,Cuision!$G:$P,9,FALSE),VLOOKUP(BD$83,Cuision!$G:$P,10,FALSE)))</f>
        <v>3845.0199459862733</v>
      </c>
      <c r="BE115" s="33">
        <f>IF($A115=BE$83, 0, distance(VLOOKUP($A115,Cuision!$G:$P,9,FALSE),VLOOKUP($A115,Cuision!$G:$P,10,FALSE),VLOOKUP(BE$83,Cuision!$G:$P,9,FALSE),VLOOKUP(BE$83,Cuision!$G:$P,10,FALSE)))</f>
        <v>1622.9940334241837</v>
      </c>
      <c r="BF115" s="33">
        <f>IF($A115=BF$83, 0, distance(VLOOKUP($A115,Cuision!$G:$P,9,FALSE),VLOOKUP($A115,Cuision!$G:$P,10,FALSE),VLOOKUP(BF$83,Cuision!$G:$P,9,FALSE),VLOOKUP(BF$83,Cuision!$G:$P,10,FALSE)))</f>
        <v>3168.4463496412645</v>
      </c>
      <c r="BG115" s="33">
        <f>IF($A115=BG$83, 0, distance(VLOOKUP($A115,Cuision!$G:$P,9,FALSE),VLOOKUP($A115,Cuision!$G:$P,10,FALSE),VLOOKUP(BG$83,Cuision!$G:$P,9,FALSE),VLOOKUP(BG$83,Cuision!$G:$P,10,FALSE)))</f>
        <v>2178.5370904158672</v>
      </c>
      <c r="BH115" s="33">
        <f>IF($A115=BH$83, 0, distance(VLOOKUP($A115,Cuision!$G:$P,9,FALSE),VLOOKUP($A115,Cuision!$G:$P,10,FALSE),VLOOKUP(BH$83,Cuision!$G:$P,9,FALSE),VLOOKUP(BH$83,Cuision!$G:$P,10,FALSE)))</f>
        <v>6894.7560260622367</v>
      </c>
      <c r="BI115" s="33">
        <f>IF($A115=BI$83, 0, distance(VLOOKUP($A115,Cuision!$G:$P,9,FALSE),VLOOKUP($A115,Cuision!$G:$P,10,FALSE),VLOOKUP(BI$83,Cuision!$G:$P,9,FALSE),VLOOKUP(BI$83,Cuision!$G:$P,10,FALSE)))</f>
        <v>321.03523503103781</v>
      </c>
      <c r="BJ115" s="33">
        <f>IF($A115=BJ$83, 0, distance(VLOOKUP($A115,Cuision!$G:$P,9,FALSE),VLOOKUP($A115,Cuision!$G:$P,10,FALSE),VLOOKUP(BJ$83,Cuision!$G:$P,9,FALSE),VLOOKUP(BJ$83,Cuision!$G:$P,10,FALSE)))</f>
        <v>1436.5847478067926</v>
      </c>
      <c r="BK115" s="33">
        <f>IF($A115=BK$83, 0, distance(VLOOKUP($A115,Cuision!$G:$P,9,FALSE),VLOOKUP($A115,Cuision!$G:$P,10,FALSE),VLOOKUP(BK$83,Cuision!$G:$P,9,FALSE),VLOOKUP(BK$83,Cuision!$G:$P,10,FALSE)))</f>
        <v>999.5245364509334</v>
      </c>
      <c r="BL115" s="33">
        <f>IF($A115=BL$83, 0, distance(VLOOKUP($A115,Cuision!$G:$P,9,FALSE),VLOOKUP($A115,Cuision!$G:$P,10,FALSE),VLOOKUP(BL$83,Cuision!$G:$P,9,FALSE),VLOOKUP(BL$83,Cuision!$G:$P,10,FALSE)))</f>
        <v>-1</v>
      </c>
      <c r="BM115" s="33">
        <f>IF($A115=BM$83, 0, distance(VLOOKUP($A115,Cuision!$G:$P,9,FALSE),VLOOKUP($A115,Cuision!$G:$P,10,FALSE),VLOOKUP(BM$83,Cuision!$G:$P,9,FALSE),VLOOKUP(BM$83,Cuision!$G:$P,10,FALSE)))</f>
        <v>-1</v>
      </c>
      <c r="BN115" s="33">
        <f>IF($A115=BN$83, 0, distance(VLOOKUP($A115,Cuision!$G:$P,9,FALSE),VLOOKUP($A115,Cuision!$G:$P,10,FALSE),VLOOKUP(BN$83,Cuision!$G:$P,9,FALSE),VLOOKUP(BN$83,Cuision!$G:$P,10,FALSE)))</f>
        <v>579.08706893054705</v>
      </c>
      <c r="BO115" s="33">
        <f>IF($A115=BO$83, 0, distance(VLOOKUP($A115,Cuision!$G:$P,9,FALSE),VLOOKUP($A115,Cuision!$G:$P,10,FALSE),VLOOKUP(BO$83,Cuision!$G:$P,9,FALSE),VLOOKUP(BO$83,Cuision!$G:$P,10,FALSE)))</f>
        <v>6165.8698501794952</v>
      </c>
      <c r="BP115" s="33">
        <f>IF($A115=BP$83, 0, distance(VLOOKUP($A115,Cuision!$G:$P,9,FALSE),VLOOKUP($A115,Cuision!$G:$P,10,FALSE),VLOOKUP(BP$83,Cuision!$G:$P,9,FALSE),VLOOKUP(BP$83,Cuision!$G:$P,10,FALSE)))</f>
        <v>343.08509788242304</v>
      </c>
      <c r="BQ115" s="33">
        <f>IF($A115=BQ$83, 0, distance(VLOOKUP($A115,Cuision!$G:$P,9,FALSE),VLOOKUP($A115,Cuision!$G:$P,10,FALSE),VLOOKUP(BQ$83,Cuision!$G:$P,9,FALSE),VLOOKUP(BQ$83,Cuision!$G:$P,10,FALSE)))</f>
        <v>-1</v>
      </c>
      <c r="BR115" s="33">
        <f>IF($A115=BR$83, 0, distance(VLOOKUP($A115,Cuision!$G:$P,9,FALSE),VLOOKUP($A115,Cuision!$G:$P,10,FALSE),VLOOKUP(BR$83,Cuision!$G:$P,9,FALSE),VLOOKUP(BR$83,Cuision!$G:$P,10,FALSE)))</f>
        <v>4169.9898960172895</v>
      </c>
      <c r="BS115" s="33">
        <f>IF($A115=BS$83, 0, distance(VLOOKUP($A115,Cuision!$G:$P,9,FALSE),VLOOKUP($A115,Cuision!$G:$P,10,FALSE),VLOOKUP(BS$83,Cuision!$G:$P,9,FALSE),VLOOKUP(BS$83,Cuision!$G:$P,10,FALSE)))</f>
        <v>4570.8191072065283</v>
      </c>
      <c r="BT115" s="33">
        <f>IF($A115=BT$83, 0, distance(VLOOKUP($A115,Cuision!$G:$P,9,FALSE),VLOOKUP($A115,Cuision!$G:$P,10,FALSE),VLOOKUP(BT$83,Cuision!$G:$P,9,FALSE),VLOOKUP(BT$83,Cuision!$G:$P,10,FALSE)))</f>
        <v>1161.242928171687</v>
      </c>
      <c r="BU115" s="33">
        <f>IF($A115=BU$83, 0, distance(VLOOKUP($A115,Cuision!$G:$P,9,FALSE),VLOOKUP($A115,Cuision!$G:$P,10,FALSE),VLOOKUP(BU$83,Cuision!$G:$P,9,FALSE),VLOOKUP(BU$83,Cuision!$G:$P,10,FALSE)))</f>
        <v>5345.6109447687068</v>
      </c>
      <c r="BV115" s="33">
        <f>IF($A115=BV$83, 0, distance(VLOOKUP($A115,Cuision!$G:$P,9,FALSE),VLOOKUP($A115,Cuision!$G:$P,10,FALSE),VLOOKUP(BV$83,Cuision!$G:$P,9,FALSE),VLOOKUP(BV$83,Cuision!$G:$P,10,FALSE)))</f>
        <v>1265.7761903577368</v>
      </c>
      <c r="BW115" s="33">
        <f>IF($A115=BW$83, 0, distance(VLOOKUP($A115,Cuision!$G:$P,9,FALSE),VLOOKUP($A115,Cuision!$G:$P,10,FALSE),VLOOKUP(BW$83,Cuision!$G:$P,9,FALSE),VLOOKUP(BW$83,Cuision!$G:$P,10,FALSE)))</f>
        <v>748.02539297349358</v>
      </c>
      <c r="BX115" s="33">
        <f>IF($A115=BX$83, 0, distance(VLOOKUP($A115,Cuision!$G:$P,9,FALSE),VLOOKUP($A115,Cuision!$G:$P,10,FALSE),VLOOKUP(BX$83,Cuision!$G:$P,9,FALSE),VLOOKUP(BX$83,Cuision!$G:$P,10,FALSE)))</f>
        <v>2674.1242136514352</v>
      </c>
      <c r="BY115" s="33">
        <f>IF($A115=BY$83, 0, distance(VLOOKUP($A115,Cuision!$G:$P,9,FALSE),VLOOKUP($A115,Cuision!$G:$P,10,FALSE),VLOOKUP(BY$83,Cuision!$G:$P,9,FALSE),VLOOKUP(BY$83,Cuision!$G:$P,10,FALSE)))</f>
        <v>-1</v>
      </c>
      <c r="BZ115" s="33">
        <f>IF($A115=BZ$83, 0, distance(VLOOKUP($A115,Cuision!$G:$P,9,FALSE),VLOOKUP($A115,Cuision!$G:$P,10,FALSE),VLOOKUP(BZ$83,Cuision!$G:$P,9,FALSE),VLOOKUP(BZ$83,Cuision!$G:$P,10,FALSE)))</f>
        <v>-1</v>
      </c>
      <c r="CA115" s="33">
        <f>IF($A115=CA$83, 0, distance(VLOOKUP($A115,Cuision!$G:$P,9,FALSE),VLOOKUP($A115,Cuision!$G:$P,10,FALSE),VLOOKUP(CA$83,Cuision!$G:$P,9,FALSE),VLOOKUP(CA$83,Cuision!$G:$P,10,FALSE)))</f>
        <v>5174.5933036480901</v>
      </c>
    </row>
    <row r="116" spans="1:79" ht="14.25" x14ac:dyDescent="0.2">
      <c r="A116" s="30" t="s">
        <v>82</v>
      </c>
      <c r="B116" s="33">
        <f>IF($A116=B$83, 0, distance(VLOOKUP($A116,Cuision!$G:$P,9,FALSE),VLOOKUP($A116,Cuision!$G:$P,10,FALSE),VLOOKUP(B$83,Cuision!$G:$P,9,FALSE),VLOOKUP(B$83,Cuision!$G:$P,10,FALSE)))</f>
        <v>-1</v>
      </c>
      <c r="C116" s="33">
        <f>IF($A116=C$83, 0, distance(VLOOKUP($A116,Cuision!$G:$P,9,FALSE),VLOOKUP($A116,Cuision!$G:$P,10,FALSE),VLOOKUP(C$83,Cuision!$G:$P,9,FALSE),VLOOKUP(C$83,Cuision!$G:$P,10,FALSE)))</f>
        <v>-1</v>
      </c>
      <c r="D116" s="33">
        <f>IF($A116=D$83, 0, distance(VLOOKUP($A116,Cuision!$G:$P,9,FALSE),VLOOKUP($A116,Cuision!$G:$P,10,FALSE),VLOOKUP(D$83,Cuision!$G:$P,9,FALSE),VLOOKUP(D$83,Cuision!$G:$P,10,FALSE)))</f>
        <v>-1</v>
      </c>
      <c r="E116" s="33">
        <f>IF($A116=E$83, 0, distance(VLOOKUP($A116,Cuision!$G:$P,9,FALSE),VLOOKUP($A116,Cuision!$G:$P,10,FALSE),VLOOKUP(E$83,Cuision!$G:$P,9,FALSE),VLOOKUP(E$83,Cuision!$G:$P,10,FALSE)))</f>
        <v>-1</v>
      </c>
      <c r="F116" s="33">
        <f>IF($A116=F$83, 0, distance(VLOOKUP($A116,Cuision!$G:$P,9,FALSE),VLOOKUP($A116,Cuision!$G:$P,10,FALSE),VLOOKUP(F$83,Cuision!$G:$P,9,FALSE),VLOOKUP(F$83,Cuision!$G:$P,10,FALSE)))</f>
        <v>-1</v>
      </c>
      <c r="G116" s="33">
        <f>IF($A116=G$83, 0, distance(VLOOKUP($A116,Cuision!$G:$P,9,FALSE),VLOOKUP($A116,Cuision!$G:$P,10,FALSE),VLOOKUP(G$83,Cuision!$G:$P,9,FALSE),VLOOKUP(G$83,Cuision!$G:$P,10,FALSE)))</f>
        <v>-1</v>
      </c>
      <c r="H116" s="33">
        <f>IF($A116=H$83, 0, distance(VLOOKUP($A116,Cuision!$G:$P,9,FALSE),VLOOKUP($A116,Cuision!$G:$P,10,FALSE),VLOOKUP(H$83,Cuision!$G:$P,9,FALSE),VLOOKUP(H$83,Cuision!$G:$P,10,FALSE)))</f>
        <v>-1</v>
      </c>
      <c r="I116" s="33">
        <f>IF($A116=I$83, 0, distance(VLOOKUP($A116,Cuision!$G:$P,9,FALSE),VLOOKUP($A116,Cuision!$G:$P,10,FALSE),VLOOKUP(I$83,Cuision!$G:$P,9,FALSE),VLOOKUP(I$83,Cuision!$G:$P,10,FALSE)))</f>
        <v>-1</v>
      </c>
      <c r="J116" s="33">
        <f>IF($A116=J$83, 0, distance(VLOOKUP($A116,Cuision!$G:$P,9,FALSE),VLOOKUP($A116,Cuision!$G:$P,10,FALSE),VLOOKUP(J$83,Cuision!$G:$P,9,FALSE),VLOOKUP(J$83,Cuision!$G:$P,10,FALSE)))</f>
        <v>-1</v>
      </c>
      <c r="K116" s="33">
        <f>IF($A116=K$83, 0, distance(VLOOKUP($A116,Cuision!$G:$P,9,FALSE),VLOOKUP($A116,Cuision!$G:$P,10,FALSE),VLOOKUP(K$83,Cuision!$G:$P,9,FALSE),VLOOKUP(K$83,Cuision!$G:$P,10,FALSE)))</f>
        <v>-1</v>
      </c>
      <c r="L116" s="33">
        <f>IF($A116=L$83, 0, distance(VLOOKUP($A116,Cuision!$G:$P,9,FALSE),VLOOKUP($A116,Cuision!$G:$P,10,FALSE),VLOOKUP(L$83,Cuision!$G:$P,9,FALSE),VLOOKUP(L$83,Cuision!$G:$P,10,FALSE)))</f>
        <v>-1</v>
      </c>
      <c r="M116" s="33">
        <f>IF($A116=M$83, 0, distance(VLOOKUP($A116,Cuision!$G:$P,9,FALSE),VLOOKUP($A116,Cuision!$G:$P,10,FALSE),VLOOKUP(M$83,Cuision!$G:$P,9,FALSE),VLOOKUP(M$83,Cuision!$G:$P,10,FALSE)))</f>
        <v>-1</v>
      </c>
      <c r="N116" s="33">
        <f>IF($A116=N$83, 0, distance(VLOOKUP($A116,Cuision!$G:$P,9,FALSE),VLOOKUP($A116,Cuision!$G:$P,10,FALSE),VLOOKUP(N$83,Cuision!$G:$P,9,FALSE),VLOOKUP(N$83,Cuision!$G:$P,10,FALSE)))</f>
        <v>-1</v>
      </c>
      <c r="O116" s="33">
        <f>IF($A116=O$83, 0, distance(VLOOKUP($A116,Cuision!$G:$P,9,FALSE),VLOOKUP($A116,Cuision!$G:$P,10,FALSE),VLOOKUP(O$83,Cuision!$G:$P,9,FALSE),VLOOKUP(O$83,Cuision!$G:$P,10,FALSE)))</f>
        <v>-1</v>
      </c>
      <c r="P116" s="33">
        <f>IF($A116=P$83, 0, distance(VLOOKUP($A116,Cuision!$G:$P,9,FALSE),VLOOKUP($A116,Cuision!$G:$P,10,FALSE),VLOOKUP(P$83,Cuision!$G:$P,9,FALSE),VLOOKUP(P$83,Cuision!$G:$P,10,FALSE)))</f>
        <v>-1</v>
      </c>
      <c r="Q116" s="33">
        <f>IF($A116=Q$83, 0, distance(VLOOKUP($A116,Cuision!$G:$P,9,FALSE),VLOOKUP($A116,Cuision!$G:$P,10,FALSE),VLOOKUP(Q$83,Cuision!$G:$P,9,FALSE),VLOOKUP(Q$83,Cuision!$G:$P,10,FALSE)))</f>
        <v>-1</v>
      </c>
      <c r="R116" s="33">
        <f>IF($A116=R$83, 0, distance(VLOOKUP($A116,Cuision!$G:$P,9,FALSE),VLOOKUP($A116,Cuision!$G:$P,10,FALSE),VLOOKUP(R$83,Cuision!$G:$P,9,FALSE),VLOOKUP(R$83,Cuision!$G:$P,10,FALSE)))</f>
        <v>-1</v>
      </c>
      <c r="S116" s="33">
        <f>IF($A116=S$83, 0, distance(VLOOKUP($A116,Cuision!$G:$P,9,FALSE),VLOOKUP($A116,Cuision!$G:$P,10,FALSE),VLOOKUP(S$83,Cuision!$G:$P,9,FALSE),VLOOKUP(S$83,Cuision!$G:$P,10,FALSE)))</f>
        <v>-1</v>
      </c>
      <c r="T116" s="33">
        <f>IF($A116=T$83, 0, distance(VLOOKUP($A116,Cuision!$G:$P,9,FALSE),VLOOKUP($A116,Cuision!$G:$P,10,FALSE),VLOOKUP(T$83,Cuision!$G:$P,9,FALSE),VLOOKUP(T$83,Cuision!$G:$P,10,FALSE)))</f>
        <v>-1</v>
      </c>
      <c r="U116" s="33">
        <f>IF($A116=U$83, 0, distance(VLOOKUP($A116,Cuision!$G:$P,9,FALSE),VLOOKUP($A116,Cuision!$G:$P,10,FALSE),VLOOKUP(U$83,Cuision!$G:$P,9,FALSE),VLOOKUP(U$83,Cuision!$G:$P,10,FALSE)))</f>
        <v>-1</v>
      </c>
      <c r="V116" s="33">
        <f>IF($A116=V$83, 0, distance(VLOOKUP($A116,Cuision!$G:$P,9,FALSE),VLOOKUP($A116,Cuision!$G:$P,10,FALSE),VLOOKUP(V$83,Cuision!$G:$P,9,FALSE),VLOOKUP(V$83,Cuision!$G:$P,10,FALSE)))</f>
        <v>-1</v>
      </c>
      <c r="W116" s="33">
        <f>IF($A116=W$83, 0, distance(VLOOKUP($A116,Cuision!$G:$P,9,FALSE),VLOOKUP($A116,Cuision!$G:$P,10,FALSE),VLOOKUP(W$83,Cuision!$G:$P,9,FALSE),VLOOKUP(W$83,Cuision!$G:$P,10,FALSE)))</f>
        <v>-1</v>
      </c>
      <c r="X116" s="33">
        <f>IF($A116=X$83, 0, distance(VLOOKUP($A116,Cuision!$G:$P,9,FALSE),VLOOKUP($A116,Cuision!$G:$P,10,FALSE),VLOOKUP(X$83,Cuision!$G:$P,9,FALSE),VLOOKUP(X$83,Cuision!$G:$P,10,FALSE)))</f>
        <v>-1</v>
      </c>
      <c r="Y116" s="33">
        <f>IF($A116=Y$83, 0, distance(VLOOKUP($A116,Cuision!$G:$P,9,FALSE),VLOOKUP($A116,Cuision!$G:$P,10,FALSE),VLOOKUP(Y$83,Cuision!$G:$P,9,FALSE),VLOOKUP(Y$83,Cuision!$G:$P,10,FALSE)))</f>
        <v>-1</v>
      </c>
      <c r="Z116" s="33">
        <f>IF($A116=Z$83, 0, distance(VLOOKUP($A116,Cuision!$G:$P,9,FALSE),VLOOKUP($A116,Cuision!$G:$P,10,FALSE),VLOOKUP(Z$83,Cuision!$G:$P,9,FALSE),VLOOKUP(Z$83,Cuision!$G:$P,10,FALSE)))</f>
        <v>-1</v>
      </c>
      <c r="AA116" s="33">
        <f>IF($A116=AA$83, 0, distance(VLOOKUP($A116,Cuision!$G:$P,9,FALSE),VLOOKUP($A116,Cuision!$G:$P,10,FALSE),VLOOKUP(AA$83,Cuision!$G:$P,9,FALSE),VLOOKUP(AA$83,Cuision!$G:$P,10,FALSE)))</f>
        <v>-1</v>
      </c>
      <c r="AB116" s="33">
        <f>IF($A116=AB$83, 0, distance(VLOOKUP($A116,Cuision!$G:$P,9,FALSE),VLOOKUP($A116,Cuision!$G:$P,10,FALSE),VLOOKUP(AB$83,Cuision!$G:$P,9,FALSE),VLOOKUP(AB$83,Cuision!$G:$P,10,FALSE)))</f>
        <v>-1</v>
      </c>
      <c r="AC116" s="33">
        <f>IF($A116=AC$83, 0, distance(VLOOKUP($A116,Cuision!$G:$P,9,FALSE),VLOOKUP($A116,Cuision!$G:$P,10,FALSE),VLOOKUP(AC$83,Cuision!$G:$P,9,FALSE),VLOOKUP(AC$83,Cuision!$G:$P,10,FALSE)))</f>
        <v>-1</v>
      </c>
      <c r="AD116" s="33">
        <f>IF($A116=AD$83, 0, distance(VLOOKUP($A116,Cuision!$G:$P,9,FALSE),VLOOKUP($A116,Cuision!$G:$P,10,FALSE),VLOOKUP(AD$83,Cuision!$G:$P,9,FALSE),VLOOKUP(AD$83,Cuision!$G:$P,10,FALSE)))</f>
        <v>-1</v>
      </c>
      <c r="AE116" s="33">
        <f>IF($A116=AE$83, 0, distance(VLOOKUP($A116,Cuision!$G:$P,9,FALSE),VLOOKUP($A116,Cuision!$G:$P,10,FALSE),VLOOKUP(AE$83,Cuision!$G:$P,9,FALSE),VLOOKUP(AE$83,Cuision!$G:$P,10,FALSE)))</f>
        <v>-1</v>
      </c>
      <c r="AF116" s="33">
        <f>IF($A116=AF$83, 0, distance(VLOOKUP($A116,Cuision!$G:$P,9,FALSE),VLOOKUP($A116,Cuision!$G:$P,10,FALSE),VLOOKUP(AF$83,Cuision!$G:$P,9,FALSE),VLOOKUP(AF$83,Cuision!$G:$P,10,FALSE)))</f>
        <v>-1</v>
      </c>
      <c r="AG116" s="33">
        <f>IF($A116=AG$83, 0, distance(VLOOKUP($A116,Cuision!$G:$P,9,FALSE),VLOOKUP($A116,Cuision!$G:$P,10,FALSE),VLOOKUP(AG$83,Cuision!$G:$P,9,FALSE),VLOOKUP(AG$83,Cuision!$G:$P,10,FALSE)))</f>
        <v>-1</v>
      </c>
      <c r="AH116" s="33">
        <f>IF($A116=AH$83, 0, distance(VLOOKUP($A116,Cuision!$G:$P,9,FALSE),VLOOKUP($A116,Cuision!$G:$P,10,FALSE),VLOOKUP(AH$83,Cuision!$G:$P,9,FALSE),VLOOKUP(AH$83,Cuision!$G:$P,10,FALSE)))</f>
        <v>0</v>
      </c>
      <c r="AI116" s="33">
        <f>IF($A116=AI$83, 0, distance(VLOOKUP($A116,Cuision!$G:$P,9,FALSE),VLOOKUP($A116,Cuision!$G:$P,10,FALSE),VLOOKUP(AI$83,Cuision!$G:$P,9,FALSE),VLOOKUP(AI$83,Cuision!$G:$P,10,FALSE)))</f>
        <v>-1</v>
      </c>
      <c r="AJ116" s="33">
        <f>IF($A116=AJ$83, 0, distance(VLOOKUP($A116,Cuision!$G:$P,9,FALSE),VLOOKUP($A116,Cuision!$G:$P,10,FALSE),VLOOKUP(AJ$83,Cuision!$G:$P,9,FALSE),VLOOKUP(AJ$83,Cuision!$G:$P,10,FALSE)))</f>
        <v>-1</v>
      </c>
      <c r="AK116" s="33">
        <f>IF($A116=AK$83, 0, distance(VLOOKUP($A116,Cuision!$G:$P,9,FALSE),VLOOKUP($A116,Cuision!$G:$P,10,FALSE),VLOOKUP(AK$83,Cuision!$G:$P,9,FALSE),VLOOKUP(AK$83,Cuision!$G:$P,10,FALSE)))</f>
        <v>-1</v>
      </c>
      <c r="AL116" s="33">
        <f>IF($A116=AL$83, 0, distance(VLOOKUP($A116,Cuision!$G:$P,9,FALSE),VLOOKUP($A116,Cuision!$G:$P,10,FALSE),VLOOKUP(AL$83,Cuision!$G:$P,9,FALSE),VLOOKUP(AL$83,Cuision!$G:$P,10,FALSE)))</f>
        <v>-1</v>
      </c>
      <c r="AM116" s="33">
        <f>IF($A116=AM$83, 0, distance(VLOOKUP($A116,Cuision!$G:$P,9,FALSE),VLOOKUP($A116,Cuision!$G:$P,10,FALSE),VLOOKUP(AM$83,Cuision!$G:$P,9,FALSE),VLOOKUP(AM$83,Cuision!$G:$P,10,FALSE)))</f>
        <v>-1</v>
      </c>
      <c r="AN116" s="33">
        <f>IF($A116=AN$83, 0, distance(VLOOKUP($A116,Cuision!$G:$P,9,FALSE),VLOOKUP($A116,Cuision!$G:$P,10,FALSE),VLOOKUP(AN$83,Cuision!$G:$P,9,FALSE),VLOOKUP(AN$83,Cuision!$G:$P,10,FALSE)))</f>
        <v>-1</v>
      </c>
      <c r="AO116" s="33">
        <f>IF($A116=AO$83, 0, distance(VLOOKUP($A116,Cuision!$G:$P,9,FALSE),VLOOKUP($A116,Cuision!$G:$P,10,FALSE),VLOOKUP(AO$83,Cuision!$G:$P,9,FALSE),VLOOKUP(AO$83,Cuision!$G:$P,10,FALSE)))</f>
        <v>-1</v>
      </c>
      <c r="AP116" s="33">
        <f>IF($A116=AP$83, 0, distance(VLOOKUP($A116,Cuision!$G:$P,9,FALSE),VLOOKUP($A116,Cuision!$G:$P,10,FALSE),VLOOKUP(AP$83,Cuision!$G:$P,9,FALSE),VLOOKUP(AP$83,Cuision!$G:$P,10,FALSE)))</f>
        <v>-1</v>
      </c>
      <c r="AQ116" s="33">
        <f>IF($A116=AQ$83, 0, distance(VLOOKUP($A116,Cuision!$G:$P,9,FALSE),VLOOKUP($A116,Cuision!$G:$P,10,FALSE),VLOOKUP(AQ$83,Cuision!$G:$P,9,FALSE),VLOOKUP(AQ$83,Cuision!$G:$P,10,FALSE)))</f>
        <v>-1</v>
      </c>
      <c r="AR116" s="33">
        <f>IF($A116=AR$83, 0, distance(VLOOKUP($A116,Cuision!$G:$P,9,FALSE),VLOOKUP($A116,Cuision!$G:$P,10,FALSE),VLOOKUP(AR$83,Cuision!$G:$P,9,FALSE),VLOOKUP(AR$83,Cuision!$G:$P,10,FALSE)))</f>
        <v>-1</v>
      </c>
      <c r="AS116" s="33">
        <f>IF($A116=AS$83, 0, distance(VLOOKUP($A116,Cuision!$G:$P,9,FALSE),VLOOKUP($A116,Cuision!$G:$P,10,FALSE),VLOOKUP(AS$83,Cuision!$G:$P,9,FALSE),VLOOKUP(AS$83,Cuision!$G:$P,10,FALSE)))</f>
        <v>-1</v>
      </c>
      <c r="AT116" s="33">
        <f>IF($A116=AT$83, 0, distance(VLOOKUP($A116,Cuision!$G:$P,9,FALSE),VLOOKUP($A116,Cuision!$G:$P,10,FALSE),VLOOKUP(AT$83,Cuision!$G:$P,9,FALSE),VLOOKUP(AT$83,Cuision!$G:$P,10,FALSE)))</f>
        <v>-1</v>
      </c>
      <c r="AU116" s="33">
        <f>IF($A116=AU$83, 0, distance(VLOOKUP($A116,Cuision!$G:$P,9,FALSE),VLOOKUP($A116,Cuision!$G:$P,10,FALSE),VLOOKUP(AU$83,Cuision!$G:$P,9,FALSE),VLOOKUP(AU$83,Cuision!$G:$P,10,FALSE)))</f>
        <v>-1</v>
      </c>
      <c r="AV116" s="33">
        <f>IF($A116=AV$83, 0, distance(VLOOKUP($A116,Cuision!$G:$P,9,FALSE),VLOOKUP($A116,Cuision!$G:$P,10,FALSE),VLOOKUP(AV$83,Cuision!$G:$P,9,FALSE),VLOOKUP(AV$83,Cuision!$G:$P,10,FALSE)))</f>
        <v>-1</v>
      </c>
      <c r="AW116" s="33">
        <f>IF($A116=AW$83, 0, distance(VLOOKUP($A116,Cuision!$G:$P,9,FALSE),VLOOKUP($A116,Cuision!$G:$P,10,FALSE),VLOOKUP(AW$83,Cuision!$G:$P,9,FALSE),VLOOKUP(AW$83,Cuision!$G:$P,10,FALSE)))</f>
        <v>-1</v>
      </c>
      <c r="AX116" s="33">
        <f>IF($A116=AX$83, 0, distance(VLOOKUP($A116,Cuision!$G:$P,9,FALSE),VLOOKUP($A116,Cuision!$G:$P,10,FALSE),VLOOKUP(AX$83,Cuision!$G:$P,9,FALSE),VLOOKUP(AX$83,Cuision!$G:$P,10,FALSE)))</f>
        <v>-1</v>
      </c>
      <c r="AY116" s="33">
        <f>IF($A116=AY$83, 0, distance(VLOOKUP($A116,Cuision!$G:$P,9,FALSE),VLOOKUP($A116,Cuision!$G:$P,10,FALSE),VLOOKUP(AY$83,Cuision!$G:$P,9,FALSE),VLOOKUP(AY$83,Cuision!$G:$P,10,FALSE)))</f>
        <v>-1</v>
      </c>
      <c r="AZ116" s="33">
        <f>IF($A116=AZ$83, 0, distance(VLOOKUP($A116,Cuision!$G:$P,9,FALSE),VLOOKUP($A116,Cuision!$G:$P,10,FALSE),VLOOKUP(AZ$83,Cuision!$G:$P,9,FALSE),VLOOKUP(AZ$83,Cuision!$G:$P,10,FALSE)))</f>
        <v>-1</v>
      </c>
      <c r="BA116" s="33">
        <f>IF($A116=BA$83, 0, distance(VLOOKUP($A116,Cuision!$G:$P,9,FALSE),VLOOKUP($A116,Cuision!$G:$P,10,FALSE),VLOOKUP(BA$83,Cuision!$G:$P,9,FALSE),VLOOKUP(BA$83,Cuision!$G:$P,10,FALSE)))</f>
        <v>-1</v>
      </c>
      <c r="BB116" s="33">
        <f>IF($A116=BB$83, 0, distance(VLOOKUP($A116,Cuision!$G:$P,9,FALSE),VLOOKUP($A116,Cuision!$G:$P,10,FALSE),VLOOKUP(BB$83,Cuision!$G:$P,9,FALSE),VLOOKUP(BB$83,Cuision!$G:$P,10,FALSE)))</f>
        <v>-1</v>
      </c>
      <c r="BC116" s="33">
        <f>IF($A116=BC$83, 0, distance(VLOOKUP($A116,Cuision!$G:$P,9,FALSE),VLOOKUP($A116,Cuision!$G:$P,10,FALSE),VLOOKUP(BC$83,Cuision!$G:$P,9,FALSE),VLOOKUP(BC$83,Cuision!$G:$P,10,FALSE)))</f>
        <v>-1</v>
      </c>
      <c r="BD116" s="33">
        <f>IF($A116=BD$83, 0, distance(VLOOKUP($A116,Cuision!$G:$P,9,FALSE),VLOOKUP($A116,Cuision!$G:$P,10,FALSE),VLOOKUP(BD$83,Cuision!$G:$P,9,FALSE),VLOOKUP(BD$83,Cuision!$G:$P,10,FALSE)))</f>
        <v>-1</v>
      </c>
      <c r="BE116" s="33">
        <f>IF($A116=BE$83, 0, distance(VLOOKUP($A116,Cuision!$G:$P,9,FALSE),VLOOKUP($A116,Cuision!$G:$P,10,FALSE),VLOOKUP(BE$83,Cuision!$G:$P,9,FALSE),VLOOKUP(BE$83,Cuision!$G:$P,10,FALSE)))</f>
        <v>-1</v>
      </c>
      <c r="BF116" s="33">
        <f>IF($A116=BF$83, 0, distance(VLOOKUP($A116,Cuision!$G:$P,9,FALSE),VLOOKUP($A116,Cuision!$G:$P,10,FALSE),VLOOKUP(BF$83,Cuision!$G:$P,9,FALSE),VLOOKUP(BF$83,Cuision!$G:$P,10,FALSE)))</f>
        <v>-1</v>
      </c>
      <c r="BG116" s="33">
        <f>IF($A116=BG$83, 0, distance(VLOOKUP($A116,Cuision!$G:$P,9,FALSE),VLOOKUP($A116,Cuision!$G:$P,10,FALSE),VLOOKUP(BG$83,Cuision!$G:$P,9,FALSE),VLOOKUP(BG$83,Cuision!$G:$P,10,FALSE)))</f>
        <v>-1</v>
      </c>
      <c r="BH116" s="33">
        <f>IF($A116=BH$83, 0, distance(VLOOKUP($A116,Cuision!$G:$P,9,FALSE),VLOOKUP($A116,Cuision!$G:$P,10,FALSE),VLOOKUP(BH$83,Cuision!$G:$P,9,FALSE),VLOOKUP(BH$83,Cuision!$G:$P,10,FALSE)))</f>
        <v>-1</v>
      </c>
      <c r="BI116" s="33">
        <f>IF($A116=BI$83, 0, distance(VLOOKUP($A116,Cuision!$G:$P,9,FALSE),VLOOKUP($A116,Cuision!$G:$P,10,FALSE),VLOOKUP(BI$83,Cuision!$G:$P,9,FALSE),VLOOKUP(BI$83,Cuision!$G:$P,10,FALSE)))</f>
        <v>-1</v>
      </c>
      <c r="BJ116" s="33">
        <f>IF($A116=BJ$83, 0, distance(VLOOKUP($A116,Cuision!$G:$P,9,FALSE),VLOOKUP($A116,Cuision!$G:$P,10,FALSE),VLOOKUP(BJ$83,Cuision!$G:$P,9,FALSE),VLOOKUP(BJ$83,Cuision!$G:$P,10,FALSE)))</f>
        <v>-1</v>
      </c>
      <c r="BK116" s="33">
        <f>IF($A116=BK$83, 0, distance(VLOOKUP($A116,Cuision!$G:$P,9,FALSE),VLOOKUP($A116,Cuision!$G:$P,10,FALSE),VLOOKUP(BK$83,Cuision!$G:$P,9,FALSE),VLOOKUP(BK$83,Cuision!$G:$P,10,FALSE)))</f>
        <v>-1</v>
      </c>
      <c r="BL116" s="33">
        <f>IF($A116=BL$83, 0, distance(VLOOKUP($A116,Cuision!$G:$P,9,FALSE),VLOOKUP($A116,Cuision!$G:$P,10,FALSE),VLOOKUP(BL$83,Cuision!$G:$P,9,FALSE),VLOOKUP(BL$83,Cuision!$G:$P,10,FALSE)))</f>
        <v>-1</v>
      </c>
      <c r="BM116" s="33">
        <f>IF($A116=BM$83, 0, distance(VLOOKUP($A116,Cuision!$G:$P,9,FALSE),VLOOKUP($A116,Cuision!$G:$P,10,FALSE),VLOOKUP(BM$83,Cuision!$G:$P,9,FALSE),VLOOKUP(BM$83,Cuision!$G:$P,10,FALSE)))</f>
        <v>-1</v>
      </c>
      <c r="BN116" s="33">
        <f>IF($A116=BN$83, 0, distance(VLOOKUP($A116,Cuision!$G:$P,9,FALSE),VLOOKUP($A116,Cuision!$G:$P,10,FALSE),VLOOKUP(BN$83,Cuision!$G:$P,9,FALSE),VLOOKUP(BN$83,Cuision!$G:$P,10,FALSE)))</f>
        <v>-1</v>
      </c>
      <c r="BO116" s="33">
        <f>IF($A116=BO$83, 0, distance(VLOOKUP($A116,Cuision!$G:$P,9,FALSE),VLOOKUP($A116,Cuision!$G:$P,10,FALSE),VLOOKUP(BO$83,Cuision!$G:$P,9,FALSE),VLOOKUP(BO$83,Cuision!$G:$P,10,FALSE)))</f>
        <v>-1</v>
      </c>
      <c r="BP116" s="33">
        <f>IF($A116=BP$83, 0, distance(VLOOKUP($A116,Cuision!$G:$P,9,FALSE),VLOOKUP($A116,Cuision!$G:$P,10,FALSE),VLOOKUP(BP$83,Cuision!$G:$P,9,FALSE),VLOOKUP(BP$83,Cuision!$G:$P,10,FALSE)))</f>
        <v>-1</v>
      </c>
      <c r="BQ116" s="33">
        <f>IF($A116=BQ$83, 0, distance(VLOOKUP($A116,Cuision!$G:$P,9,FALSE),VLOOKUP($A116,Cuision!$G:$P,10,FALSE),VLOOKUP(BQ$83,Cuision!$G:$P,9,FALSE),VLOOKUP(BQ$83,Cuision!$G:$P,10,FALSE)))</f>
        <v>-1</v>
      </c>
      <c r="BR116" s="33">
        <f>IF($A116=BR$83, 0, distance(VLOOKUP($A116,Cuision!$G:$P,9,FALSE),VLOOKUP($A116,Cuision!$G:$P,10,FALSE),VLOOKUP(BR$83,Cuision!$G:$P,9,FALSE),VLOOKUP(BR$83,Cuision!$G:$P,10,FALSE)))</f>
        <v>-1</v>
      </c>
      <c r="BS116" s="33">
        <f>IF($A116=BS$83, 0, distance(VLOOKUP($A116,Cuision!$G:$P,9,FALSE),VLOOKUP($A116,Cuision!$G:$P,10,FALSE),VLOOKUP(BS$83,Cuision!$G:$P,9,FALSE),VLOOKUP(BS$83,Cuision!$G:$P,10,FALSE)))</f>
        <v>-1</v>
      </c>
      <c r="BT116" s="33">
        <f>IF($A116=BT$83, 0, distance(VLOOKUP($A116,Cuision!$G:$P,9,FALSE),VLOOKUP($A116,Cuision!$G:$P,10,FALSE),VLOOKUP(BT$83,Cuision!$G:$P,9,FALSE),VLOOKUP(BT$83,Cuision!$G:$P,10,FALSE)))</f>
        <v>-1</v>
      </c>
      <c r="BU116" s="33">
        <f>IF($A116=BU$83, 0, distance(VLOOKUP($A116,Cuision!$G:$P,9,FALSE),VLOOKUP($A116,Cuision!$G:$P,10,FALSE),VLOOKUP(BU$83,Cuision!$G:$P,9,FALSE),VLOOKUP(BU$83,Cuision!$G:$P,10,FALSE)))</f>
        <v>-1</v>
      </c>
      <c r="BV116" s="33">
        <f>IF($A116=BV$83, 0, distance(VLOOKUP($A116,Cuision!$G:$P,9,FALSE),VLOOKUP($A116,Cuision!$G:$P,10,FALSE),VLOOKUP(BV$83,Cuision!$G:$P,9,FALSE),VLOOKUP(BV$83,Cuision!$G:$P,10,FALSE)))</f>
        <v>-1</v>
      </c>
      <c r="BW116" s="33">
        <f>IF($A116=BW$83, 0, distance(VLOOKUP($A116,Cuision!$G:$P,9,FALSE),VLOOKUP($A116,Cuision!$G:$P,10,FALSE),VLOOKUP(BW$83,Cuision!$G:$P,9,FALSE),VLOOKUP(BW$83,Cuision!$G:$P,10,FALSE)))</f>
        <v>-1</v>
      </c>
      <c r="BX116" s="33">
        <f>IF($A116=BX$83, 0, distance(VLOOKUP($A116,Cuision!$G:$P,9,FALSE),VLOOKUP($A116,Cuision!$G:$P,10,FALSE),VLOOKUP(BX$83,Cuision!$G:$P,9,FALSE),VLOOKUP(BX$83,Cuision!$G:$P,10,FALSE)))</f>
        <v>-1</v>
      </c>
      <c r="BY116" s="33">
        <f>IF($A116=BY$83, 0, distance(VLOOKUP($A116,Cuision!$G:$P,9,FALSE),VLOOKUP($A116,Cuision!$G:$P,10,FALSE),VLOOKUP(BY$83,Cuision!$G:$P,9,FALSE),VLOOKUP(BY$83,Cuision!$G:$P,10,FALSE)))</f>
        <v>-1</v>
      </c>
      <c r="BZ116" s="33">
        <f>IF($A116=BZ$83, 0, distance(VLOOKUP($A116,Cuision!$G:$P,9,FALSE),VLOOKUP($A116,Cuision!$G:$P,10,FALSE),VLOOKUP(BZ$83,Cuision!$G:$P,9,FALSE),VLOOKUP(BZ$83,Cuision!$G:$P,10,FALSE)))</f>
        <v>-1</v>
      </c>
      <c r="CA116" s="33">
        <f>IF($A116=CA$83, 0, distance(VLOOKUP($A116,Cuision!$G:$P,9,FALSE),VLOOKUP($A116,Cuision!$G:$P,10,FALSE),VLOOKUP(CA$83,Cuision!$G:$P,9,FALSE),VLOOKUP(CA$83,Cuision!$G:$P,10,FALSE)))</f>
        <v>-1</v>
      </c>
    </row>
    <row r="117" spans="1:79" ht="14.25" x14ac:dyDescent="0.2">
      <c r="A117" s="30" t="s">
        <v>83</v>
      </c>
      <c r="B117" s="33">
        <f>IF($A117=B$83, 0, distance(VLOOKUP($A117,Cuision!$G:$P,9,FALSE),VLOOKUP($A117,Cuision!$G:$P,10,FALSE),VLOOKUP(B$83,Cuision!$G:$P,9,FALSE),VLOOKUP(B$83,Cuision!$G:$P,10,FALSE)))</f>
        <v>2518.3474567963881</v>
      </c>
      <c r="C117" s="33">
        <f>IF($A117=C$83, 0, distance(VLOOKUP($A117,Cuision!$G:$P,9,FALSE),VLOOKUP($A117,Cuision!$G:$P,10,FALSE),VLOOKUP(C$83,Cuision!$G:$P,9,FALSE),VLOOKUP(C$83,Cuision!$G:$P,10,FALSE)))</f>
        <v>3305.0344120636182</v>
      </c>
      <c r="D117" s="33">
        <f>IF($A117=D$83, 0, distance(VLOOKUP($A117,Cuision!$G:$P,9,FALSE),VLOOKUP($A117,Cuision!$G:$P,10,FALSE),VLOOKUP(D$83,Cuision!$G:$P,9,FALSE),VLOOKUP(D$83,Cuision!$G:$P,10,FALSE)))</f>
        <v>5127.9802846669618</v>
      </c>
      <c r="E117" s="33">
        <f>IF($A117=E$83, 0, distance(VLOOKUP($A117,Cuision!$G:$P,9,FALSE),VLOOKUP($A117,Cuision!$G:$P,10,FALSE),VLOOKUP(E$83,Cuision!$G:$P,9,FALSE),VLOOKUP(E$83,Cuision!$G:$P,10,FALSE)))</f>
        <v>5127.9802846669618</v>
      </c>
      <c r="F117" s="33">
        <f>IF($A117=F$83, 0, distance(VLOOKUP($A117,Cuision!$G:$P,9,FALSE),VLOOKUP($A117,Cuision!$G:$P,10,FALSE),VLOOKUP(F$83,Cuision!$G:$P,9,FALSE),VLOOKUP(F$83,Cuision!$G:$P,10,FALSE)))</f>
        <v>1234.7100129660098</v>
      </c>
      <c r="G117" s="33">
        <f>IF($A117=G$83, 0, distance(VLOOKUP($A117,Cuision!$G:$P,9,FALSE),VLOOKUP($A117,Cuision!$G:$P,10,FALSE),VLOOKUP(G$83,Cuision!$G:$P,9,FALSE),VLOOKUP(G$83,Cuision!$G:$P,10,FALSE)))</f>
        <v>7260.7913621934986</v>
      </c>
      <c r="H117" s="33">
        <f>IF($A117=H$83, 0, distance(VLOOKUP($A117,Cuision!$G:$P,9,FALSE),VLOOKUP($A117,Cuision!$G:$P,10,FALSE),VLOOKUP(H$83,Cuision!$G:$P,9,FALSE),VLOOKUP(H$83,Cuision!$G:$P,10,FALSE)))</f>
        <v>1122.6980448376191</v>
      </c>
      <c r="I117" s="33">
        <f>IF($A117=I$83, 0, distance(VLOOKUP($A117,Cuision!$G:$P,9,FALSE),VLOOKUP($A117,Cuision!$G:$P,10,FALSE),VLOOKUP(I$83,Cuision!$G:$P,9,FALSE),VLOOKUP(I$83,Cuision!$G:$P,10,FALSE)))</f>
        <v>4179.2557050913974</v>
      </c>
      <c r="J117" s="33">
        <f>IF($A117=J$83, 0, distance(VLOOKUP($A117,Cuision!$G:$P,9,FALSE),VLOOKUP($A117,Cuision!$G:$P,10,FALSE),VLOOKUP(J$83,Cuision!$G:$P,9,FALSE),VLOOKUP(J$83,Cuision!$G:$P,10,FALSE)))</f>
        <v>9447.4504239816979</v>
      </c>
      <c r="K117" s="33">
        <f>IF($A117=K$83, 0, distance(VLOOKUP($A117,Cuision!$G:$P,9,FALSE),VLOOKUP($A117,Cuision!$G:$P,10,FALSE),VLOOKUP(K$83,Cuision!$G:$P,9,FALSE),VLOOKUP(K$83,Cuision!$G:$P,10,FALSE)))</f>
        <v>797.27133986848423</v>
      </c>
      <c r="L117" s="33">
        <f>IF($A117=L$83, 0, distance(VLOOKUP($A117,Cuision!$G:$P,9,FALSE),VLOOKUP($A117,Cuision!$G:$P,10,FALSE),VLOOKUP(L$83,Cuision!$G:$P,9,FALSE),VLOOKUP(L$83,Cuision!$G:$P,10,FALSE)))</f>
        <v>3992.6838181517678</v>
      </c>
      <c r="M117" s="33">
        <f>IF($A117=M$83, 0, distance(VLOOKUP($A117,Cuision!$G:$P,9,FALSE),VLOOKUP($A117,Cuision!$G:$P,10,FALSE),VLOOKUP(M$83,Cuision!$G:$P,9,FALSE),VLOOKUP(M$83,Cuision!$G:$P,10,FALSE)))</f>
        <v>-1</v>
      </c>
      <c r="N117" s="33">
        <f>IF($A117=N$83, 0, distance(VLOOKUP($A117,Cuision!$G:$P,9,FALSE),VLOOKUP($A117,Cuision!$G:$P,10,FALSE),VLOOKUP(N$83,Cuision!$G:$P,9,FALSE),VLOOKUP(N$83,Cuision!$G:$P,10,FALSE)))</f>
        <v>1471.7769895082415</v>
      </c>
      <c r="O117" s="33">
        <f>IF($A117=O$83, 0, distance(VLOOKUP($A117,Cuision!$G:$P,9,FALSE),VLOOKUP($A117,Cuision!$G:$P,10,FALSE),VLOOKUP(O$83,Cuision!$G:$P,9,FALSE),VLOOKUP(O$83,Cuision!$G:$P,10,FALSE)))</f>
        <v>1298.1544870772743</v>
      </c>
      <c r="P117" s="33">
        <f>IF($A117=P$83, 0, distance(VLOOKUP($A117,Cuision!$G:$P,9,FALSE),VLOOKUP($A117,Cuision!$G:$P,10,FALSE),VLOOKUP(P$83,Cuision!$G:$P,9,FALSE),VLOOKUP(P$83,Cuision!$G:$P,10,FALSE)))</f>
        <v>5935.031229795346</v>
      </c>
      <c r="Q117" s="33">
        <f>IF($A117=Q$83, 0, distance(VLOOKUP($A117,Cuision!$G:$P,9,FALSE),VLOOKUP($A117,Cuision!$G:$P,10,FALSE),VLOOKUP(Q$83,Cuision!$G:$P,9,FALSE),VLOOKUP(Q$83,Cuision!$G:$P,10,FALSE)))</f>
        <v>-1</v>
      </c>
      <c r="R117" s="33">
        <f>IF($A117=R$83, 0, distance(VLOOKUP($A117,Cuision!$G:$P,9,FALSE),VLOOKUP($A117,Cuision!$G:$P,10,FALSE),VLOOKUP(R$83,Cuision!$G:$P,9,FALSE),VLOOKUP(R$83,Cuision!$G:$P,10,FALSE)))</f>
        <v>1486.0996154984921</v>
      </c>
      <c r="S117" s="33">
        <f>IF($A117=S$83, 0, distance(VLOOKUP($A117,Cuision!$G:$P,9,FALSE),VLOOKUP($A117,Cuision!$G:$P,10,FALSE),VLOOKUP(S$83,Cuision!$G:$P,9,FALSE),VLOOKUP(S$83,Cuision!$G:$P,10,FALSE)))</f>
        <v>-1</v>
      </c>
      <c r="T117" s="33">
        <f>IF($A117=T$83, 0, distance(VLOOKUP($A117,Cuision!$G:$P,9,FALSE),VLOOKUP($A117,Cuision!$G:$P,10,FALSE),VLOOKUP(T$83,Cuision!$G:$P,9,FALSE),VLOOKUP(T$83,Cuision!$G:$P,10,FALSE)))</f>
        <v>4449.150145070611</v>
      </c>
      <c r="U117" s="33">
        <f>IF($A117=U$83, 0, distance(VLOOKUP($A117,Cuision!$G:$P,9,FALSE),VLOOKUP($A117,Cuision!$G:$P,10,FALSE),VLOOKUP(U$83,Cuision!$G:$P,9,FALSE),VLOOKUP(U$83,Cuision!$G:$P,10,FALSE)))</f>
        <v>-1</v>
      </c>
      <c r="V117" s="33">
        <f>IF($A117=V$83, 0, distance(VLOOKUP($A117,Cuision!$G:$P,9,FALSE),VLOOKUP($A117,Cuision!$G:$P,10,FALSE),VLOOKUP(V$83,Cuision!$G:$P,9,FALSE),VLOOKUP(V$83,Cuision!$G:$P,10,FALSE)))</f>
        <v>5127.9802846669618</v>
      </c>
      <c r="W117" s="33">
        <f>IF($A117=W$83, 0, distance(VLOOKUP($A117,Cuision!$G:$P,9,FALSE),VLOOKUP($A117,Cuision!$G:$P,10,FALSE),VLOOKUP(W$83,Cuision!$G:$P,9,FALSE),VLOOKUP(W$83,Cuision!$G:$P,10,FALSE)))</f>
        <v>5252.7201343950119</v>
      </c>
      <c r="X117" s="33">
        <f>IF($A117=X$83, 0, distance(VLOOKUP($A117,Cuision!$G:$P,9,FALSE),VLOOKUP($A117,Cuision!$G:$P,10,FALSE),VLOOKUP(X$83,Cuision!$G:$P,9,FALSE),VLOOKUP(X$83,Cuision!$G:$P,10,FALSE)))</f>
        <v>1471.7769895082415</v>
      </c>
      <c r="Y117" s="33">
        <f>IF($A117=Y$83, 0, distance(VLOOKUP($A117,Cuision!$G:$P,9,FALSE),VLOOKUP($A117,Cuision!$G:$P,10,FALSE),VLOOKUP(Y$83,Cuision!$G:$P,9,FALSE),VLOOKUP(Y$83,Cuision!$G:$P,10,FALSE)))</f>
        <v>4732.4511398125096</v>
      </c>
      <c r="Z117" s="33">
        <f>IF($A117=Z$83, 0, distance(VLOOKUP($A117,Cuision!$G:$P,9,FALSE),VLOOKUP($A117,Cuision!$G:$P,10,FALSE),VLOOKUP(Z$83,Cuision!$G:$P,9,FALSE),VLOOKUP(Z$83,Cuision!$G:$P,10,FALSE)))</f>
        <v>-1</v>
      </c>
      <c r="AA117" s="33">
        <f>IF($A117=AA$83, 0, distance(VLOOKUP($A117,Cuision!$G:$P,9,FALSE),VLOOKUP($A117,Cuision!$G:$P,10,FALSE),VLOOKUP(AA$83,Cuision!$G:$P,9,FALSE),VLOOKUP(AA$83,Cuision!$G:$P,10,FALSE)))</f>
        <v>6056.8641432145232</v>
      </c>
      <c r="AB117" s="33">
        <f>IF($A117=AB$83, 0, distance(VLOOKUP($A117,Cuision!$G:$P,9,FALSE),VLOOKUP($A117,Cuision!$G:$P,10,FALSE),VLOOKUP(AB$83,Cuision!$G:$P,9,FALSE),VLOOKUP(AB$83,Cuision!$G:$P,10,FALSE)))</f>
        <v>954.0205553053388</v>
      </c>
      <c r="AC117" s="33">
        <f>IF($A117=AC$83, 0, distance(VLOOKUP($A117,Cuision!$G:$P,9,FALSE),VLOOKUP($A117,Cuision!$G:$P,10,FALSE),VLOOKUP(AC$83,Cuision!$G:$P,9,FALSE),VLOOKUP(AC$83,Cuision!$G:$P,10,FALSE)))</f>
        <v>2208.8004991720322</v>
      </c>
      <c r="AD117" s="33">
        <f>IF($A117=AD$83, 0, distance(VLOOKUP($A117,Cuision!$G:$P,9,FALSE),VLOOKUP($A117,Cuision!$G:$P,10,FALSE),VLOOKUP(AD$83,Cuision!$G:$P,9,FALSE),VLOOKUP(AD$83,Cuision!$G:$P,10,FALSE)))</f>
        <v>5985.492291386483</v>
      </c>
      <c r="AE117" s="33">
        <f>IF($A117=AE$83, 0, distance(VLOOKUP($A117,Cuision!$G:$P,9,FALSE),VLOOKUP($A117,Cuision!$G:$P,10,FALSE),VLOOKUP(AE$83,Cuision!$G:$P,9,FALSE),VLOOKUP(AE$83,Cuision!$G:$P,10,FALSE)))</f>
        <v>1746.8452065776528</v>
      </c>
      <c r="AF117" s="33">
        <f>IF($A117=AF$83, 0, distance(VLOOKUP($A117,Cuision!$G:$P,9,FALSE),VLOOKUP($A117,Cuision!$G:$P,10,FALSE),VLOOKUP(AF$83,Cuision!$G:$P,9,FALSE),VLOOKUP(AF$83,Cuision!$G:$P,10,FALSE)))</f>
        <v>1301.98987669645</v>
      </c>
      <c r="AG117" s="33">
        <f>IF($A117=AG$83, 0, distance(VLOOKUP($A117,Cuision!$G:$P,9,FALSE),VLOOKUP($A117,Cuision!$G:$P,10,FALSE),VLOOKUP(AG$83,Cuision!$G:$P,9,FALSE),VLOOKUP(AG$83,Cuision!$G:$P,10,FALSE)))</f>
        <v>1120.1821914283989</v>
      </c>
      <c r="AH117" s="33">
        <f>IF($A117=AH$83, 0, distance(VLOOKUP($A117,Cuision!$G:$P,9,FALSE),VLOOKUP($A117,Cuision!$G:$P,10,FALSE),VLOOKUP(AH$83,Cuision!$G:$P,9,FALSE),VLOOKUP(AH$83,Cuision!$G:$P,10,FALSE)))</f>
        <v>-1</v>
      </c>
      <c r="AI117" s="33">
        <f>IF($A117=AI$83, 0, distance(VLOOKUP($A117,Cuision!$G:$P,9,FALSE),VLOOKUP($A117,Cuision!$G:$P,10,FALSE),VLOOKUP(AI$83,Cuision!$G:$P,9,FALSE),VLOOKUP(AI$83,Cuision!$G:$P,10,FALSE)))</f>
        <v>0</v>
      </c>
      <c r="AJ117" s="33">
        <f>IF($A117=AJ$83, 0, distance(VLOOKUP($A117,Cuision!$G:$P,9,FALSE),VLOOKUP($A117,Cuision!$G:$P,10,FALSE),VLOOKUP(AJ$83,Cuision!$G:$P,9,FALSE),VLOOKUP(AJ$83,Cuision!$G:$P,10,FALSE)))</f>
        <v>1234.7100129660098</v>
      </c>
      <c r="AK117" s="33">
        <f>IF($A117=AK$83, 0, distance(VLOOKUP($A117,Cuision!$G:$P,9,FALSE),VLOOKUP($A117,Cuision!$G:$P,10,FALSE),VLOOKUP(AK$83,Cuision!$G:$P,9,FALSE),VLOOKUP(AK$83,Cuision!$G:$P,10,FALSE)))</f>
        <v>8437.2377470086994</v>
      </c>
      <c r="AL117" s="33">
        <f>IF($A117=AL$83, 0, distance(VLOOKUP($A117,Cuision!$G:$P,9,FALSE),VLOOKUP($A117,Cuision!$G:$P,10,FALSE),VLOOKUP(AL$83,Cuision!$G:$P,9,FALSE),VLOOKUP(AL$83,Cuision!$G:$P,10,FALSE)))</f>
        <v>3580.9650646203809</v>
      </c>
      <c r="AM117" s="33">
        <f>IF($A117=AM$83, 0, distance(VLOOKUP($A117,Cuision!$G:$P,9,FALSE),VLOOKUP($A117,Cuision!$G:$P,10,FALSE),VLOOKUP(AM$83,Cuision!$G:$P,9,FALSE),VLOOKUP(AM$83,Cuision!$G:$P,10,FALSE)))</f>
        <v>-1</v>
      </c>
      <c r="AN117" s="33">
        <f>IF($A117=AN$83, 0, distance(VLOOKUP($A117,Cuision!$G:$P,9,FALSE),VLOOKUP($A117,Cuision!$G:$P,10,FALSE),VLOOKUP(AN$83,Cuision!$G:$P,9,FALSE),VLOOKUP(AN$83,Cuision!$G:$P,10,FALSE)))</f>
        <v>698.95258807520588</v>
      </c>
      <c r="AO117" s="33">
        <f>IF($A117=AO$83, 0, distance(VLOOKUP($A117,Cuision!$G:$P,9,FALSE),VLOOKUP($A117,Cuision!$G:$P,10,FALSE),VLOOKUP(AO$83,Cuision!$G:$P,9,FALSE),VLOOKUP(AO$83,Cuision!$G:$P,10,FALSE)))</f>
        <v>1471.7769895082415</v>
      </c>
      <c r="AP117" s="33">
        <f>IF($A117=AP$83, 0, distance(VLOOKUP($A117,Cuision!$G:$P,9,FALSE),VLOOKUP($A117,Cuision!$G:$P,10,FALSE),VLOOKUP(AP$83,Cuision!$G:$P,9,FALSE),VLOOKUP(AP$83,Cuision!$G:$P,10,FALSE)))</f>
        <v>3112.7413256494351</v>
      </c>
      <c r="AQ117" s="33">
        <f>IF($A117=AQ$83, 0, distance(VLOOKUP($A117,Cuision!$G:$P,9,FALSE),VLOOKUP($A117,Cuision!$G:$P,10,FALSE),VLOOKUP(AQ$83,Cuision!$G:$P,9,FALSE),VLOOKUP(AQ$83,Cuision!$G:$P,10,FALSE)))</f>
        <v>6110.5569663078604</v>
      </c>
      <c r="AR117" s="33">
        <f>IF($A117=AR$83, 0, distance(VLOOKUP($A117,Cuision!$G:$P,9,FALSE),VLOOKUP($A117,Cuision!$G:$P,10,FALSE),VLOOKUP(AR$83,Cuision!$G:$P,9,FALSE),VLOOKUP(AR$83,Cuision!$G:$P,10,FALSE)))</f>
        <v>1486.0996154984921</v>
      </c>
      <c r="AS117" s="33">
        <f>IF($A117=AS$83, 0, distance(VLOOKUP($A117,Cuision!$G:$P,9,FALSE),VLOOKUP($A117,Cuision!$G:$P,10,FALSE),VLOOKUP(AS$83,Cuision!$G:$P,9,FALSE),VLOOKUP(AS$83,Cuision!$G:$P,10,FALSE)))</f>
        <v>653.18143675522992</v>
      </c>
      <c r="AT117" s="33">
        <f>IF($A117=AT$83, 0, distance(VLOOKUP($A117,Cuision!$G:$P,9,FALSE),VLOOKUP($A117,Cuision!$G:$P,10,FALSE),VLOOKUP(AT$83,Cuision!$G:$P,9,FALSE),VLOOKUP(AT$83,Cuision!$G:$P,10,FALSE)))</f>
        <v>5906.3232678784998</v>
      </c>
      <c r="AU117" s="33">
        <f>IF($A117=AU$83, 0, distance(VLOOKUP($A117,Cuision!$G:$P,9,FALSE),VLOOKUP($A117,Cuision!$G:$P,10,FALSE),VLOOKUP(AU$83,Cuision!$G:$P,9,FALSE),VLOOKUP(AU$83,Cuision!$G:$P,10,FALSE)))</f>
        <v>5291.5956296915056</v>
      </c>
      <c r="AV117" s="33">
        <f>IF($A117=AV$83, 0, distance(VLOOKUP($A117,Cuision!$G:$P,9,FALSE),VLOOKUP($A117,Cuision!$G:$P,10,FALSE),VLOOKUP(AV$83,Cuision!$G:$P,9,FALSE),VLOOKUP(AV$83,Cuision!$G:$P,10,FALSE)))</f>
        <v>484.99793678304911</v>
      </c>
      <c r="AW117" s="33">
        <f>IF($A117=AW$83, 0, distance(VLOOKUP($A117,Cuision!$G:$P,9,FALSE),VLOOKUP($A117,Cuision!$G:$P,10,FALSE),VLOOKUP(AW$83,Cuision!$G:$P,9,FALSE),VLOOKUP(AW$83,Cuision!$G:$P,10,FALSE)))</f>
        <v>4868.0881472604515</v>
      </c>
      <c r="AX117" s="33">
        <f>IF($A117=AX$83, 0, distance(VLOOKUP($A117,Cuision!$G:$P,9,FALSE),VLOOKUP($A117,Cuision!$G:$P,10,FALSE),VLOOKUP(AX$83,Cuision!$G:$P,9,FALSE),VLOOKUP(AX$83,Cuision!$G:$P,10,FALSE)))</f>
        <v>6138.1719113876106</v>
      </c>
      <c r="AY117" s="33">
        <f>IF($A117=AY$83, 0, distance(VLOOKUP($A117,Cuision!$G:$P,9,FALSE),VLOOKUP($A117,Cuision!$G:$P,10,FALSE),VLOOKUP(AY$83,Cuision!$G:$P,9,FALSE),VLOOKUP(AY$83,Cuision!$G:$P,10,FALSE)))</f>
        <v>-1</v>
      </c>
      <c r="AZ117" s="33">
        <f>IF($A117=AZ$83, 0, distance(VLOOKUP($A117,Cuision!$G:$P,9,FALSE),VLOOKUP($A117,Cuision!$G:$P,10,FALSE),VLOOKUP(AZ$83,Cuision!$G:$P,9,FALSE),VLOOKUP(AZ$83,Cuision!$G:$P,10,FALSE)))</f>
        <v>5430.1131607261732</v>
      </c>
      <c r="BA117" s="33">
        <f>IF($A117=BA$83, 0, distance(VLOOKUP($A117,Cuision!$G:$P,9,FALSE),VLOOKUP($A117,Cuision!$G:$P,10,FALSE),VLOOKUP(BA$83,Cuision!$G:$P,9,FALSE),VLOOKUP(BA$83,Cuision!$G:$P,10,FALSE)))</f>
        <v>394.69137708246035</v>
      </c>
      <c r="BB117" s="33">
        <f>IF($A117=BB$83, 0, distance(VLOOKUP($A117,Cuision!$G:$P,9,FALSE),VLOOKUP($A117,Cuision!$G:$P,10,FALSE),VLOOKUP(BB$83,Cuision!$G:$P,9,FALSE),VLOOKUP(BB$83,Cuision!$G:$P,10,FALSE)))</f>
        <v>7009.1472876402258</v>
      </c>
      <c r="BC117" s="33">
        <f>IF($A117=BC$83, 0, distance(VLOOKUP($A117,Cuision!$G:$P,9,FALSE),VLOOKUP($A117,Cuision!$G:$P,10,FALSE),VLOOKUP(BC$83,Cuision!$G:$P,9,FALSE),VLOOKUP(BC$83,Cuision!$G:$P,10,FALSE)))</f>
        <v>1234.7100129660098</v>
      </c>
      <c r="BD117" s="33">
        <f>IF($A117=BD$83, 0, distance(VLOOKUP($A117,Cuision!$G:$P,9,FALSE),VLOOKUP($A117,Cuision!$G:$P,10,FALSE),VLOOKUP(BD$83,Cuision!$G:$P,9,FALSE),VLOOKUP(BD$83,Cuision!$G:$P,10,FALSE)))</f>
        <v>4055.2163534555484</v>
      </c>
      <c r="BE117" s="33">
        <f>IF($A117=BE$83, 0, distance(VLOOKUP($A117,Cuision!$G:$P,9,FALSE),VLOOKUP($A117,Cuision!$G:$P,10,FALSE),VLOOKUP(BE$83,Cuision!$G:$P,9,FALSE),VLOOKUP(BE$83,Cuision!$G:$P,10,FALSE)))</f>
        <v>1721.690103600368</v>
      </c>
      <c r="BF117" s="33">
        <f>IF($A117=BF$83, 0, distance(VLOOKUP($A117,Cuision!$G:$P,9,FALSE),VLOOKUP($A117,Cuision!$G:$P,10,FALSE),VLOOKUP(BF$83,Cuision!$G:$P,9,FALSE),VLOOKUP(BF$83,Cuision!$G:$P,10,FALSE)))</f>
        <v>2745.5075965568417</v>
      </c>
      <c r="BG117" s="33">
        <f>IF($A117=BG$83, 0, distance(VLOOKUP($A117,Cuision!$G:$P,9,FALSE),VLOOKUP($A117,Cuision!$G:$P,10,FALSE),VLOOKUP(BG$83,Cuision!$G:$P,9,FALSE),VLOOKUP(BG$83,Cuision!$G:$P,10,FALSE)))</f>
        <v>1534.2014859186772</v>
      </c>
      <c r="BH117" s="33">
        <f>IF($A117=BH$83, 0, distance(VLOOKUP($A117,Cuision!$G:$P,9,FALSE),VLOOKUP($A117,Cuision!$G:$P,10,FALSE),VLOOKUP(BH$83,Cuision!$G:$P,9,FALSE),VLOOKUP(BH$83,Cuision!$G:$P,10,FALSE)))</f>
        <v>7309.2070033061364</v>
      </c>
      <c r="BI117" s="33">
        <f>IF($A117=BI$83, 0, distance(VLOOKUP($A117,Cuision!$G:$P,9,FALSE),VLOOKUP($A117,Cuision!$G:$P,10,FALSE),VLOOKUP(BI$83,Cuision!$G:$P,9,FALSE),VLOOKUP(BI$83,Cuision!$G:$P,10,FALSE)))</f>
        <v>993.17826260410095</v>
      </c>
      <c r="BJ117" s="33">
        <f>IF($A117=BJ$83, 0, distance(VLOOKUP($A117,Cuision!$G:$P,9,FALSE),VLOOKUP($A117,Cuision!$G:$P,10,FALSE),VLOOKUP(BJ$83,Cuision!$G:$P,9,FALSE),VLOOKUP(BJ$83,Cuision!$G:$P,10,FALSE)))</f>
        <v>1771.0451774153153</v>
      </c>
      <c r="BK117" s="33">
        <f>IF($A117=BK$83, 0, distance(VLOOKUP($A117,Cuision!$G:$P,9,FALSE),VLOOKUP($A117,Cuision!$G:$P,10,FALSE),VLOOKUP(BK$83,Cuision!$G:$P,9,FALSE),VLOOKUP(BK$83,Cuision!$G:$P,10,FALSE)))</f>
        <v>1386.3526570388308</v>
      </c>
      <c r="BL117" s="33">
        <f>IF($A117=BL$83, 0, distance(VLOOKUP($A117,Cuision!$G:$P,9,FALSE),VLOOKUP($A117,Cuision!$G:$P,10,FALSE),VLOOKUP(BL$83,Cuision!$G:$P,9,FALSE),VLOOKUP(BL$83,Cuision!$G:$P,10,FALSE)))</f>
        <v>-1</v>
      </c>
      <c r="BM117" s="33">
        <f>IF($A117=BM$83, 0, distance(VLOOKUP($A117,Cuision!$G:$P,9,FALSE),VLOOKUP($A117,Cuision!$G:$P,10,FALSE),VLOOKUP(BM$83,Cuision!$G:$P,9,FALSE),VLOOKUP(BM$83,Cuision!$G:$P,10,FALSE)))</f>
        <v>-1</v>
      </c>
      <c r="BN117" s="33">
        <f>IF($A117=BN$83, 0, distance(VLOOKUP($A117,Cuision!$G:$P,9,FALSE),VLOOKUP($A117,Cuision!$G:$P,10,FALSE),VLOOKUP(BN$83,Cuision!$G:$P,9,FALSE),VLOOKUP(BN$83,Cuision!$G:$P,10,FALSE)))</f>
        <v>1486.0996154984921</v>
      </c>
      <c r="BO117" s="33">
        <f>IF($A117=BO$83, 0, distance(VLOOKUP($A117,Cuision!$G:$P,9,FALSE),VLOOKUP($A117,Cuision!$G:$P,10,FALSE),VLOOKUP(BO$83,Cuision!$G:$P,9,FALSE),VLOOKUP(BO$83,Cuision!$G:$P,10,FALSE)))</f>
        <v>5626.340670930831</v>
      </c>
      <c r="BP117" s="33">
        <f>IF($A117=BP$83, 0, distance(VLOOKUP($A117,Cuision!$G:$P,9,FALSE),VLOOKUP($A117,Cuision!$G:$P,10,FALSE),VLOOKUP(BP$83,Cuision!$G:$P,9,FALSE),VLOOKUP(BP$83,Cuision!$G:$P,10,FALSE)))</f>
        <v>777.11727234137845</v>
      </c>
      <c r="BQ117" s="33">
        <f>IF($A117=BQ$83, 0, distance(VLOOKUP($A117,Cuision!$G:$P,9,FALSE),VLOOKUP($A117,Cuision!$G:$P,10,FALSE),VLOOKUP(BQ$83,Cuision!$G:$P,9,FALSE),VLOOKUP(BQ$83,Cuision!$G:$P,10,FALSE)))</f>
        <v>-1</v>
      </c>
      <c r="BR117" s="33">
        <f>IF($A117=BR$83, 0, distance(VLOOKUP($A117,Cuision!$G:$P,9,FALSE),VLOOKUP($A117,Cuision!$G:$P,10,FALSE),VLOOKUP(BR$83,Cuision!$G:$P,9,FALSE),VLOOKUP(BR$83,Cuision!$G:$P,10,FALSE)))</f>
        <v>5127.9802846669618</v>
      </c>
      <c r="BS117" s="33">
        <f>IF($A117=BS$83, 0, distance(VLOOKUP($A117,Cuision!$G:$P,9,FALSE),VLOOKUP($A117,Cuision!$G:$P,10,FALSE),VLOOKUP(BS$83,Cuision!$G:$P,9,FALSE),VLOOKUP(BS$83,Cuision!$G:$P,10,FALSE)))</f>
        <v>4732.4511398125096</v>
      </c>
      <c r="BT117" s="33">
        <f>IF($A117=BT$83, 0, distance(VLOOKUP($A117,Cuision!$G:$P,9,FALSE),VLOOKUP($A117,Cuision!$G:$P,10,FALSE),VLOOKUP(BT$83,Cuision!$G:$P,9,FALSE),VLOOKUP(BT$83,Cuision!$G:$P,10,FALSE)))</f>
        <v>1471.7769895082415</v>
      </c>
      <c r="BU117" s="33">
        <f>IF($A117=BU$83, 0, distance(VLOOKUP($A117,Cuision!$G:$P,9,FALSE),VLOOKUP($A117,Cuision!$G:$P,10,FALSE),VLOOKUP(BU$83,Cuision!$G:$P,9,FALSE),VLOOKUP(BU$83,Cuision!$G:$P,10,FALSE)))</f>
        <v>4922.9836145482805</v>
      </c>
      <c r="BV117" s="33">
        <f>IF($A117=BV$83, 0, distance(VLOOKUP($A117,Cuision!$G:$P,9,FALSE),VLOOKUP($A117,Cuision!$G:$P,10,FALSE),VLOOKUP(BV$83,Cuision!$G:$P,9,FALSE),VLOOKUP(BV$83,Cuision!$G:$P,10,FALSE)))</f>
        <v>508.27967395574467</v>
      </c>
      <c r="BW117" s="33">
        <f>IF($A117=BW$83, 0, distance(VLOOKUP($A117,Cuision!$G:$P,9,FALSE),VLOOKUP($A117,Cuision!$G:$P,10,FALSE),VLOOKUP(BW$83,Cuision!$G:$P,9,FALSE),VLOOKUP(BW$83,Cuision!$G:$P,10,FALSE)))</f>
        <v>924.0503691043707</v>
      </c>
      <c r="BX117" s="33">
        <f>IF($A117=BX$83, 0, distance(VLOOKUP($A117,Cuision!$G:$P,9,FALSE),VLOOKUP($A117,Cuision!$G:$P,10,FALSE),VLOOKUP(BX$83,Cuision!$G:$P,9,FALSE),VLOOKUP(BX$83,Cuision!$G:$P,10,FALSE)))</f>
        <v>2404.3819220290538</v>
      </c>
      <c r="BY117" s="33">
        <f>IF($A117=BY$83, 0, distance(VLOOKUP($A117,Cuision!$G:$P,9,FALSE),VLOOKUP($A117,Cuision!$G:$P,10,FALSE),VLOOKUP(BY$83,Cuision!$G:$P,9,FALSE),VLOOKUP(BY$83,Cuision!$G:$P,10,FALSE)))</f>
        <v>-1</v>
      </c>
      <c r="BZ117" s="33">
        <f>IF($A117=BZ$83, 0, distance(VLOOKUP($A117,Cuision!$G:$P,9,FALSE),VLOOKUP($A117,Cuision!$G:$P,10,FALSE),VLOOKUP(BZ$83,Cuision!$G:$P,9,FALSE),VLOOKUP(BZ$83,Cuision!$G:$P,10,FALSE)))</f>
        <v>-1</v>
      </c>
      <c r="CA117" s="33">
        <f>IF($A117=CA$83, 0, distance(VLOOKUP($A117,Cuision!$G:$P,9,FALSE),VLOOKUP($A117,Cuision!$G:$P,10,FALSE),VLOOKUP(CA$83,Cuision!$G:$P,9,FALSE),VLOOKUP(CA$83,Cuision!$G:$P,10,FALSE)))</f>
        <v>4921.954112484641</v>
      </c>
    </row>
    <row r="118" spans="1:79" ht="14.25" x14ac:dyDescent="0.2">
      <c r="A118" s="30" t="s">
        <v>84</v>
      </c>
      <c r="B118" s="33">
        <f>IF($A118=B$83, 0, distance(VLOOKUP($A118,Cuision!$G:$P,9,FALSE),VLOOKUP($A118,Cuision!$G:$P,10,FALSE),VLOOKUP(B$83,Cuision!$G:$P,9,FALSE),VLOOKUP(B$83,Cuision!$G:$P,10,FALSE)))</f>
        <v>1597.3737268087282</v>
      </c>
      <c r="C118" s="33">
        <f>IF($A118=C$83, 0, distance(VLOOKUP($A118,Cuision!$G:$P,9,FALSE),VLOOKUP($A118,Cuision!$G:$P,10,FALSE),VLOOKUP(C$83,Cuision!$G:$P,9,FALSE),VLOOKUP(C$83,Cuision!$G:$P,10,FALSE)))</f>
        <v>2685.0028308407723</v>
      </c>
      <c r="D118" s="33">
        <f>IF($A118=D$83, 0, distance(VLOOKUP($A118,Cuision!$G:$P,9,FALSE),VLOOKUP($A118,Cuision!$G:$P,10,FALSE),VLOOKUP(D$83,Cuision!$G:$P,9,FALSE),VLOOKUP(D$83,Cuision!$G:$P,10,FALSE)))</f>
        <v>6328.3267379660138</v>
      </c>
      <c r="E118" s="33">
        <f>IF($A118=E$83, 0, distance(VLOOKUP($A118,Cuision!$G:$P,9,FALSE),VLOOKUP($A118,Cuision!$G:$P,10,FALSE),VLOOKUP(E$83,Cuision!$G:$P,9,FALSE),VLOOKUP(E$83,Cuision!$G:$P,10,FALSE)))</f>
        <v>6328.3267379660138</v>
      </c>
      <c r="F118" s="33">
        <f>IF($A118=F$83, 0, distance(VLOOKUP($A118,Cuision!$G:$P,9,FALSE),VLOOKUP($A118,Cuision!$G:$P,10,FALSE),VLOOKUP(F$83,Cuision!$G:$P,9,FALSE),VLOOKUP(F$83,Cuision!$G:$P,10,FALSE)))</f>
        <v>0</v>
      </c>
      <c r="G118" s="33">
        <f>IF($A118=G$83, 0, distance(VLOOKUP($A118,Cuision!$G:$P,9,FALSE),VLOOKUP($A118,Cuision!$G:$P,10,FALSE),VLOOKUP(G$83,Cuision!$G:$P,9,FALSE),VLOOKUP(G$83,Cuision!$G:$P,10,FALSE)))</f>
        <v>7908.0333479105602</v>
      </c>
      <c r="H118" s="33">
        <f>IF($A118=H$83, 0, distance(VLOOKUP($A118,Cuision!$G:$P,9,FALSE),VLOOKUP($A118,Cuision!$G:$P,10,FALSE),VLOOKUP(H$83,Cuision!$G:$P,9,FALSE),VLOOKUP(H$83,Cuision!$G:$P,10,FALSE)))</f>
        <v>759.92339397339265</v>
      </c>
      <c r="I118" s="33">
        <f>IF($A118=I$83, 0, distance(VLOOKUP($A118,Cuision!$G:$P,9,FALSE),VLOOKUP($A118,Cuision!$G:$P,10,FALSE),VLOOKUP(I$83,Cuision!$G:$P,9,FALSE),VLOOKUP(I$83,Cuision!$G:$P,10,FALSE)))</f>
        <v>3384.8801832287927</v>
      </c>
      <c r="J118" s="33">
        <f>IF($A118=J$83, 0, distance(VLOOKUP($A118,Cuision!$G:$P,9,FALSE),VLOOKUP($A118,Cuision!$G:$P,10,FALSE),VLOOKUP(J$83,Cuision!$G:$P,9,FALSE),VLOOKUP(J$83,Cuision!$G:$P,10,FALSE)))</f>
        <v>8226.0882390100815</v>
      </c>
      <c r="K118" s="33">
        <f>IF($A118=K$83, 0, distance(VLOOKUP($A118,Cuision!$G:$P,9,FALSE),VLOOKUP($A118,Cuision!$G:$P,10,FALSE),VLOOKUP(K$83,Cuision!$G:$P,9,FALSE),VLOOKUP(K$83,Cuision!$G:$P,10,FALSE)))</f>
        <v>1905.2350973761031</v>
      </c>
      <c r="L118" s="33">
        <f>IF($A118=L$83, 0, distance(VLOOKUP($A118,Cuision!$G:$P,9,FALSE),VLOOKUP($A118,Cuision!$G:$P,10,FALSE),VLOOKUP(L$83,Cuision!$G:$P,9,FALSE),VLOOKUP(L$83,Cuision!$G:$P,10,FALSE)))</f>
        <v>2964.1187882805129</v>
      </c>
      <c r="M118" s="33">
        <f>IF($A118=M$83, 0, distance(VLOOKUP($A118,Cuision!$G:$P,9,FALSE),VLOOKUP($A118,Cuision!$G:$P,10,FALSE),VLOOKUP(M$83,Cuision!$G:$P,9,FALSE),VLOOKUP(M$83,Cuision!$G:$P,10,FALSE)))</f>
        <v>-1</v>
      </c>
      <c r="N118" s="33">
        <f>IF($A118=N$83, 0, distance(VLOOKUP($A118,Cuision!$G:$P,9,FALSE),VLOOKUP($A118,Cuision!$G:$P,10,FALSE),VLOOKUP(N$83,Cuision!$G:$P,9,FALSE),VLOOKUP(N$83,Cuision!$G:$P,10,FALSE)))</f>
        <v>2699.2022856792228</v>
      </c>
      <c r="O118" s="33">
        <f>IF($A118=O$83, 0, distance(VLOOKUP($A118,Cuision!$G:$P,9,FALSE),VLOOKUP($A118,Cuision!$G:$P,10,FALSE),VLOOKUP(O$83,Cuision!$G:$P,9,FALSE),VLOOKUP(O$83,Cuision!$G:$P,10,FALSE)))</f>
        <v>2465.8810927133145</v>
      </c>
      <c r="P118" s="33">
        <f>IF($A118=P$83, 0, distance(VLOOKUP($A118,Cuision!$G:$P,9,FALSE),VLOOKUP($A118,Cuision!$G:$P,10,FALSE),VLOOKUP(P$83,Cuision!$G:$P,9,FALSE),VLOOKUP(P$83,Cuision!$G:$P,10,FALSE)))</f>
        <v>6774.6208964587368</v>
      </c>
      <c r="Q118" s="33">
        <f>IF($A118=Q$83, 0, distance(VLOOKUP($A118,Cuision!$G:$P,9,FALSE),VLOOKUP($A118,Cuision!$G:$P,10,FALSE),VLOOKUP(Q$83,Cuision!$G:$P,9,FALSE),VLOOKUP(Q$83,Cuision!$G:$P,10,FALSE)))</f>
        <v>-1</v>
      </c>
      <c r="R118" s="33">
        <f>IF($A118=R$83, 0, distance(VLOOKUP($A118,Cuision!$G:$P,9,FALSE),VLOOKUP($A118,Cuision!$G:$P,10,FALSE),VLOOKUP(R$83,Cuision!$G:$P,9,FALSE),VLOOKUP(R$83,Cuision!$G:$P,10,FALSE)))</f>
        <v>2663.5886544931418</v>
      </c>
      <c r="S118" s="33">
        <f>IF($A118=S$83, 0, distance(VLOOKUP($A118,Cuision!$G:$P,9,FALSE),VLOOKUP($A118,Cuision!$G:$P,10,FALSE),VLOOKUP(S$83,Cuision!$G:$P,9,FALSE),VLOOKUP(S$83,Cuision!$G:$P,10,FALSE)))</f>
        <v>-1</v>
      </c>
      <c r="T118" s="33">
        <f>IF($A118=T$83, 0, distance(VLOOKUP($A118,Cuision!$G:$P,9,FALSE),VLOOKUP($A118,Cuision!$G:$P,10,FALSE),VLOOKUP(T$83,Cuision!$G:$P,9,FALSE),VLOOKUP(T$83,Cuision!$G:$P,10,FALSE)))</f>
        <v>3403.1363502407648</v>
      </c>
      <c r="U118" s="33">
        <f>IF($A118=U$83, 0, distance(VLOOKUP($A118,Cuision!$G:$P,9,FALSE),VLOOKUP($A118,Cuision!$G:$P,10,FALSE),VLOOKUP(U$83,Cuision!$G:$P,9,FALSE),VLOOKUP(U$83,Cuision!$G:$P,10,FALSE)))</f>
        <v>-1</v>
      </c>
      <c r="V118" s="33">
        <f>IF($A118=V$83, 0, distance(VLOOKUP($A118,Cuision!$G:$P,9,FALSE),VLOOKUP($A118,Cuision!$G:$P,10,FALSE),VLOOKUP(V$83,Cuision!$G:$P,9,FALSE),VLOOKUP(V$83,Cuision!$G:$P,10,FALSE)))</f>
        <v>6328.3267379660138</v>
      </c>
      <c r="W118" s="33">
        <f>IF($A118=W$83, 0, distance(VLOOKUP($A118,Cuision!$G:$P,9,FALSE),VLOOKUP($A118,Cuision!$G:$P,10,FALSE),VLOOKUP(W$83,Cuision!$G:$P,9,FALSE),VLOOKUP(W$83,Cuision!$G:$P,10,FALSE)))</f>
        <v>4171.3559054885782</v>
      </c>
      <c r="X118" s="33">
        <f>IF($A118=X$83, 0, distance(VLOOKUP($A118,Cuision!$G:$P,9,FALSE),VLOOKUP($A118,Cuision!$G:$P,10,FALSE),VLOOKUP(X$83,Cuision!$G:$P,9,FALSE),VLOOKUP(X$83,Cuision!$G:$P,10,FALSE)))</f>
        <v>2699.2022856792228</v>
      </c>
      <c r="Y118" s="33">
        <f>IF($A118=Y$83, 0, distance(VLOOKUP($A118,Cuision!$G:$P,9,FALSE),VLOOKUP($A118,Cuision!$G:$P,10,FALSE),VLOOKUP(Y$83,Cuision!$G:$P,9,FALSE),VLOOKUP(Y$83,Cuision!$G:$P,10,FALSE)))</f>
        <v>4145.2066021845849</v>
      </c>
      <c r="Z118" s="33">
        <f>IF($A118=Z$83, 0, distance(VLOOKUP($A118,Cuision!$G:$P,9,FALSE),VLOOKUP($A118,Cuision!$G:$P,10,FALSE),VLOOKUP(Z$83,Cuision!$G:$P,9,FALSE),VLOOKUP(Z$83,Cuision!$G:$P,10,FALSE)))</f>
        <v>-1</v>
      </c>
      <c r="AA118" s="33">
        <f>IF($A118=AA$83, 0, distance(VLOOKUP($A118,Cuision!$G:$P,9,FALSE),VLOOKUP($A118,Cuision!$G:$P,10,FALSE),VLOOKUP(AA$83,Cuision!$G:$P,9,FALSE),VLOOKUP(AA$83,Cuision!$G:$P,10,FALSE)))</f>
        <v>7287.916379619799</v>
      </c>
      <c r="AB118" s="33">
        <f>IF($A118=AB$83, 0, distance(VLOOKUP($A118,Cuision!$G:$P,9,FALSE),VLOOKUP($A118,Cuision!$G:$P,10,FALSE),VLOOKUP(AB$83,Cuision!$G:$P,9,FALSE),VLOOKUP(AB$83,Cuision!$G:$P,10,FALSE)))</f>
        <v>2050.7521954723848</v>
      </c>
      <c r="AC118" s="33">
        <f>IF($A118=AC$83, 0, distance(VLOOKUP($A118,Cuision!$G:$P,9,FALSE),VLOOKUP($A118,Cuision!$G:$P,10,FALSE),VLOOKUP(AC$83,Cuision!$G:$P,9,FALSE),VLOOKUP(AC$83,Cuision!$G:$P,10,FALSE)))</f>
        <v>1422.5251673874473</v>
      </c>
      <c r="AD118" s="33">
        <f>IF($A118=AD$83, 0, distance(VLOOKUP($A118,Cuision!$G:$P,9,FALSE),VLOOKUP($A118,Cuision!$G:$P,10,FALSE),VLOOKUP(AD$83,Cuision!$G:$P,9,FALSE),VLOOKUP(AD$83,Cuision!$G:$P,10,FALSE)))</f>
        <v>5042.5080887338581</v>
      </c>
      <c r="AE118" s="33">
        <f>IF($A118=AE$83, 0, distance(VLOOKUP($A118,Cuision!$G:$P,9,FALSE),VLOOKUP($A118,Cuision!$G:$P,10,FALSE),VLOOKUP(AE$83,Cuision!$G:$P,9,FALSE),VLOOKUP(AE$83,Cuision!$G:$P,10,FALSE)))</f>
        <v>2652.6220509166424</v>
      </c>
      <c r="AF118" s="33">
        <f>IF($A118=AF$83, 0, distance(VLOOKUP($A118,Cuision!$G:$P,9,FALSE),VLOOKUP($A118,Cuision!$G:$P,10,FALSE),VLOOKUP(AF$83,Cuision!$G:$P,9,FALSE),VLOOKUP(AF$83,Cuision!$G:$P,10,FALSE)))</f>
        <v>2502.2183139621284</v>
      </c>
      <c r="AG118" s="33">
        <f>IF($A118=AG$83, 0, distance(VLOOKUP($A118,Cuision!$G:$P,9,FALSE),VLOOKUP($A118,Cuision!$G:$P,10,FALSE),VLOOKUP(AG$83,Cuision!$G:$P,9,FALSE),VLOOKUP(AG$83,Cuision!$G:$P,10,FALSE)))</f>
        <v>2182.5385348179407</v>
      </c>
      <c r="AH118" s="33">
        <f>IF($A118=AH$83, 0, distance(VLOOKUP($A118,Cuision!$G:$P,9,FALSE),VLOOKUP($A118,Cuision!$G:$P,10,FALSE),VLOOKUP(AH$83,Cuision!$G:$P,9,FALSE),VLOOKUP(AH$83,Cuision!$G:$P,10,FALSE)))</f>
        <v>-1</v>
      </c>
      <c r="AI118" s="33">
        <f>IF($A118=AI$83, 0, distance(VLOOKUP($A118,Cuision!$G:$P,9,FALSE),VLOOKUP($A118,Cuision!$G:$P,10,FALSE),VLOOKUP(AI$83,Cuision!$G:$P,9,FALSE),VLOOKUP(AI$83,Cuision!$G:$P,10,FALSE)))</f>
        <v>1234.7100129660098</v>
      </c>
      <c r="AJ118" s="33">
        <f>IF($A118=AJ$83, 0, distance(VLOOKUP($A118,Cuision!$G:$P,9,FALSE),VLOOKUP($A118,Cuision!$G:$P,10,FALSE),VLOOKUP(AJ$83,Cuision!$G:$P,9,FALSE),VLOOKUP(AJ$83,Cuision!$G:$P,10,FALSE)))</f>
        <v>0</v>
      </c>
      <c r="AK118" s="33">
        <f>IF($A118=AK$83, 0, distance(VLOOKUP($A118,Cuision!$G:$P,9,FALSE),VLOOKUP($A118,Cuision!$G:$P,10,FALSE),VLOOKUP(AK$83,Cuision!$G:$P,9,FALSE),VLOOKUP(AK$83,Cuision!$G:$P,10,FALSE)))</f>
        <v>8828.9357682627578</v>
      </c>
      <c r="AL118" s="33">
        <f>IF($A118=AL$83, 0, distance(VLOOKUP($A118,Cuision!$G:$P,9,FALSE),VLOOKUP($A118,Cuision!$G:$P,10,FALSE),VLOOKUP(AL$83,Cuision!$G:$P,9,FALSE),VLOOKUP(AL$83,Cuision!$G:$P,10,FALSE)))</f>
        <v>2584.7265178800044</v>
      </c>
      <c r="AM118" s="33">
        <f>IF($A118=AM$83, 0, distance(VLOOKUP($A118,Cuision!$G:$P,9,FALSE),VLOOKUP($A118,Cuision!$G:$P,10,FALSE),VLOOKUP(AM$83,Cuision!$G:$P,9,FALSE),VLOOKUP(AM$83,Cuision!$G:$P,10,FALSE)))</f>
        <v>-1</v>
      </c>
      <c r="AN118" s="33">
        <f>IF($A118=AN$83, 0, distance(VLOOKUP($A118,Cuision!$G:$P,9,FALSE),VLOOKUP($A118,Cuision!$G:$P,10,FALSE),VLOOKUP(AN$83,Cuision!$G:$P,9,FALSE),VLOOKUP(AN$83,Cuision!$G:$P,10,FALSE)))</f>
        <v>1775.8304240609064</v>
      </c>
      <c r="AO118" s="33">
        <f>IF($A118=AO$83, 0, distance(VLOOKUP($A118,Cuision!$G:$P,9,FALSE),VLOOKUP($A118,Cuision!$G:$P,10,FALSE),VLOOKUP(AO$83,Cuision!$G:$P,9,FALSE),VLOOKUP(AO$83,Cuision!$G:$P,10,FALSE)))</f>
        <v>2699.2022856792228</v>
      </c>
      <c r="AP118" s="33">
        <f>IF($A118=AP$83, 0, distance(VLOOKUP($A118,Cuision!$G:$P,9,FALSE),VLOOKUP($A118,Cuision!$G:$P,10,FALSE),VLOOKUP(AP$83,Cuision!$G:$P,9,FALSE),VLOOKUP(AP$83,Cuision!$G:$P,10,FALSE)))</f>
        <v>2088.3496191523295</v>
      </c>
      <c r="AQ118" s="33">
        <f>IF($A118=AQ$83, 0, distance(VLOOKUP($A118,Cuision!$G:$P,9,FALSE),VLOOKUP($A118,Cuision!$G:$P,10,FALSE),VLOOKUP(AQ$83,Cuision!$G:$P,9,FALSE),VLOOKUP(AQ$83,Cuision!$G:$P,10,FALSE)))</f>
        <v>4915.9478722838057</v>
      </c>
      <c r="AR118" s="33">
        <f>IF($A118=AR$83, 0, distance(VLOOKUP($A118,Cuision!$G:$P,9,FALSE),VLOOKUP($A118,Cuision!$G:$P,10,FALSE),VLOOKUP(AR$83,Cuision!$G:$P,9,FALSE),VLOOKUP(AR$83,Cuision!$G:$P,10,FALSE)))</f>
        <v>2663.5886544931418</v>
      </c>
      <c r="AS118" s="33">
        <f>IF($A118=AS$83, 0, distance(VLOOKUP($A118,Cuision!$G:$P,9,FALSE),VLOOKUP($A118,Cuision!$G:$P,10,FALSE),VLOOKUP(AS$83,Cuision!$G:$P,9,FALSE),VLOOKUP(AS$83,Cuision!$G:$P,10,FALSE)))</f>
        <v>1886.5651214829372</v>
      </c>
      <c r="AT118" s="33">
        <f>IF($A118=AT$83, 0, distance(VLOOKUP($A118,Cuision!$G:$P,9,FALSE),VLOOKUP($A118,Cuision!$G:$P,10,FALSE),VLOOKUP(AT$83,Cuision!$G:$P,9,FALSE),VLOOKUP(AT$83,Cuision!$G:$P,10,FALSE)))</f>
        <v>5431.2384318717377</v>
      </c>
      <c r="AU118" s="33">
        <f>IF($A118=AU$83, 0, distance(VLOOKUP($A118,Cuision!$G:$P,9,FALSE),VLOOKUP($A118,Cuision!$G:$P,10,FALSE),VLOOKUP(AU$83,Cuision!$G:$P,9,FALSE),VLOOKUP(AU$83,Cuision!$G:$P,10,FALSE)))</f>
        <v>4737.0061527829203</v>
      </c>
      <c r="AV118" s="33">
        <f>IF($A118=AV$83, 0, distance(VLOOKUP($A118,Cuision!$G:$P,9,FALSE),VLOOKUP($A118,Cuision!$G:$P,10,FALSE),VLOOKUP(AV$83,Cuision!$G:$P,9,FALSE),VLOOKUP(AV$83,Cuision!$G:$P,10,FALSE)))</f>
        <v>750.69136448203346</v>
      </c>
      <c r="AW118" s="33">
        <f>IF($A118=AW$83, 0, distance(VLOOKUP($A118,Cuision!$G:$P,9,FALSE),VLOOKUP($A118,Cuision!$G:$P,10,FALSE),VLOOKUP(AW$83,Cuision!$G:$P,9,FALSE),VLOOKUP(AW$83,Cuision!$G:$P,10,FALSE)))</f>
        <v>3840.6105326694137</v>
      </c>
      <c r="AX118" s="33">
        <f>IF($A118=AX$83, 0, distance(VLOOKUP($A118,Cuision!$G:$P,9,FALSE),VLOOKUP($A118,Cuision!$G:$P,10,FALSE),VLOOKUP(AX$83,Cuision!$G:$P,9,FALSE),VLOOKUP(AX$83,Cuision!$G:$P,10,FALSE)))</f>
        <v>7203.8206176159465</v>
      </c>
      <c r="AY118" s="33">
        <f>IF($A118=AY$83, 0, distance(VLOOKUP($A118,Cuision!$G:$P,9,FALSE),VLOOKUP($A118,Cuision!$G:$P,10,FALSE),VLOOKUP(AY$83,Cuision!$G:$P,9,FALSE),VLOOKUP(AY$83,Cuision!$G:$P,10,FALSE)))</f>
        <v>-1</v>
      </c>
      <c r="AZ118" s="33">
        <f>IF($A118=AZ$83, 0, distance(VLOOKUP($A118,Cuision!$G:$P,9,FALSE),VLOOKUP($A118,Cuision!$G:$P,10,FALSE),VLOOKUP(AZ$83,Cuision!$G:$P,9,FALSE),VLOOKUP(AZ$83,Cuision!$G:$P,10,FALSE)))</f>
        <v>4265.6135520296511</v>
      </c>
      <c r="BA118" s="33">
        <f>IF($A118=BA$83, 0, distance(VLOOKUP($A118,Cuision!$G:$P,9,FALSE),VLOOKUP($A118,Cuision!$G:$P,10,FALSE),VLOOKUP(BA$83,Cuision!$G:$P,9,FALSE),VLOOKUP(BA$83,Cuision!$G:$P,10,FALSE)))</f>
        <v>1477.9165770989318</v>
      </c>
      <c r="BB118" s="33">
        <f>IF($A118=BB$83, 0, distance(VLOOKUP($A118,Cuision!$G:$P,9,FALSE),VLOOKUP($A118,Cuision!$G:$P,10,FALSE),VLOOKUP(BB$83,Cuision!$G:$P,9,FALSE),VLOOKUP(BB$83,Cuision!$G:$P,10,FALSE)))</f>
        <v>8211.061713138346</v>
      </c>
      <c r="BC118" s="33">
        <f>IF($A118=BC$83, 0, distance(VLOOKUP($A118,Cuision!$G:$P,9,FALSE),VLOOKUP($A118,Cuision!$G:$P,10,FALSE),VLOOKUP(BC$83,Cuision!$G:$P,9,FALSE),VLOOKUP(BC$83,Cuision!$G:$P,10,FALSE)))</f>
        <v>0</v>
      </c>
      <c r="BD118" s="33">
        <f>IF($A118=BD$83, 0, distance(VLOOKUP($A118,Cuision!$G:$P,9,FALSE),VLOOKUP($A118,Cuision!$G:$P,10,FALSE),VLOOKUP(BD$83,Cuision!$G:$P,9,FALSE),VLOOKUP(BD$83,Cuision!$G:$P,10,FALSE)))</f>
        <v>3589.0637776768831</v>
      </c>
      <c r="BE118" s="33">
        <f>IF($A118=BE$83, 0, distance(VLOOKUP($A118,Cuision!$G:$P,9,FALSE),VLOOKUP($A118,Cuision!$G:$P,10,FALSE),VLOOKUP(BE$83,Cuision!$G:$P,9,FALSE),VLOOKUP(BE$83,Cuision!$G:$P,10,FALSE)))</f>
        <v>2894.6643241480492</v>
      </c>
      <c r="BF118" s="33">
        <f>IF($A118=BF$83, 0, distance(VLOOKUP($A118,Cuision!$G:$P,9,FALSE),VLOOKUP($A118,Cuision!$G:$P,10,FALSE),VLOOKUP(BF$83,Cuision!$G:$P,9,FALSE),VLOOKUP(BF$83,Cuision!$G:$P,10,FALSE)))</f>
        <v>1814.9299588358174</v>
      </c>
      <c r="BG118" s="33">
        <f>IF($A118=BG$83, 0, distance(VLOOKUP($A118,Cuision!$G:$P,9,FALSE),VLOOKUP($A118,Cuision!$G:$P,10,FALSE),VLOOKUP(BG$83,Cuision!$G:$P,9,FALSE),VLOOKUP(BG$83,Cuision!$G:$P,10,FALSE)))</f>
        <v>679.22167101187461</v>
      </c>
      <c r="BH118" s="33">
        <f>IF($A118=BH$83, 0, distance(VLOOKUP($A118,Cuision!$G:$P,9,FALSE),VLOOKUP($A118,Cuision!$G:$P,10,FALSE),VLOOKUP(BH$83,Cuision!$G:$P,9,FALSE),VLOOKUP(BH$83,Cuision!$G:$P,10,FALSE)))</f>
        <v>8397.292438003582</v>
      </c>
      <c r="BI118" s="33">
        <f>IF($A118=BI$83, 0, distance(VLOOKUP($A118,Cuision!$G:$P,9,FALSE),VLOOKUP($A118,Cuision!$G:$P,10,FALSE),VLOOKUP(BI$83,Cuision!$G:$P,9,FALSE),VLOOKUP(BI$83,Cuision!$G:$P,10,FALSE)))</f>
        <v>1928.4684225148196</v>
      </c>
      <c r="BJ118" s="33">
        <f>IF($A118=BJ$83, 0, distance(VLOOKUP($A118,Cuision!$G:$P,9,FALSE),VLOOKUP($A118,Cuision!$G:$P,10,FALSE),VLOOKUP(BJ$83,Cuision!$G:$P,9,FALSE),VLOOKUP(BJ$83,Cuision!$G:$P,10,FALSE)))</f>
        <v>2990.3877013395577</v>
      </c>
      <c r="BK118" s="33">
        <f>IF($A118=BK$83, 0, distance(VLOOKUP($A118,Cuision!$G:$P,9,FALSE),VLOOKUP($A118,Cuision!$G:$P,10,FALSE),VLOOKUP(BK$83,Cuision!$G:$P,9,FALSE),VLOOKUP(BK$83,Cuision!$G:$P,10,FALSE)))</f>
        <v>1843.6098621288322</v>
      </c>
      <c r="BL118" s="33">
        <f>IF($A118=BL$83, 0, distance(VLOOKUP($A118,Cuision!$G:$P,9,FALSE),VLOOKUP($A118,Cuision!$G:$P,10,FALSE),VLOOKUP(BL$83,Cuision!$G:$P,9,FALSE),VLOOKUP(BL$83,Cuision!$G:$P,10,FALSE)))</f>
        <v>-1</v>
      </c>
      <c r="BM118" s="33">
        <f>IF($A118=BM$83, 0, distance(VLOOKUP($A118,Cuision!$G:$P,9,FALSE),VLOOKUP($A118,Cuision!$G:$P,10,FALSE),VLOOKUP(BM$83,Cuision!$G:$P,9,FALSE),VLOOKUP(BM$83,Cuision!$G:$P,10,FALSE)))</f>
        <v>-1</v>
      </c>
      <c r="BN118" s="33">
        <f>IF($A118=BN$83, 0, distance(VLOOKUP($A118,Cuision!$G:$P,9,FALSE),VLOOKUP($A118,Cuision!$G:$P,10,FALSE),VLOOKUP(BN$83,Cuision!$G:$P,9,FALSE),VLOOKUP(BN$83,Cuision!$G:$P,10,FALSE)))</f>
        <v>2663.5886544931418</v>
      </c>
      <c r="BO118" s="33">
        <f>IF($A118=BO$83, 0, distance(VLOOKUP($A118,Cuision!$G:$P,9,FALSE),VLOOKUP($A118,Cuision!$G:$P,10,FALSE),VLOOKUP(BO$83,Cuision!$G:$P,9,FALSE),VLOOKUP(BO$83,Cuision!$G:$P,10,FALSE)))</f>
        <v>4459.7813872301176</v>
      </c>
      <c r="BP118" s="33">
        <f>IF($A118=BP$83, 0, distance(VLOOKUP($A118,Cuision!$G:$P,9,FALSE),VLOOKUP($A118,Cuision!$G:$P,10,FALSE),VLOOKUP(BP$83,Cuision!$G:$P,9,FALSE),VLOOKUP(BP$83,Cuision!$G:$P,10,FALSE)))</f>
        <v>1874.7303697421555</v>
      </c>
      <c r="BQ118" s="33">
        <f>IF($A118=BQ$83, 0, distance(VLOOKUP($A118,Cuision!$G:$P,9,FALSE),VLOOKUP($A118,Cuision!$G:$P,10,FALSE),VLOOKUP(BQ$83,Cuision!$G:$P,9,FALSE),VLOOKUP(BQ$83,Cuision!$G:$P,10,FALSE)))</f>
        <v>-1</v>
      </c>
      <c r="BR118" s="33">
        <f>IF($A118=BR$83, 0, distance(VLOOKUP($A118,Cuision!$G:$P,9,FALSE),VLOOKUP($A118,Cuision!$G:$P,10,FALSE),VLOOKUP(BR$83,Cuision!$G:$P,9,FALSE),VLOOKUP(BR$83,Cuision!$G:$P,10,FALSE)))</f>
        <v>6328.3267379660138</v>
      </c>
      <c r="BS118" s="33">
        <f>IF($A118=BS$83, 0, distance(VLOOKUP($A118,Cuision!$G:$P,9,FALSE),VLOOKUP($A118,Cuision!$G:$P,10,FALSE),VLOOKUP(BS$83,Cuision!$G:$P,9,FALSE),VLOOKUP(BS$83,Cuision!$G:$P,10,FALSE)))</f>
        <v>4145.2066021845849</v>
      </c>
      <c r="BT118" s="33">
        <f>IF($A118=BT$83, 0, distance(VLOOKUP($A118,Cuision!$G:$P,9,FALSE),VLOOKUP($A118,Cuision!$G:$P,10,FALSE),VLOOKUP(BT$83,Cuision!$G:$P,9,FALSE),VLOOKUP(BT$83,Cuision!$G:$P,10,FALSE)))</f>
        <v>2699.2022856792228</v>
      </c>
      <c r="BU118" s="33">
        <f>IF($A118=BU$83, 0, distance(VLOOKUP($A118,Cuision!$G:$P,9,FALSE),VLOOKUP($A118,Cuision!$G:$P,10,FALSE),VLOOKUP(BU$83,Cuision!$G:$P,9,FALSE),VLOOKUP(BU$83,Cuision!$G:$P,10,FALSE)))</f>
        <v>3837.2025088645214</v>
      </c>
      <c r="BV118" s="33">
        <f>IF($A118=BV$83, 0, distance(VLOOKUP($A118,Cuision!$G:$P,9,FALSE),VLOOKUP($A118,Cuision!$G:$P,10,FALSE),VLOOKUP(BV$83,Cuision!$G:$P,9,FALSE),VLOOKUP(BV$83,Cuision!$G:$P,10,FALSE)))</f>
        <v>916.76987693497176</v>
      </c>
      <c r="BW118" s="33">
        <f>IF($A118=BW$83, 0, distance(VLOOKUP($A118,Cuision!$G:$P,9,FALSE),VLOOKUP($A118,Cuision!$G:$P,10,FALSE),VLOOKUP(BW$83,Cuision!$G:$P,9,FALSE),VLOOKUP(BW$83,Cuision!$G:$P,10,FALSE)))</f>
        <v>1589.8019982023834</v>
      </c>
      <c r="BX118" s="33">
        <f>IF($A118=BX$83, 0, distance(VLOOKUP($A118,Cuision!$G:$P,9,FALSE),VLOOKUP($A118,Cuision!$G:$P,10,FALSE),VLOOKUP(BX$83,Cuision!$G:$P,9,FALSE),VLOOKUP(BX$83,Cuision!$G:$P,10,FALSE)))</f>
        <v>1706.1794779189991</v>
      </c>
      <c r="BY118" s="33">
        <f>IF($A118=BY$83, 0, distance(VLOOKUP($A118,Cuision!$G:$P,9,FALSE),VLOOKUP($A118,Cuision!$G:$P,10,FALSE),VLOOKUP(BY$83,Cuision!$G:$P,9,FALSE),VLOOKUP(BY$83,Cuision!$G:$P,10,FALSE)))</f>
        <v>-1</v>
      </c>
      <c r="BZ118" s="33">
        <f>IF($A118=BZ$83, 0, distance(VLOOKUP($A118,Cuision!$G:$P,9,FALSE),VLOOKUP($A118,Cuision!$G:$P,10,FALSE),VLOOKUP(BZ$83,Cuision!$G:$P,9,FALSE),VLOOKUP(BZ$83,Cuision!$G:$P,10,FALSE)))</f>
        <v>-1</v>
      </c>
      <c r="CA118" s="33">
        <f>IF($A118=CA$83, 0, distance(VLOOKUP($A118,Cuision!$G:$P,9,FALSE),VLOOKUP($A118,Cuision!$G:$P,10,FALSE),VLOOKUP(CA$83,Cuision!$G:$P,9,FALSE),VLOOKUP(CA$83,Cuision!$G:$P,10,FALSE)))</f>
        <v>3953.220892070327</v>
      </c>
    </row>
    <row r="119" spans="1:79" ht="14.25" x14ac:dyDescent="0.2">
      <c r="A119" s="30" t="s">
        <v>85</v>
      </c>
      <c r="B119" s="33">
        <f>IF($A119=B$83, 0, distance(VLOOKUP($A119,Cuision!$G:$P,9,FALSE),VLOOKUP($A119,Cuision!$G:$P,10,FALSE),VLOOKUP(B$83,Cuision!$G:$P,9,FALSE),VLOOKUP(B$83,Cuision!$G:$P,10,FALSE)))</f>
        <v>7664.0847664028179</v>
      </c>
      <c r="C119" s="33">
        <f>IF($A119=C$83, 0, distance(VLOOKUP($A119,Cuision!$G:$P,9,FALSE),VLOOKUP($A119,Cuision!$G:$P,10,FALSE),VLOOKUP(C$83,Cuision!$G:$P,9,FALSE),VLOOKUP(C$83,Cuision!$G:$P,10,FALSE)))</f>
        <v>11414.403954411808</v>
      </c>
      <c r="D119" s="33">
        <f>IF($A119=D$83, 0, distance(VLOOKUP($A119,Cuision!$G:$P,9,FALSE),VLOOKUP($A119,Cuision!$G:$P,10,FALSE),VLOOKUP(D$83,Cuision!$G:$P,9,FALSE),VLOOKUP(D$83,Cuision!$G:$P,10,FALSE)))</f>
        <v>4764.224348016216</v>
      </c>
      <c r="E119" s="33">
        <f>IF($A119=E$83, 0, distance(VLOOKUP($A119,Cuision!$G:$P,9,FALSE),VLOOKUP($A119,Cuision!$G:$P,10,FALSE),VLOOKUP(E$83,Cuision!$G:$P,9,FALSE),VLOOKUP(E$83,Cuision!$G:$P,10,FALSE)))</f>
        <v>4764.224348016216</v>
      </c>
      <c r="F119" s="33">
        <f>IF($A119=F$83, 0, distance(VLOOKUP($A119,Cuision!$G:$P,9,FALSE),VLOOKUP($A119,Cuision!$G:$P,10,FALSE),VLOOKUP(F$83,Cuision!$G:$P,9,FALSE),VLOOKUP(F$83,Cuision!$G:$P,10,FALSE)))</f>
        <v>8828.9357682627578</v>
      </c>
      <c r="G119" s="33">
        <f>IF($A119=G$83, 0, distance(VLOOKUP($A119,Cuision!$G:$P,9,FALSE),VLOOKUP($A119,Cuision!$G:$P,10,FALSE),VLOOKUP(G$83,Cuision!$G:$P,9,FALSE),VLOOKUP(G$83,Cuision!$G:$P,10,FALSE)))</f>
        <v>7384.2011722502721</v>
      </c>
      <c r="H119" s="33">
        <f>IF($A119=H$83, 0, distance(VLOOKUP($A119,Cuision!$G:$P,9,FALSE),VLOOKUP($A119,Cuision!$G:$P,10,FALSE),VLOOKUP(H$83,Cuision!$G:$P,9,FALSE),VLOOKUP(H$83,Cuision!$G:$P,10,FALSE)))</f>
        <v>8088.5263803054877</v>
      </c>
      <c r="I119" s="33">
        <f>IF($A119=I$83, 0, distance(VLOOKUP($A119,Cuision!$G:$P,9,FALSE),VLOOKUP($A119,Cuision!$G:$P,10,FALSE),VLOOKUP(I$83,Cuision!$G:$P,9,FALSE),VLOOKUP(I$83,Cuision!$G:$P,10,FALSE)))</f>
        <v>6199.3655852235488</v>
      </c>
      <c r="J119" s="33">
        <f>IF($A119=J$83, 0, distance(VLOOKUP($A119,Cuision!$G:$P,9,FALSE),VLOOKUP($A119,Cuision!$G:$P,10,FALSE),VLOOKUP(J$83,Cuision!$G:$P,9,FALSE),VLOOKUP(J$83,Cuision!$G:$P,10,FALSE)))</f>
        <v>5256.3869545257412</v>
      </c>
      <c r="K119" s="33">
        <f>IF($A119=K$83, 0, distance(VLOOKUP($A119,Cuision!$G:$P,9,FALSE),VLOOKUP($A119,Cuision!$G:$P,10,FALSE),VLOOKUP(K$83,Cuision!$G:$P,9,FALSE),VLOOKUP(K$83,Cuision!$G:$P,10,FALSE)))</f>
        <v>7704.4142681258081</v>
      </c>
      <c r="L119" s="33">
        <f>IF($A119=L$83, 0, distance(VLOOKUP($A119,Cuision!$G:$P,9,FALSE),VLOOKUP($A119,Cuision!$G:$P,10,FALSE),VLOOKUP(L$83,Cuision!$G:$P,9,FALSE),VLOOKUP(L$83,Cuision!$G:$P,10,FALSE)))</f>
        <v>7069.5114142879893</v>
      </c>
      <c r="M119" s="33">
        <f>IF($A119=M$83, 0, distance(VLOOKUP($A119,Cuision!$G:$P,9,FALSE),VLOOKUP($A119,Cuision!$G:$P,10,FALSE),VLOOKUP(M$83,Cuision!$G:$P,9,FALSE),VLOOKUP(M$83,Cuision!$G:$P,10,FALSE)))</f>
        <v>-1</v>
      </c>
      <c r="N119" s="33">
        <f>IF($A119=N$83, 0, distance(VLOOKUP($A119,Cuision!$G:$P,9,FALSE),VLOOKUP($A119,Cuision!$G:$P,10,FALSE),VLOOKUP(N$83,Cuision!$G:$P,9,FALSE),VLOOKUP(N$83,Cuision!$G:$P,10,FALSE)))</f>
        <v>7893.5443895767303</v>
      </c>
      <c r="O119" s="33">
        <f>IF($A119=O$83, 0, distance(VLOOKUP($A119,Cuision!$G:$P,9,FALSE),VLOOKUP($A119,Cuision!$G:$P,10,FALSE),VLOOKUP(O$83,Cuision!$G:$P,9,FALSE),VLOOKUP(O$83,Cuision!$G:$P,10,FALSE)))</f>
        <v>7398.1416612862013</v>
      </c>
      <c r="P119" s="33">
        <f>IF($A119=P$83, 0, distance(VLOOKUP($A119,Cuision!$G:$P,9,FALSE),VLOOKUP($A119,Cuision!$G:$P,10,FALSE),VLOOKUP(P$83,Cuision!$G:$P,9,FALSE),VLOOKUP(P$83,Cuision!$G:$P,10,FALSE)))</f>
        <v>7705.4434359119568</v>
      </c>
      <c r="Q119" s="33">
        <f>IF($A119=Q$83, 0, distance(VLOOKUP($A119,Cuision!$G:$P,9,FALSE),VLOOKUP($A119,Cuision!$G:$P,10,FALSE),VLOOKUP(Q$83,Cuision!$G:$P,9,FALSE),VLOOKUP(Q$83,Cuision!$G:$P,10,FALSE)))</f>
        <v>-1</v>
      </c>
      <c r="R119" s="33">
        <f>IF($A119=R$83, 0, distance(VLOOKUP($A119,Cuision!$G:$P,9,FALSE),VLOOKUP($A119,Cuision!$G:$P,10,FALSE),VLOOKUP(R$83,Cuision!$G:$P,9,FALSE),VLOOKUP(R$83,Cuision!$G:$P,10,FALSE)))</f>
        <v>7283.7203694867039</v>
      </c>
      <c r="S119" s="33">
        <f>IF($A119=S$83, 0, distance(VLOOKUP($A119,Cuision!$G:$P,9,FALSE),VLOOKUP($A119,Cuision!$G:$P,10,FALSE),VLOOKUP(S$83,Cuision!$G:$P,9,FALSE),VLOOKUP(S$83,Cuision!$G:$P,10,FALSE)))</f>
        <v>-1</v>
      </c>
      <c r="T119" s="33">
        <f>IF($A119=T$83, 0, distance(VLOOKUP($A119,Cuision!$G:$P,9,FALSE),VLOOKUP($A119,Cuision!$G:$P,10,FALSE),VLOOKUP(T$83,Cuision!$G:$P,9,FALSE),VLOOKUP(T$83,Cuision!$G:$P,10,FALSE)))</f>
        <v>6865.003216197184</v>
      </c>
      <c r="U119" s="33">
        <f>IF($A119=U$83, 0, distance(VLOOKUP($A119,Cuision!$G:$P,9,FALSE),VLOOKUP($A119,Cuision!$G:$P,10,FALSE),VLOOKUP(U$83,Cuision!$G:$P,9,FALSE),VLOOKUP(U$83,Cuision!$G:$P,10,FALSE)))</f>
        <v>-1</v>
      </c>
      <c r="V119" s="33">
        <f>IF($A119=V$83, 0, distance(VLOOKUP($A119,Cuision!$G:$P,9,FALSE),VLOOKUP($A119,Cuision!$G:$P,10,FALSE),VLOOKUP(V$83,Cuision!$G:$P,9,FALSE),VLOOKUP(V$83,Cuision!$G:$P,10,FALSE)))</f>
        <v>4764.224348016216</v>
      </c>
      <c r="W119" s="33">
        <f>IF($A119=W$83, 0, distance(VLOOKUP($A119,Cuision!$G:$P,9,FALSE),VLOOKUP($A119,Cuision!$G:$P,10,FALSE),VLOOKUP(W$83,Cuision!$G:$P,9,FALSE),VLOOKUP(W$83,Cuision!$G:$P,10,FALSE)))</f>
        <v>6550.2327392348707</v>
      </c>
      <c r="X119" s="33">
        <f>IF($A119=X$83, 0, distance(VLOOKUP($A119,Cuision!$G:$P,9,FALSE),VLOOKUP($A119,Cuision!$G:$P,10,FALSE),VLOOKUP(X$83,Cuision!$G:$P,9,FALSE),VLOOKUP(X$83,Cuision!$G:$P,10,FALSE)))</f>
        <v>7893.5443895767303</v>
      </c>
      <c r="Y119" s="33">
        <f>IF($A119=Y$83, 0, distance(VLOOKUP($A119,Cuision!$G:$P,9,FALSE),VLOOKUP($A119,Cuision!$G:$P,10,FALSE),VLOOKUP(Y$83,Cuision!$G:$P,9,FALSE),VLOOKUP(Y$83,Cuision!$G:$P,10,FALSE)))</f>
        <v>5245.2042244274962</v>
      </c>
      <c r="Z119" s="33">
        <f>IF($A119=Z$83, 0, distance(VLOOKUP($A119,Cuision!$G:$P,9,FALSE),VLOOKUP($A119,Cuision!$G:$P,10,FALSE),VLOOKUP(Z$83,Cuision!$G:$P,9,FALSE),VLOOKUP(Z$83,Cuision!$G:$P,10,FALSE)))</f>
        <v>-1</v>
      </c>
      <c r="AA119" s="33">
        <f>IF($A119=AA$83, 0, distance(VLOOKUP($A119,Cuision!$G:$P,9,FALSE),VLOOKUP($A119,Cuision!$G:$P,10,FALSE),VLOOKUP(AA$83,Cuision!$G:$P,9,FALSE),VLOOKUP(AA$83,Cuision!$G:$P,10,FALSE)))</f>
        <v>4659.7393464634661</v>
      </c>
      <c r="AB119" s="33">
        <f>IF($A119=AB$83, 0, distance(VLOOKUP($A119,Cuision!$G:$P,9,FALSE),VLOOKUP($A119,Cuision!$G:$P,10,FALSE),VLOOKUP(AB$83,Cuision!$G:$P,9,FALSE),VLOOKUP(AB$83,Cuision!$G:$P,10,FALSE)))</f>
        <v>7562.2904295701201</v>
      </c>
      <c r="AC119" s="33">
        <f>IF($A119=AC$83, 0, distance(VLOOKUP($A119,Cuision!$G:$P,9,FALSE),VLOOKUP($A119,Cuision!$G:$P,10,FALSE),VLOOKUP(AC$83,Cuision!$G:$P,9,FALSE),VLOOKUP(AC$83,Cuision!$G:$P,10,FALSE)))</f>
        <v>10213.16709461764</v>
      </c>
      <c r="AD119" s="33">
        <f>IF($A119=AD$83, 0, distance(VLOOKUP($A119,Cuision!$G:$P,9,FALSE),VLOOKUP($A119,Cuision!$G:$P,10,FALSE),VLOOKUP(AD$83,Cuision!$G:$P,9,FALSE),VLOOKUP(AD$83,Cuision!$G:$P,10,FALSE)))</f>
        <v>5462.2387314283042</v>
      </c>
      <c r="AE119" s="33">
        <f>IF($A119=AE$83, 0, distance(VLOOKUP($A119,Cuision!$G:$P,9,FALSE),VLOOKUP($A119,Cuision!$G:$P,10,FALSE),VLOOKUP(AE$83,Cuision!$G:$P,9,FALSE),VLOOKUP(AE$83,Cuision!$G:$P,10,FALSE)))</f>
        <v>6720.0428686043879</v>
      </c>
      <c r="AF119" s="33">
        <f>IF($A119=AF$83, 0, distance(VLOOKUP($A119,Cuision!$G:$P,9,FALSE),VLOOKUP($A119,Cuision!$G:$P,10,FALSE),VLOOKUP(AF$83,Cuision!$G:$P,9,FALSE),VLOOKUP(AF$83,Cuision!$G:$P,10,FALSE)))</f>
        <v>7495.6742026636421</v>
      </c>
      <c r="AG119" s="33">
        <f>IF($A119=AG$83, 0, distance(VLOOKUP($A119,Cuision!$G:$P,9,FALSE),VLOOKUP($A119,Cuision!$G:$P,10,FALSE),VLOOKUP(AG$83,Cuision!$G:$P,9,FALSE),VLOOKUP(AG$83,Cuision!$G:$P,10,FALSE)))</f>
        <v>7389.290961718938</v>
      </c>
      <c r="AH119" s="33">
        <f>IF($A119=AH$83, 0, distance(VLOOKUP($A119,Cuision!$G:$P,9,FALSE),VLOOKUP($A119,Cuision!$G:$P,10,FALSE),VLOOKUP(AH$83,Cuision!$G:$P,9,FALSE),VLOOKUP(AH$83,Cuision!$G:$P,10,FALSE)))</f>
        <v>-1</v>
      </c>
      <c r="AI119" s="33">
        <f>IF($A119=AI$83, 0, distance(VLOOKUP($A119,Cuision!$G:$P,9,FALSE),VLOOKUP($A119,Cuision!$G:$P,10,FALSE),VLOOKUP(AI$83,Cuision!$G:$P,9,FALSE),VLOOKUP(AI$83,Cuision!$G:$P,10,FALSE)))</f>
        <v>8437.2377470086994</v>
      </c>
      <c r="AJ119" s="33">
        <f>IF($A119=AJ$83, 0, distance(VLOOKUP($A119,Cuision!$G:$P,9,FALSE),VLOOKUP($A119,Cuision!$G:$P,10,FALSE),VLOOKUP(AJ$83,Cuision!$G:$P,9,FALSE),VLOOKUP(AJ$83,Cuision!$G:$P,10,FALSE)))</f>
        <v>8828.9357682627578</v>
      </c>
      <c r="AK119" s="33">
        <f>IF($A119=AK$83, 0, distance(VLOOKUP($A119,Cuision!$G:$P,9,FALSE),VLOOKUP($A119,Cuision!$G:$P,10,FALSE),VLOOKUP(AK$83,Cuision!$G:$P,9,FALSE),VLOOKUP(AK$83,Cuision!$G:$P,10,FALSE)))</f>
        <v>0</v>
      </c>
      <c r="AL119" s="33">
        <f>IF($A119=AL$83, 0, distance(VLOOKUP($A119,Cuision!$G:$P,9,FALSE),VLOOKUP($A119,Cuision!$G:$P,10,FALSE),VLOOKUP(AL$83,Cuision!$G:$P,9,FALSE),VLOOKUP(AL$83,Cuision!$G:$P,10,FALSE)))</f>
        <v>7204.7075099537769</v>
      </c>
      <c r="AM119" s="33">
        <f>IF($A119=AM$83, 0, distance(VLOOKUP($A119,Cuision!$G:$P,9,FALSE),VLOOKUP($A119,Cuision!$G:$P,10,FALSE),VLOOKUP(AM$83,Cuision!$G:$P,9,FALSE),VLOOKUP(AM$83,Cuision!$G:$P,10,FALSE)))</f>
        <v>-1</v>
      </c>
      <c r="AN119" s="33">
        <f>IF($A119=AN$83, 0, distance(VLOOKUP($A119,Cuision!$G:$P,9,FALSE),VLOOKUP($A119,Cuision!$G:$P,10,FALSE),VLOOKUP(AN$83,Cuision!$G:$P,9,FALSE),VLOOKUP(AN$83,Cuision!$G:$P,10,FALSE)))</f>
        <v>7767.7776528488721</v>
      </c>
      <c r="AO119" s="33">
        <f>IF($A119=AO$83, 0, distance(VLOOKUP($A119,Cuision!$G:$P,9,FALSE),VLOOKUP($A119,Cuision!$G:$P,10,FALSE),VLOOKUP(AO$83,Cuision!$G:$P,9,FALSE),VLOOKUP(AO$83,Cuision!$G:$P,10,FALSE)))</f>
        <v>7893.5443895767303</v>
      </c>
      <c r="AP119" s="33">
        <f>IF($A119=AP$83, 0, distance(VLOOKUP($A119,Cuision!$G:$P,9,FALSE),VLOOKUP($A119,Cuision!$G:$P,10,FALSE),VLOOKUP(AP$83,Cuision!$G:$P,9,FALSE),VLOOKUP(AP$83,Cuision!$G:$P,10,FALSE)))</f>
        <v>7573.7244502058065</v>
      </c>
      <c r="AQ119" s="33">
        <f>IF($A119=AQ$83, 0, distance(VLOOKUP($A119,Cuision!$G:$P,9,FALSE),VLOOKUP($A119,Cuision!$G:$P,10,FALSE),VLOOKUP(AQ$83,Cuision!$G:$P,9,FALSE),VLOOKUP(AQ$83,Cuision!$G:$P,10,FALSE)))</f>
        <v>6853.8669507210698</v>
      </c>
      <c r="AR119" s="33">
        <f>IF($A119=AR$83, 0, distance(VLOOKUP($A119,Cuision!$G:$P,9,FALSE),VLOOKUP($A119,Cuision!$G:$P,10,FALSE),VLOOKUP(AR$83,Cuision!$G:$P,9,FALSE),VLOOKUP(AR$83,Cuision!$G:$P,10,FALSE)))</f>
        <v>7283.7203694867039</v>
      </c>
      <c r="AS119" s="33">
        <f>IF($A119=AS$83, 0, distance(VLOOKUP($A119,Cuision!$G:$P,9,FALSE),VLOOKUP($A119,Cuision!$G:$P,10,FALSE),VLOOKUP(AS$83,Cuision!$G:$P,9,FALSE),VLOOKUP(AS$83,Cuision!$G:$P,10,FALSE)))</f>
        <v>8099.6581029777381</v>
      </c>
      <c r="AT119" s="33">
        <f>IF($A119=AT$83, 0, distance(VLOOKUP($A119,Cuision!$G:$P,9,FALSE),VLOOKUP($A119,Cuision!$G:$P,10,FALSE),VLOOKUP(AT$83,Cuision!$G:$P,9,FALSE),VLOOKUP(AT$83,Cuision!$G:$P,10,FALSE)))</f>
        <v>4032.0333230985293</v>
      </c>
      <c r="AU119" s="33">
        <f>IF($A119=AU$83, 0, distance(VLOOKUP($A119,Cuision!$G:$P,9,FALSE),VLOOKUP($A119,Cuision!$G:$P,10,FALSE),VLOOKUP(AU$83,Cuision!$G:$P,9,FALSE),VLOOKUP(AU$83,Cuision!$G:$P,10,FALSE)))</f>
        <v>4719.4034751397712</v>
      </c>
      <c r="AV119" s="33">
        <f>IF($A119=AV$83, 0, distance(VLOOKUP($A119,Cuision!$G:$P,9,FALSE),VLOOKUP($A119,Cuision!$G:$P,10,FALSE),VLOOKUP(AV$83,Cuision!$G:$P,9,FALSE),VLOOKUP(AV$83,Cuision!$G:$P,10,FALSE)))</f>
        <v>8597.0978411684537</v>
      </c>
      <c r="AW119" s="33">
        <f>IF($A119=AW$83, 0, distance(VLOOKUP($A119,Cuision!$G:$P,9,FALSE),VLOOKUP($A119,Cuision!$G:$P,10,FALSE),VLOOKUP(AW$83,Cuision!$G:$P,9,FALSE),VLOOKUP(AW$83,Cuision!$G:$P,10,FALSE)))</f>
        <v>6527.8763187516315</v>
      </c>
      <c r="AX119" s="33">
        <f>IF($A119=AX$83, 0, distance(VLOOKUP($A119,Cuision!$G:$P,9,FALSE),VLOOKUP($A119,Cuision!$G:$P,10,FALSE),VLOOKUP(AX$83,Cuision!$G:$P,9,FALSE),VLOOKUP(AX$83,Cuision!$G:$P,10,FALSE)))</f>
        <v>6598.4325766178927</v>
      </c>
      <c r="AY119" s="33">
        <f>IF($A119=AY$83, 0, distance(VLOOKUP($A119,Cuision!$G:$P,9,FALSE),VLOOKUP($A119,Cuision!$G:$P,10,FALSE),VLOOKUP(AY$83,Cuision!$G:$P,9,FALSE),VLOOKUP(AY$83,Cuision!$G:$P,10,FALSE)))</f>
        <v>-1</v>
      </c>
      <c r="AZ119" s="33">
        <f>IF($A119=AZ$83, 0, distance(VLOOKUP($A119,Cuision!$G:$P,9,FALSE),VLOOKUP($A119,Cuision!$G:$P,10,FALSE),VLOOKUP(AZ$83,Cuision!$G:$P,9,FALSE),VLOOKUP(AZ$83,Cuision!$G:$P,10,FALSE)))</f>
        <v>6967.595822230247</v>
      </c>
      <c r="BA119" s="33">
        <f>IF($A119=BA$83, 0, distance(VLOOKUP($A119,Cuision!$G:$P,9,FALSE),VLOOKUP($A119,Cuision!$G:$P,10,FALSE),VLOOKUP(BA$83,Cuision!$G:$P,9,FALSE),VLOOKUP(BA$83,Cuision!$G:$P,10,FALSE)))</f>
        <v>8651.0480981809051</v>
      </c>
      <c r="BB119" s="33">
        <f>IF($A119=BB$83, 0, distance(VLOOKUP($A119,Cuision!$G:$P,9,FALSE),VLOOKUP($A119,Cuision!$G:$P,10,FALSE),VLOOKUP(BB$83,Cuision!$G:$P,9,FALSE),VLOOKUP(BB$83,Cuision!$G:$P,10,FALSE)))</f>
        <v>3654.6341877767054</v>
      </c>
      <c r="BC119" s="33">
        <f>IF($A119=BC$83, 0, distance(VLOOKUP($A119,Cuision!$G:$P,9,FALSE),VLOOKUP($A119,Cuision!$G:$P,10,FALSE),VLOOKUP(BC$83,Cuision!$G:$P,9,FALSE),VLOOKUP(BC$83,Cuision!$G:$P,10,FALSE)))</f>
        <v>8828.9357682627578</v>
      </c>
      <c r="BD119" s="33">
        <f>IF($A119=BD$83, 0, distance(VLOOKUP($A119,Cuision!$G:$P,9,FALSE),VLOOKUP($A119,Cuision!$G:$P,10,FALSE),VLOOKUP(BD$83,Cuision!$G:$P,9,FALSE),VLOOKUP(BD$83,Cuision!$G:$P,10,FALSE)))</f>
        <v>5542.3448182835773</v>
      </c>
      <c r="BE119" s="33">
        <f>IF($A119=BE$83, 0, distance(VLOOKUP($A119,Cuision!$G:$P,9,FALSE),VLOOKUP($A119,Cuision!$G:$P,10,FALSE),VLOOKUP(BE$83,Cuision!$G:$P,9,FALSE),VLOOKUP(BE$83,Cuision!$G:$P,10,FALSE)))</f>
        <v>8182.0842485105613</v>
      </c>
      <c r="BF119" s="33">
        <f>IF($A119=BF$83, 0, distance(VLOOKUP($A119,Cuision!$G:$P,9,FALSE),VLOOKUP($A119,Cuision!$G:$P,10,FALSE),VLOOKUP(BF$83,Cuision!$G:$P,9,FALSE),VLOOKUP(BF$83,Cuision!$G:$P,10,FALSE)))</f>
        <v>7541.2409987305091</v>
      </c>
      <c r="BG119" s="33">
        <f>IF($A119=BG$83, 0, distance(VLOOKUP($A119,Cuision!$G:$P,9,FALSE),VLOOKUP($A119,Cuision!$G:$P,10,FALSE),VLOOKUP(BG$83,Cuision!$G:$P,9,FALSE),VLOOKUP(BG$83,Cuision!$G:$P,10,FALSE)))</f>
        <v>8208.5620557130642</v>
      </c>
      <c r="BH119" s="33">
        <f>IF($A119=BH$83, 0, distance(VLOOKUP($A119,Cuision!$G:$P,9,FALSE),VLOOKUP($A119,Cuision!$G:$P,10,FALSE),VLOOKUP(BH$83,Cuision!$G:$P,9,FALSE),VLOOKUP(BH$83,Cuision!$G:$P,10,FALSE)))</f>
        <v>5775.7094701914239</v>
      </c>
      <c r="BI119" s="33">
        <f>IF($A119=BI$83, 0, distance(VLOOKUP($A119,Cuision!$G:$P,9,FALSE),VLOOKUP($A119,Cuision!$G:$P,10,FALSE),VLOOKUP(BI$83,Cuision!$G:$P,9,FALSE),VLOOKUP(BI$83,Cuision!$G:$P,10,FALSE)))</f>
        <v>7448.7281022794868</v>
      </c>
      <c r="BJ119" s="33">
        <f>IF($A119=BJ$83, 0, distance(VLOOKUP($A119,Cuision!$G:$P,9,FALSE),VLOOKUP($A119,Cuision!$G:$P,10,FALSE),VLOOKUP(BJ$83,Cuision!$G:$P,9,FALSE),VLOOKUP(BJ$83,Cuision!$G:$P,10,FALSE)))</f>
        <v>7840.890556497623</v>
      </c>
      <c r="BK119" s="33">
        <f>IF($A119=BK$83, 0, distance(VLOOKUP($A119,Cuision!$G:$P,9,FALSE),VLOOKUP($A119,Cuision!$G:$P,10,FALSE),VLOOKUP(BK$83,Cuision!$G:$P,9,FALSE),VLOOKUP(BK$83,Cuision!$G:$P,10,FALSE)))</f>
        <v>7152.7109816739048</v>
      </c>
      <c r="BL119" s="33">
        <f>IF($A119=BL$83, 0, distance(VLOOKUP($A119,Cuision!$G:$P,9,FALSE),VLOOKUP($A119,Cuision!$G:$P,10,FALSE),VLOOKUP(BL$83,Cuision!$G:$P,9,FALSE),VLOOKUP(BL$83,Cuision!$G:$P,10,FALSE)))</f>
        <v>-1</v>
      </c>
      <c r="BM119" s="33">
        <f>IF($A119=BM$83, 0, distance(VLOOKUP($A119,Cuision!$G:$P,9,FALSE),VLOOKUP($A119,Cuision!$G:$P,10,FALSE),VLOOKUP(BM$83,Cuision!$G:$P,9,FALSE),VLOOKUP(BM$83,Cuision!$G:$P,10,FALSE)))</f>
        <v>-1</v>
      </c>
      <c r="BN119" s="33">
        <f>IF($A119=BN$83, 0, distance(VLOOKUP($A119,Cuision!$G:$P,9,FALSE),VLOOKUP($A119,Cuision!$G:$P,10,FALSE),VLOOKUP(BN$83,Cuision!$G:$P,9,FALSE),VLOOKUP(BN$83,Cuision!$G:$P,10,FALSE)))</f>
        <v>7283.7203694867039</v>
      </c>
      <c r="BO119" s="33">
        <f>IF($A119=BO$83, 0, distance(VLOOKUP($A119,Cuision!$G:$P,9,FALSE),VLOOKUP($A119,Cuision!$G:$P,10,FALSE),VLOOKUP(BO$83,Cuision!$G:$P,9,FALSE),VLOOKUP(BO$83,Cuision!$G:$P,10,FALSE)))</f>
        <v>6873.2065151404695</v>
      </c>
      <c r="BP119" s="33">
        <f>IF($A119=BP$83, 0, distance(VLOOKUP($A119,Cuision!$G:$P,9,FALSE),VLOOKUP($A119,Cuision!$G:$P,10,FALSE),VLOOKUP(BP$83,Cuision!$G:$P,9,FALSE),VLOOKUP(BP$83,Cuision!$G:$P,10,FALSE)))</f>
        <v>7713.1266356037104</v>
      </c>
      <c r="BQ119" s="33">
        <f>IF($A119=BQ$83, 0, distance(VLOOKUP($A119,Cuision!$G:$P,9,FALSE),VLOOKUP($A119,Cuision!$G:$P,10,FALSE),VLOOKUP(BQ$83,Cuision!$G:$P,9,FALSE),VLOOKUP(BQ$83,Cuision!$G:$P,10,FALSE)))</f>
        <v>-1</v>
      </c>
      <c r="BR119" s="33">
        <f>IF($A119=BR$83, 0, distance(VLOOKUP($A119,Cuision!$G:$P,9,FALSE),VLOOKUP($A119,Cuision!$G:$P,10,FALSE),VLOOKUP(BR$83,Cuision!$G:$P,9,FALSE),VLOOKUP(BR$83,Cuision!$G:$P,10,FALSE)))</f>
        <v>4764.224348016216</v>
      </c>
      <c r="BS119" s="33">
        <f>IF($A119=BS$83, 0, distance(VLOOKUP($A119,Cuision!$G:$P,9,FALSE),VLOOKUP($A119,Cuision!$G:$P,10,FALSE),VLOOKUP(BS$83,Cuision!$G:$P,9,FALSE),VLOOKUP(BS$83,Cuision!$G:$P,10,FALSE)))</f>
        <v>5245.2042244274962</v>
      </c>
      <c r="BT119" s="33">
        <f>IF($A119=BT$83, 0, distance(VLOOKUP($A119,Cuision!$G:$P,9,FALSE),VLOOKUP($A119,Cuision!$G:$P,10,FALSE),VLOOKUP(BT$83,Cuision!$G:$P,9,FALSE),VLOOKUP(BT$83,Cuision!$G:$P,10,FALSE)))</f>
        <v>7893.5443895767303</v>
      </c>
      <c r="BU119" s="33">
        <f>IF($A119=BU$83, 0, distance(VLOOKUP($A119,Cuision!$G:$P,9,FALSE),VLOOKUP($A119,Cuision!$G:$P,10,FALSE),VLOOKUP(BU$83,Cuision!$G:$P,9,FALSE),VLOOKUP(BU$83,Cuision!$G:$P,10,FALSE)))</f>
        <v>6769.2899187036928</v>
      </c>
      <c r="BV119" s="33">
        <f>IF($A119=BV$83, 0, distance(VLOOKUP($A119,Cuision!$G:$P,9,FALSE),VLOOKUP($A119,Cuision!$G:$P,10,FALSE),VLOOKUP(BV$83,Cuision!$G:$P,9,FALSE),VLOOKUP(BV$83,Cuision!$G:$P,10,FALSE)))</f>
        <v>8267.8475493551086</v>
      </c>
      <c r="BW119" s="33">
        <f>IF($A119=BW$83, 0, distance(VLOOKUP($A119,Cuision!$G:$P,9,FALSE),VLOOKUP($A119,Cuision!$G:$P,10,FALSE),VLOOKUP(BW$83,Cuision!$G:$P,9,FALSE),VLOOKUP(BW$83,Cuision!$G:$P,10,FALSE)))</f>
        <v>7561.6879738896341</v>
      </c>
      <c r="BX119" s="33">
        <f>IF($A119=BX$83, 0, distance(VLOOKUP($A119,Cuision!$G:$P,9,FALSE),VLOOKUP($A119,Cuision!$G:$P,10,FALSE),VLOOKUP(BX$83,Cuision!$G:$P,9,FALSE),VLOOKUP(BX$83,Cuision!$G:$P,10,FALSE)))</f>
        <v>7329.5646561113399</v>
      </c>
      <c r="BY119" s="33">
        <f>IF($A119=BY$83, 0, distance(VLOOKUP($A119,Cuision!$G:$P,9,FALSE),VLOOKUP($A119,Cuision!$G:$P,10,FALSE),VLOOKUP(BY$83,Cuision!$G:$P,9,FALSE),VLOOKUP(BY$83,Cuision!$G:$P,10,FALSE)))</f>
        <v>-1</v>
      </c>
      <c r="BZ119" s="33">
        <f>IF($A119=BZ$83, 0, distance(VLOOKUP($A119,Cuision!$G:$P,9,FALSE),VLOOKUP($A119,Cuision!$G:$P,10,FALSE),VLOOKUP(BZ$83,Cuision!$G:$P,9,FALSE),VLOOKUP(BZ$83,Cuision!$G:$P,10,FALSE)))</f>
        <v>-1</v>
      </c>
      <c r="CA119" s="33">
        <f>IF($A119=CA$83, 0, distance(VLOOKUP($A119,Cuision!$G:$P,9,FALSE),VLOOKUP($A119,Cuision!$G:$P,10,FALSE),VLOOKUP(CA$83,Cuision!$G:$P,9,FALSE),VLOOKUP(CA$83,Cuision!$G:$P,10,FALSE)))</f>
        <v>6253.0715680942812</v>
      </c>
    </row>
    <row r="120" spans="1:79" ht="14.25" x14ac:dyDescent="0.2">
      <c r="A120" s="30" t="s">
        <v>86</v>
      </c>
      <c r="B120" s="33">
        <f>IF($A120=B$83, 0, distance(VLOOKUP($A120,Cuision!$G:$P,9,FALSE),VLOOKUP($A120,Cuision!$G:$P,10,FALSE),VLOOKUP(B$83,Cuision!$G:$P,9,FALSE),VLOOKUP(B$83,Cuision!$G:$P,10,FALSE)))</f>
        <v>1063.6434721314754</v>
      </c>
      <c r="C120" s="33">
        <f>IF($A120=C$83, 0, distance(VLOOKUP($A120,Cuision!$G:$P,9,FALSE),VLOOKUP($A120,Cuision!$G:$P,10,FALSE),VLOOKUP(C$83,Cuision!$G:$P,9,FALSE),VLOOKUP(C$83,Cuision!$G:$P,10,FALSE)))</f>
        <v>4227.5696442858225</v>
      </c>
      <c r="D120" s="33">
        <f>IF($A120=D$83, 0, distance(VLOOKUP($A120,Cuision!$G:$P,9,FALSE),VLOOKUP($A120,Cuision!$G:$P,10,FALSE),VLOOKUP(D$83,Cuision!$G:$P,9,FALSE),VLOOKUP(D$83,Cuision!$G:$P,10,FALSE)))</f>
        <v>7696.0794592044522</v>
      </c>
      <c r="E120" s="33">
        <f>IF($A120=E$83, 0, distance(VLOOKUP($A120,Cuision!$G:$P,9,FALSE),VLOOKUP($A120,Cuision!$G:$P,10,FALSE),VLOOKUP(E$83,Cuision!$G:$P,9,FALSE),VLOOKUP(E$83,Cuision!$G:$P,10,FALSE)))</f>
        <v>7696.0794592044522</v>
      </c>
      <c r="F120" s="33">
        <f>IF($A120=F$83, 0, distance(VLOOKUP($A120,Cuision!$G:$P,9,FALSE),VLOOKUP($A120,Cuision!$G:$P,10,FALSE),VLOOKUP(F$83,Cuision!$G:$P,9,FALSE),VLOOKUP(F$83,Cuision!$G:$P,10,FALSE)))</f>
        <v>2584.7265178800044</v>
      </c>
      <c r="G120" s="33">
        <f>IF($A120=G$83, 0, distance(VLOOKUP($A120,Cuision!$G:$P,9,FALSE),VLOOKUP($A120,Cuision!$G:$P,10,FALSE),VLOOKUP(G$83,Cuision!$G:$P,9,FALSE),VLOOKUP(G$83,Cuision!$G:$P,10,FALSE)))</f>
        <v>10249.838260672603</v>
      </c>
      <c r="H120" s="33">
        <f>IF($A120=H$83, 0, distance(VLOOKUP($A120,Cuision!$G:$P,9,FALSE),VLOOKUP($A120,Cuision!$G:$P,10,FALSE),VLOOKUP(H$83,Cuision!$G:$P,9,FALSE),VLOOKUP(H$83,Cuision!$G:$P,10,FALSE)))</f>
        <v>2467.6809369210878</v>
      </c>
      <c r="I120" s="33">
        <f>IF($A120=I$83, 0, distance(VLOOKUP($A120,Cuision!$G:$P,9,FALSE),VLOOKUP($A120,Cuision!$G:$P,10,FALSE),VLOOKUP(I$83,Cuision!$G:$P,9,FALSE),VLOOKUP(I$83,Cuision!$G:$P,10,FALSE)))</f>
        <v>1006.2025741025151</v>
      </c>
      <c r="J120" s="33">
        <f>IF($A120=J$83, 0, distance(VLOOKUP($A120,Cuision!$G:$P,9,FALSE),VLOOKUP($A120,Cuision!$G:$P,10,FALSE),VLOOKUP(J$83,Cuision!$G:$P,9,FALSE),VLOOKUP(J$83,Cuision!$G:$P,10,FALSE)))</f>
        <v>6018.0319812756979</v>
      </c>
      <c r="K120" s="33">
        <f>IF($A120=K$83, 0, distance(VLOOKUP($A120,Cuision!$G:$P,9,FALSE),VLOOKUP($A120,Cuision!$G:$P,10,FALSE),VLOOKUP(K$83,Cuision!$G:$P,9,FALSE),VLOOKUP(K$83,Cuision!$G:$P,10,FALSE)))</f>
        <v>3872.2973000650868</v>
      </c>
      <c r="L120" s="33">
        <f>IF($A120=L$83, 0, distance(VLOOKUP($A120,Cuision!$G:$P,9,FALSE),VLOOKUP($A120,Cuision!$G:$P,10,FALSE),VLOOKUP(L$83,Cuision!$G:$P,9,FALSE),VLOOKUP(L$83,Cuision!$G:$P,10,FALSE)))</f>
        <v>419.90087023469204</v>
      </c>
      <c r="M120" s="33">
        <f>IF($A120=M$83, 0, distance(VLOOKUP($A120,Cuision!$G:$P,9,FALSE),VLOOKUP($A120,Cuision!$G:$P,10,FALSE),VLOOKUP(M$83,Cuision!$G:$P,9,FALSE),VLOOKUP(M$83,Cuision!$G:$P,10,FALSE)))</f>
        <v>-1</v>
      </c>
      <c r="N120" s="33">
        <f>IF($A120=N$83, 0, distance(VLOOKUP($A120,Cuision!$G:$P,9,FALSE),VLOOKUP($A120,Cuision!$G:$P,10,FALSE),VLOOKUP(N$83,Cuision!$G:$P,9,FALSE),VLOOKUP(N$83,Cuision!$G:$P,10,FALSE)))</f>
        <v>4958.2001222956069</v>
      </c>
      <c r="O120" s="33">
        <f>IF($A120=O$83, 0, distance(VLOOKUP($A120,Cuision!$G:$P,9,FALSE),VLOOKUP($A120,Cuision!$G:$P,10,FALSE),VLOOKUP(O$83,Cuision!$G:$P,9,FALSE),VLOOKUP(O$83,Cuision!$G:$P,10,FALSE)))</f>
        <v>4378.2727259254261</v>
      </c>
      <c r="P120" s="33">
        <f>IF($A120=P$83, 0, distance(VLOOKUP($A120,Cuision!$G:$P,9,FALSE),VLOOKUP($A120,Cuision!$G:$P,10,FALSE),VLOOKUP(P$83,Cuision!$G:$P,9,FALSE),VLOOKUP(P$83,Cuision!$G:$P,10,FALSE)))</f>
        <v>9344.5313803699919</v>
      </c>
      <c r="Q120" s="33">
        <f>IF($A120=Q$83, 0, distance(VLOOKUP($A120,Cuision!$G:$P,9,FALSE),VLOOKUP($A120,Cuision!$G:$P,10,FALSE),VLOOKUP(Q$83,Cuision!$G:$P,9,FALSE),VLOOKUP(Q$83,Cuision!$G:$P,10,FALSE)))</f>
        <v>-1</v>
      </c>
      <c r="R120" s="33">
        <f>IF($A120=R$83, 0, distance(VLOOKUP($A120,Cuision!$G:$P,9,FALSE),VLOOKUP($A120,Cuision!$G:$P,10,FALSE),VLOOKUP(R$83,Cuision!$G:$P,9,FALSE),VLOOKUP(R$83,Cuision!$G:$P,10,FALSE)))</f>
        <v>4556.397932645692</v>
      </c>
      <c r="S120" s="33">
        <f>IF($A120=S$83, 0, distance(VLOOKUP($A120,Cuision!$G:$P,9,FALSE),VLOOKUP($A120,Cuision!$G:$P,10,FALSE),VLOOKUP(S$83,Cuision!$G:$P,9,FALSE),VLOOKUP(S$83,Cuision!$G:$P,10,FALSE)))</f>
        <v>-1</v>
      </c>
      <c r="T120" s="33">
        <f>IF($A120=T$83, 0, distance(VLOOKUP($A120,Cuision!$G:$P,9,FALSE),VLOOKUP($A120,Cuision!$G:$P,10,FALSE),VLOOKUP(T$83,Cuision!$G:$P,9,FALSE),VLOOKUP(T$83,Cuision!$G:$P,10,FALSE)))</f>
        <v>876.23395987845367</v>
      </c>
      <c r="U120" s="33">
        <f>IF($A120=U$83, 0, distance(VLOOKUP($A120,Cuision!$G:$P,9,FALSE),VLOOKUP($A120,Cuision!$G:$P,10,FALSE),VLOOKUP(U$83,Cuision!$G:$P,9,FALSE),VLOOKUP(U$83,Cuision!$G:$P,10,FALSE)))</f>
        <v>-1</v>
      </c>
      <c r="V120" s="33">
        <f>IF($A120=V$83, 0, distance(VLOOKUP($A120,Cuision!$G:$P,9,FALSE),VLOOKUP($A120,Cuision!$G:$P,10,FALSE),VLOOKUP(V$83,Cuision!$G:$P,9,FALSE),VLOOKUP(V$83,Cuision!$G:$P,10,FALSE)))</f>
        <v>7696.0794592044522</v>
      </c>
      <c r="W120" s="33">
        <f>IF($A120=W$83, 0, distance(VLOOKUP($A120,Cuision!$G:$P,9,FALSE),VLOOKUP($A120,Cuision!$G:$P,10,FALSE),VLOOKUP(W$83,Cuision!$G:$P,9,FALSE),VLOOKUP(W$83,Cuision!$G:$P,10,FALSE)))</f>
        <v>1689.2391783643959</v>
      </c>
      <c r="X120" s="33">
        <f>IF($A120=X$83, 0, distance(VLOOKUP($A120,Cuision!$G:$P,9,FALSE),VLOOKUP($A120,Cuision!$G:$P,10,FALSE),VLOOKUP(X$83,Cuision!$G:$P,9,FALSE),VLOOKUP(X$83,Cuision!$G:$P,10,FALSE)))</f>
        <v>4958.2001222956069</v>
      </c>
      <c r="Y120" s="33">
        <f>IF($A120=Y$83, 0, distance(VLOOKUP($A120,Cuision!$G:$P,9,FALSE),VLOOKUP($A120,Cuision!$G:$P,10,FALSE),VLOOKUP(Y$83,Cuision!$G:$P,9,FALSE),VLOOKUP(Y$83,Cuision!$G:$P,10,FALSE)))</f>
        <v>1960.1784584809275</v>
      </c>
      <c r="Z120" s="33">
        <f>IF($A120=Z$83, 0, distance(VLOOKUP($A120,Cuision!$G:$P,9,FALSE),VLOOKUP($A120,Cuision!$G:$P,10,FALSE),VLOOKUP(Z$83,Cuision!$G:$P,9,FALSE),VLOOKUP(Z$83,Cuision!$G:$P,10,FALSE)))</f>
        <v>-1</v>
      </c>
      <c r="AA120" s="33">
        <f>IF($A120=AA$83, 0, distance(VLOOKUP($A120,Cuision!$G:$P,9,FALSE),VLOOKUP($A120,Cuision!$G:$P,10,FALSE),VLOOKUP(AA$83,Cuision!$G:$P,9,FALSE),VLOOKUP(AA$83,Cuision!$G:$P,10,FALSE)))</f>
        <v>8829.8342716959705</v>
      </c>
      <c r="AB120" s="33">
        <f>IF($A120=AB$83, 0, distance(VLOOKUP($A120,Cuision!$G:$P,9,FALSE),VLOOKUP($A120,Cuision!$G:$P,10,FALSE),VLOOKUP(AB$83,Cuision!$G:$P,9,FALSE),VLOOKUP(AB$83,Cuision!$G:$P,10,FALSE)))</f>
        <v>3948.5196154144774</v>
      </c>
      <c r="AC120" s="33">
        <f>IF($A120=AC$83, 0, distance(VLOOKUP($A120,Cuision!$G:$P,9,FALSE),VLOOKUP($A120,Cuision!$G:$P,10,FALSE),VLOOKUP(AC$83,Cuision!$G:$P,9,FALSE),VLOOKUP(AC$83,Cuision!$G:$P,10,FALSE)))</f>
        <v>3290.1433965552865</v>
      </c>
      <c r="AD120" s="33">
        <f>IF($A120=AD$83, 0, distance(VLOOKUP($A120,Cuision!$G:$P,9,FALSE),VLOOKUP($A120,Cuision!$G:$P,10,FALSE),VLOOKUP(AD$83,Cuision!$G:$P,9,FALSE),VLOOKUP(AD$83,Cuision!$G:$P,10,FALSE)))</f>
        <v>2458.1307506224207</v>
      </c>
      <c r="AE120" s="33">
        <f>IF($A120=AE$83, 0, distance(VLOOKUP($A120,Cuision!$G:$P,9,FALSE),VLOOKUP($A120,Cuision!$G:$P,10,FALSE),VLOOKUP(AE$83,Cuision!$G:$P,9,FALSE),VLOOKUP(AE$83,Cuision!$G:$P,10,FALSE)))</f>
        <v>3997.3008933938663</v>
      </c>
      <c r="AF120" s="33">
        <f>IF($A120=AF$83, 0, distance(VLOOKUP($A120,Cuision!$G:$P,9,FALSE),VLOOKUP($A120,Cuision!$G:$P,10,FALSE),VLOOKUP(AF$83,Cuision!$G:$P,9,FALSE),VLOOKUP(AF$83,Cuision!$G:$P,10,FALSE)))</f>
        <v>4496.4872980845712</v>
      </c>
      <c r="AG120" s="33">
        <f>IF($A120=AG$83, 0, distance(VLOOKUP($A120,Cuision!$G:$P,9,FALSE),VLOOKUP($A120,Cuision!$G:$P,10,FALSE),VLOOKUP(AG$83,Cuision!$G:$P,9,FALSE),VLOOKUP(AG$83,Cuision!$G:$P,10,FALSE)))</f>
        <v>3977.9758623917128</v>
      </c>
      <c r="AH120" s="33">
        <f>IF($A120=AH$83, 0, distance(VLOOKUP($A120,Cuision!$G:$P,9,FALSE),VLOOKUP($A120,Cuision!$G:$P,10,FALSE),VLOOKUP(AH$83,Cuision!$G:$P,9,FALSE),VLOOKUP(AH$83,Cuision!$G:$P,10,FALSE)))</f>
        <v>-1</v>
      </c>
      <c r="AI120" s="33">
        <f>IF($A120=AI$83, 0, distance(VLOOKUP($A120,Cuision!$G:$P,9,FALSE),VLOOKUP($A120,Cuision!$G:$P,10,FALSE),VLOOKUP(AI$83,Cuision!$G:$P,9,FALSE),VLOOKUP(AI$83,Cuision!$G:$P,10,FALSE)))</f>
        <v>3580.9650646203809</v>
      </c>
      <c r="AJ120" s="33">
        <f>IF($A120=AJ$83, 0, distance(VLOOKUP($A120,Cuision!$G:$P,9,FALSE),VLOOKUP($A120,Cuision!$G:$P,10,FALSE),VLOOKUP(AJ$83,Cuision!$G:$P,9,FALSE),VLOOKUP(AJ$83,Cuision!$G:$P,10,FALSE)))</f>
        <v>2584.7265178800044</v>
      </c>
      <c r="AK120" s="33">
        <f>IF($A120=AK$83, 0, distance(VLOOKUP($A120,Cuision!$G:$P,9,FALSE),VLOOKUP($A120,Cuision!$G:$P,10,FALSE),VLOOKUP(AK$83,Cuision!$G:$P,9,FALSE),VLOOKUP(AK$83,Cuision!$G:$P,10,FALSE)))</f>
        <v>7204.7075099537769</v>
      </c>
      <c r="AL120" s="33">
        <f>IF($A120=AL$83, 0, distance(VLOOKUP($A120,Cuision!$G:$P,9,FALSE),VLOOKUP($A120,Cuision!$G:$P,10,FALSE),VLOOKUP(AL$83,Cuision!$G:$P,9,FALSE),VLOOKUP(AL$83,Cuision!$G:$P,10,FALSE)))</f>
        <v>0</v>
      </c>
      <c r="AM120" s="33">
        <f>IF($A120=AM$83, 0, distance(VLOOKUP($A120,Cuision!$G:$P,9,FALSE),VLOOKUP($A120,Cuision!$G:$P,10,FALSE),VLOOKUP(AM$83,Cuision!$G:$P,9,FALSE),VLOOKUP(AM$83,Cuision!$G:$P,10,FALSE)))</f>
        <v>-1</v>
      </c>
      <c r="AN120" s="33">
        <f>IF($A120=AN$83, 0, distance(VLOOKUP($A120,Cuision!$G:$P,9,FALSE),VLOOKUP($A120,Cuision!$G:$P,10,FALSE),VLOOKUP(AN$83,Cuision!$G:$P,9,FALSE),VLOOKUP(AN$83,Cuision!$G:$P,10,FALSE)))</f>
        <v>3752.572248724734</v>
      </c>
      <c r="AO120" s="33">
        <f>IF($A120=AO$83, 0, distance(VLOOKUP($A120,Cuision!$G:$P,9,FALSE),VLOOKUP($A120,Cuision!$G:$P,10,FALSE),VLOOKUP(AO$83,Cuision!$G:$P,9,FALSE),VLOOKUP(AO$83,Cuision!$G:$P,10,FALSE)))</f>
        <v>4958.2001222956069</v>
      </c>
      <c r="AP120" s="33">
        <f>IF($A120=AP$83, 0, distance(VLOOKUP($A120,Cuision!$G:$P,9,FALSE),VLOOKUP($A120,Cuision!$G:$P,10,FALSE),VLOOKUP(AP$83,Cuision!$G:$P,9,FALSE),VLOOKUP(AP$83,Cuision!$G:$P,10,FALSE)))</f>
        <v>497.49661255368045</v>
      </c>
      <c r="AQ120" s="33">
        <f>IF($A120=AQ$83, 0, distance(VLOOKUP($A120,Cuision!$G:$P,9,FALSE),VLOOKUP($A120,Cuision!$G:$P,10,FALSE),VLOOKUP(AQ$83,Cuision!$G:$P,9,FALSE),VLOOKUP(AQ$83,Cuision!$G:$P,10,FALSE)))</f>
        <v>2748.4456395929105</v>
      </c>
      <c r="AR120" s="33">
        <f>IF($A120=AR$83, 0, distance(VLOOKUP($A120,Cuision!$G:$P,9,FALSE),VLOOKUP($A120,Cuision!$G:$P,10,FALSE),VLOOKUP(AR$83,Cuision!$G:$P,9,FALSE),VLOOKUP(AR$83,Cuision!$G:$P,10,FALSE)))</f>
        <v>4556.397932645692</v>
      </c>
      <c r="AS120" s="33">
        <f>IF($A120=AS$83, 0, distance(VLOOKUP($A120,Cuision!$G:$P,9,FALSE),VLOOKUP($A120,Cuision!$G:$P,10,FALSE),VLOOKUP(AS$83,Cuision!$G:$P,9,FALSE),VLOOKUP(AS$83,Cuision!$G:$P,10,FALSE)))</f>
        <v>4123.2345144290375</v>
      </c>
      <c r="AT120" s="33">
        <f>IF($A120=AT$83, 0, distance(VLOOKUP($A120,Cuision!$G:$P,9,FALSE),VLOOKUP($A120,Cuision!$G:$P,10,FALSE),VLOOKUP(AT$83,Cuision!$G:$P,9,FALSE),VLOOKUP(AT$83,Cuision!$G:$P,10,FALSE)))</f>
        <v>3203.1406259206879</v>
      </c>
      <c r="AU120" s="33">
        <f>IF($A120=AU$83, 0, distance(VLOOKUP($A120,Cuision!$G:$P,9,FALSE),VLOOKUP($A120,Cuision!$G:$P,10,FALSE),VLOOKUP(AU$83,Cuision!$G:$P,9,FALSE),VLOOKUP(AU$83,Cuision!$G:$P,10,FALSE)))</f>
        <v>2495.9412961412809</v>
      </c>
      <c r="AV120" s="33">
        <f>IF($A120=AV$83, 0, distance(VLOOKUP($A120,Cuision!$G:$P,9,FALSE),VLOOKUP($A120,Cuision!$G:$P,10,FALSE),VLOOKUP(AV$83,Cuision!$G:$P,9,FALSE),VLOOKUP(AV$83,Cuision!$G:$P,10,FALSE)))</f>
        <v>3160.6293583199863</v>
      </c>
      <c r="AW120" s="33">
        <f>IF($A120=AW$83, 0, distance(VLOOKUP($A120,Cuision!$G:$P,9,FALSE),VLOOKUP($A120,Cuision!$G:$P,10,FALSE),VLOOKUP(AW$83,Cuision!$G:$P,9,FALSE),VLOOKUP(AW$83,Cuision!$G:$P,10,FALSE)))</f>
        <v>1287.1386996960459</v>
      </c>
      <c r="AX120" s="33">
        <f>IF($A120=AX$83, 0, distance(VLOOKUP($A120,Cuision!$G:$P,9,FALSE),VLOOKUP($A120,Cuision!$G:$P,10,FALSE),VLOOKUP(AX$83,Cuision!$G:$P,9,FALSE),VLOOKUP(AX$83,Cuision!$G:$P,10,FALSE)))</f>
        <v>9717.8885236056885</v>
      </c>
      <c r="AY120" s="33">
        <f>IF($A120=AY$83, 0, distance(VLOOKUP($A120,Cuision!$G:$P,9,FALSE),VLOOKUP($A120,Cuision!$G:$P,10,FALSE),VLOOKUP(AY$83,Cuision!$G:$P,9,FALSE),VLOOKUP(AY$83,Cuision!$G:$P,10,FALSE)))</f>
        <v>-1</v>
      </c>
      <c r="AZ120" s="33">
        <f>IF($A120=AZ$83, 0, distance(VLOOKUP($A120,Cuision!$G:$P,9,FALSE),VLOOKUP($A120,Cuision!$G:$P,10,FALSE),VLOOKUP(AZ$83,Cuision!$G:$P,9,FALSE),VLOOKUP(AZ$83,Cuision!$G:$P,10,FALSE)))</f>
        <v>2011.2042757063273</v>
      </c>
      <c r="BA120" s="33">
        <f>IF($A120=BA$83, 0, distance(VLOOKUP($A120,Cuision!$G:$P,9,FALSE),VLOOKUP($A120,Cuision!$G:$P,10,FALSE),VLOOKUP(BA$83,Cuision!$G:$P,9,FALSE),VLOOKUP(BA$83,Cuision!$G:$P,10,FALSE)))</f>
        <v>3934.6305327633045</v>
      </c>
      <c r="BB120" s="33">
        <f>IF($A120=BB$83, 0, distance(VLOOKUP($A120,Cuision!$G:$P,9,FALSE),VLOOKUP($A120,Cuision!$G:$P,10,FALSE),VLOOKUP(BB$83,Cuision!$G:$P,9,FALSE),VLOOKUP(BB$83,Cuision!$G:$P,10,FALSE)))</f>
        <v>9166.4145238558976</v>
      </c>
      <c r="BC120" s="33">
        <f>IF($A120=BC$83, 0, distance(VLOOKUP($A120,Cuision!$G:$P,9,FALSE),VLOOKUP($A120,Cuision!$G:$P,10,FALSE),VLOOKUP(BC$83,Cuision!$G:$P,9,FALSE),VLOOKUP(BC$83,Cuision!$G:$P,10,FALSE)))</f>
        <v>2584.7265178800044</v>
      </c>
      <c r="BD120" s="33">
        <f>IF($A120=BD$83, 0, distance(VLOOKUP($A120,Cuision!$G:$P,9,FALSE),VLOOKUP($A120,Cuision!$G:$P,10,FALSE),VLOOKUP(BD$83,Cuision!$G:$P,9,FALSE),VLOOKUP(BD$83,Cuision!$G:$P,10,FALSE)))</f>
        <v>1813.2870072008484</v>
      </c>
      <c r="BE120" s="33">
        <f>IF($A120=BE$83, 0, distance(VLOOKUP($A120,Cuision!$G:$P,9,FALSE),VLOOKUP($A120,Cuision!$G:$P,10,FALSE),VLOOKUP(BE$83,Cuision!$G:$P,9,FALSE),VLOOKUP(BE$83,Cuision!$G:$P,10,FALSE)))</f>
        <v>5289.3578334777412</v>
      </c>
      <c r="BF120" s="33">
        <f>IF($A120=BF$83, 0, distance(VLOOKUP($A120,Cuision!$G:$P,9,FALSE),VLOOKUP($A120,Cuision!$G:$P,10,FALSE),VLOOKUP(BF$83,Cuision!$G:$P,9,FALSE),VLOOKUP(BF$83,Cuision!$G:$P,10,FALSE)))</f>
        <v>838.77220273060414</v>
      </c>
      <c r="BG120" s="33">
        <f>IF($A120=BG$83, 0, distance(VLOOKUP($A120,Cuision!$G:$P,9,FALSE),VLOOKUP($A120,Cuision!$G:$P,10,FALSE),VLOOKUP(BG$83,Cuision!$G:$P,9,FALSE),VLOOKUP(BG$83,Cuision!$G:$P,10,FALSE)))</f>
        <v>2056.5861138231276</v>
      </c>
      <c r="BH120" s="33">
        <f>IF($A120=BH$83, 0, distance(VLOOKUP($A120,Cuision!$G:$P,9,FALSE),VLOOKUP($A120,Cuision!$G:$P,10,FALSE),VLOOKUP(BH$83,Cuision!$G:$P,9,FALSE),VLOOKUP(BH$83,Cuision!$G:$P,10,FALSE)))</f>
        <v>10863.559843675141</v>
      </c>
      <c r="BI120" s="33">
        <f>IF($A120=BI$83, 0, distance(VLOOKUP($A120,Cuision!$G:$P,9,FALSE),VLOOKUP($A120,Cuision!$G:$P,10,FALSE),VLOOKUP(BI$83,Cuision!$G:$P,9,FALSE),VLOOKUP(BI$83,Cuision!$G:$P,10,FALSE)))</f>
        <v>3658.2080615956324</v>
      </c>
      <c r="BJ120" s="33">
        <f>IF($A120=BJ$83, 0, distance(VLOOKUP($A120,Cuision!$G:$P,9,FALSE),VLOOKUP($A120,Cuision!$G:$P,10,FALSE),VLOOKUP(BJ$83,Cuision!$G:$P,9,FALSE),VLOOKUP(BJ$83,Cuision!$G:$P,10,FALSE)))</f>
        <v>5270.2248016218673</v>
      </c>
      <c r="BK120" s="33">
        <f>IF($A120=BK$83, 0, distance(VLOOKUP($A120,Cuision!$G:$P,9,FALSE),VLOOKUP($A120,Cuision!$G:$P,10,FALSE),VLOOKUP(BK$83,Cuision!$G:$P,9,FALSE),VLOOKUP(BK$83,Cuision!$G:$P,10,FALSE)))</f>
        <v>3038.4859103517124</v>
      </c>
      <c r="BL120" s="33">
        <f>IF($A120=BL$83, 0, distance(VLOOKUP($A120,Cuision!$G:$P,9,FALSE),VLOOKUP($A120,Cuision!$G:$P,10,FALSE),VLOOKUP(BL$83,Cuision!$G:$P,9,FALSE),VLOOKUP(BL$83,Cuision!$G:$P,10,FALSE)))</f>
        <v>-1</v>
      </c>
      <c r="BM120" s="33">
        <f>IF($A120=BM$83, 0, distance(VLOOKUP($A120,Cuision!$G:$P,9,FALSE),VLOOKUP($A120,Cuision!$G:$P,10,FALSE),VLOOKUP(BM$83,Cuision!$G:$P,9,FALSE),VLOOKUP(BM$83,Cuision!$G:$P,10,FALSE)))</f>
        <v>-1</v>
      </c>
      <c r="BN120" s="33">
        <f>IF($A120=BN$83, 0, distance(VLOOKUP($A120,Cuision!$G:$P,9,FALSE),VLOOKUP($A120,Cuision!$G:$P,10,FALSE),VLOOKUP(BN$83,Cuision!$G:$P,9,FALSE),VLOOKUP(BN$83,Cuision!$G:$P,10,FALSE)))</f>
        <v>4556.397932645692</v>
      </c>
      <c r="BO120" s="33">
        <f>IF($A120=BO$83, 0, distance(VLOOKUP($A120,Cuision!$G:$P,9,FALSE),VLOOKUP($A120,Cuision!$G:$P,10,FALSE),VLOOKUP(BO$83,Cuision!$G:$P,9,FALSE),VLOOKUP(BO$83,Cuision!$G:$P,10,FALSE)))</f>
        <v>2198.1738255048185</v>
      </c>
      <c r="BP120" s="33">
        <f>IF($A120=BP$83, 0, distance(VLOOKUP($A120,Cuision!$G:$P,9,FALSE),VLOOKUP($A120,Cuision!$G:$P,10,FALSE),VLOOKUP(BP$83,Cuision!$G:$P,9,FALSE),VLOOKUP(BP$83,Cuision!$G:$P,10,FALSE)))</f>
        <v>3838.6710385753067</v>
      </c>
      <c r="BQ120" s="33">
        <f>IF($A120=BQ$83, 0, distance(VLOOKUP($A120,Cuision!$G:$P,9,FALSE),VLOOKUP($A120,Cuision!$G:$P,10,FALSE),VLOOKUP(BQ$83,Cuision!$G:$P,9,FALSE),VLOOKUP(BQ$83,Cuision!$G:$P,10,FALSE)))</f>
        <v>-1</v>
      </c>
      <c r="BR120" s="33">
        <f>IF($A120=BR$83, 0, distance(VLOOKUP($A120,Cuision!$G:$P,9,FALSE),VLOOKUP($A120,Cuision!$G:$P,10,FALSE),VLOOKUP(BR$83,Cuision!$G:$P,9,FALSE),VLOOKUP(BR$83,Cuision!$G:$P,10,FALSE)))</f>
        <v>7696.0794592044522</v>
      </c>
      <c r="BS120" s="33">
        <f>IF($A120=BS$83, 0, distance(VLOOKUP($A120,Cuision!$G:$P,9,FALSE),VLOOKUP($A120,Cuision!$G:$P,10,FALSE),VLOOKUP(BS$83,Cuision!$G:$P,9,FALSE),VLOOKUP(BS$83,Cuision!$G:$P,10,FALSE)))</f>
        <v>1960.1784584809275</v>
      </c>
      <c r="BT120" s="33">
        <f>IF($A120=BT$83, 0, distance(VLOOKUP($A120,Cuision!$G:$P,9,FALSE),VLOOKUP($A120,Cuision!$G:$P,10,FALSE),VLOOKUP(BT$83,Cuision!$G:$P,9,FALSE),VLOOKUP(BT$83,Cuision!$G:$P,10,FALSE)))</f>
        <v>4958.2001222956069</v>
      </c>
      <c r="BU120" s="33">
        <f>IF($A120=BU$83, 0, distance(VLOOKUP($A120,Cuision!$G:$P,9,FALSE),VLOOKUP($A120,Cuision!$G:$P,10,FALSE),VLOOKUP(BU$83,Cuision!$G:$P,9,FALSE),VLOOKUP(BU$83,Cuision!$G:$P,10,FALSE)))</f>
        <v>1372.4409493528715</v>
      </c>
      <c r="BV120" s="33">
        <f>IF($A120=BV$83, 0, distance(VLOOKUP($A120,Cuision!$G:$P,9,FALSE),VLOOKUP($A120,Cuision!$G:$P,10,FALSE),VLOOKUP(BV$83,Cuision!$G:$P,9,FALSE),VLOOKUP(BV$83,Cuision!$G:$P,10,FALSE)))</f>
        <v>3081.8114152444878</v>
      </c>
      <c r="BW120" s="33">
        <f>IF($A120=BW$83, 0, distance(VLOOKUP($A120,Cuision!$G:$P,9,FALSE),VLOOKUP($A120,Cuision!$G:$P,10,FALSE),VLOOKUP(BW$83,Cuision!$G:$P,9,FALSE),VLOOKUP(BW$83,Cuision!$G:$P,10,FALSE)))</f>
        <v>3239.6157164682363</v>
      </c>
      <c r="BX120" s="33">
        <f>IF($A120=BX$83, 0, distance(VLOOKUP($A120,Cuision!$G:$P,9,FALSE),VLOOKUP($A120,Cuision!$G:$P,10,FALSE),VLOOKUP(BX$83,Cuision!$G:$P,9,FALSE),VLOOKUP(BX$83,Cuision!$G:$P,10,FALSE)))</f>
        <v>1306.5919816338649</v>
      </c>
      <c r="BY120" s="33">
        <f>IF($A120=BY$83, 0, distance(VLOOKUP($A120,Cuision!$G:$P,9,FALSE),VLOOKUP($A120,Cuision!$G:$P,10,FALSE),VLOOKUP(BY$83,Cuision!$G:$P,9,FALSE),VLOOKUP(BY$83,Cuision!$G:$P,10,FALSE)))</f>
        <v>-1</v>
      </c>
      <c r="BZ120" s="33">
        <f>IF($A120=BZ$83, 0, distance(VLOOKUP($A120,Cuision!$G:$P,9,FALSE),VLOOKUP($A120,Cuision!$G:$P,10,FALSE),VLOOKUP(BZ$83,Cuision!$G:$P,9,FALSE),VLOOKUP(BZ$83,Cuision!$G:$P,10,FALSE)))</f>
        <v>-1</v>
      </c>
      <c r="CA120" s="33">
        <f>IF($A120=CA$83, 0, distance(VLOOKUP($A120,Cuision!$G:$P,9,FALSE),VLOOKUP($A120,Cuision!$G:$P,10,FALSE),VLOOKUP(CA$83,Cuision!$G:$P,9,FALSE),VLOOKUP(CA$83,Cuision!$G:$P,10,FALSE)))</f>
        <v>1369.2600018365979</v>
      </c>
    </row>
    <row r="121" spans="1:79" ht="14.25" x14ac:dyDescent="0.2">
      <c r="A121" s="30" t="s">
        <v>87</v>
      </c>
      <c r="B121" s="33">
        <f>IF($A121=B$83, 0, distance(VLOOKUP($A121,Cuision!$G:$P,9,FALSE),VLOOKUP($A121,Cuision!$G:$P,10,FALSE),VLOOKUP(B$83,Cuision!$G:$P,9,FALSE),VLOOKUP(B$83,Cuision!$G:$P,10,FALSE)))</f>
        <v>-1</v>
      </c>
      <c r="C121" s="33">
        <f>IF($A121=C$83, 0, distance(VLOOKUP($A121,Cuision!$G:$P,9,FALSE),VLOOKUP($A121,Cuision!$G:$P,10,FALSE),VLOOKUP(C$83,Cuision!$G:$P,9,FALSE),VLOOKUP(C$83,Cuision!$G:$P,10,FALSE)))</f>
        <v>-1</v>
      </c>
      <c r="D121" s="33">
        <f>IF($A121=D$83, 0, distance(VLOOKUP($A121,Cuision!$G:$P,9,FALSE),VLOOKUP($A121,Cuision!$G:$P,10,FALSE),VLOOKUP(D$83,Cuision!$G:$P,9,FALSE),VLOOKUP(D$83,Cuision!$G:$P,10,FALSE)))</f>
        <v>-1</v>
      </c>
      <c r="E121" s="33">
        <f>IF($A121=E$83, 0, distance(VLOOKUP($A121,Cuision!$G:$P,9,FALSE),VLOOKUP($A121,Cuision!$G:$P,10,FALSE),VLOOKUP(E$83,Cuision!$G:$P,9,FALSE),VLOOKUP(E$83,Cuision!$G:$P,10,FALSE)))</f>
        <v>-1</v>
      </c>
      <c r="F121" s="33">
        <f>IF($A121=F$83, 0, distance(VLOOKUP($A121,Cuision!$G:$P,9,FALSE),VLOOKUP($A121,Cuision!$G:$P,10,FALSE),VLOOKUP(F$83,Cuision!$G:$P,9,FALSE),VLOOKUP(F$83,Cuision!$G:$P,10,FALSE)))</f>
        <v>-1</v>
      </c>
      <c r="G121" s="33">
        <f>IF($A121=G$83, 0, distance(VLOOKUP($A121,Cuision!$G:$P,9,FALSE),VLOOKUP($A121,Cuision!$G:$P,10,FALSE),VLOOKUP(G$83,Cuision!$G:$P,9,FALSE),VLOOKUP(G$83,Cuision!$G:$P,10,FALSE)))</f>
        <v>-1</v>
      </c>
      <c r="H121" s="33">
        <f>IF($A121=H$83, 0, distance(VLOOKUP($A121,Cuision!$G:$P,9,FALSE),VLOOKUP($A121,Cuision!$G:$P,10,FALSE),VLOOKUP(H$83,Cuision!$G:$P,9,FALSE),VLOOKUP(H$83,Cuision!$G:$P,10,FALSE)))</f>
        <v>-1</v>
      </c>
      <c r="I121" s="33">
        <f>IF($A121=I$83, 0, distance(VLOOKUP($A121,Cuision!$G:$P,9,FALSE),VLOOKUP($A121,Cuision!$G:$P,10,FALSE),VLOOKUP(I$83,Cuision!$G:$P,9,FALSE),VLOOKUP(I$83,Cuision!$G:$P,10,FALSE)))</f>
        <v>-1</v>
      </c>
      <c r="J121" s="33">
        <f>IF($A121=J$83, 0, distance(VLOOKUP($A121,Cuision!$G:$P,9,FALSE),VLOOKUP($A121,Cuision!$G:$P,10,FALSE),VLOOKUP(J$83,Cuision!$G:$P,9,FALSE),VLOOKUP(J$83,Cuision!$G:$P,10,FALSE)))</f>
        <v>-1</v>
      </c>
      <c r="K121" s="33">
        <f>IF($A121=K$83, 0, distance(VLOOKUP($A121,Cuision!$G:$P,9,FALSE),VLOOKUP($A121,Cuision!$G:$P,10,FALSE),VLOOKUP(K$83,Cuision!$G:$P,9,FALSE),VLOOKUP(K$83,Cuision!$G:$P,10,FALSE)))</f>
        <v>-1</v>
      </c>
      <c r="L121" s="33">
        <f>IF($A121=L$83, 0, distance(VLOOKUP($A121,Cuision!$G:$P,9,FALSE),VLOOKUP($A121,Cuision!$G:$P,10,FALSE),VLOOKUP(L$83,Cuision!$G:$P,9,FALSE),VLOOKUP(L$83,Cuision!$G:$P,10,FALSE)))</f>
        <v>-1</v>
      </c>
      <c r="M121" s="33">
        <f>IF($A121=M$83, 0, distance(VLOOKUP($A121,Cuision!$G:$P,9,FALSE),VLOOKUP($A121,Cuision!$G:$P,10,FALSE),VLOOKUP(M$83,Cuision!$G:$P,9,FALSE),VLOOKUP(M$83,Cuision!$G:$P,10,FALSE)))</f>
        <v>-1</v>
      </c>
      <c r="N121" s="33">
        <f>IF($A121=N$83, 0, distance(VLOOKUP($A121,Cuision!$G:$P,9,FALSE),VLOOKUP($A121,Cuision!$G:$P,10,FALSE),VLOOKUP(N$83,Cuision!$G:$P,9,FALSE),VLOOKUP(N$83,Cuision!$G:$P,10,FALSE)))</f>
        <v>-1</v>
      </c>
      <c r="O121" s="33">
        <f>IF($A121=O$83, 0, distance(VLOOKUP($A121,Cuision!$G:$P,9,FALSE),VLOOKUP($A121,Cuision!$G:$P,10,FALSE),VLOOKUP(O$83,Cuision!$G:$P,9,FALSE),VLOOKUP(O$83,Cuision!$G:$P,10,FALSE)))</f>
        <v>-1</v>
      </c>
      <c r="P121" s="33">
        <f>IF($A121=P$83, 0, distance(VLOOKUP($A121,Cuision!$G:$P,9,FALSE),VLOOKUP($A121,Cuision!$G:$P,10,FALSE),VLOOKUP(P$83,Cuision!$G:$P,9,FALSE),VLOOKUP(P$83,Cuision!$G:$P,10,FALSE)))</f>
        <v>-1</v>
      </c>
      <c r="Q121" s="33">
        <f>IF($A121=Q$83, 0, distance(VLOOKUP($A121,Cuision!$G:$P,9,FALSE),VLOOKUP($A121,Cuision!$G:$P,10,FALSE),VLOOKUP(Q$83,Cuision!$G:$P,9,FALSE),VLOOKUP(Q$83,Cuision!$G:$P,10,FALSE)))</f>
        <v>-1</v>
      </c>
      <c r="R121" s="33">
        <f>IF($A121=R$83, 0, distance(VLOOKUP($A121,Cuision!$G:$P,9,FALSE),VLOOKUP($A121,Cuision!$G:$P,10,FALSE),VLOOKUP(R$83,Cuision!$G:$P,9,FALSE),VLOOKUP(R$83,Cuision!$G:$P,10,FALSE)))</f>
        <v>-1</v>
      </c>
      <c r="S121" s="33">
        <f>IF($A121=S$83, 0, distance(VLOOKUP($A121,Cuision!$G:$P,9,FALSE),VLOOKUP($A121,Cuision!$G:$P,10,FALSE),VLOOKUP(S$83,Cuision!$G:$P,9,FALSE),VLOOKUP(S$83,Cuision!$G:$P,10,FALSE)))</f>
        <v>-1</v>
      </c>
      <c r="T121" s="33">
        <f>IF($A121=T$83, 0, distance(VLOOKUP($A121,Cuision!$G:$P,9,FALSE),VLOOKUP($A121,Cuision!$G:$P,10,FALSE),VLOOKUP(T$83,Cuision!$G:$P,9,FALSE),VLOOKUP(T$83,Cuision!$G:$P,10,FALSE)))</f>
        <v>-1</v>
      </c>
      <c r="U121" s="33">
        <f>IF($A121=U$83, 0, distance(VLOOKUP($A121,Cuision!$G:$P,9,FALSE),VLOOKUP($A121,Cuision!$G:$P,10,FALSE),VLOOKUP(U$83,Cuision!$G:$P,9,FALSE),VLOOKUP(U$83,Cuision!$G:$P,10,FALSE)))</f>
        <v>-1</v>
      </c>
      <c r="V121" s="33">
        <f>IF($A121=V$83, 0, distance(VLOOKUP($A121,Cuision!$G:$P,9,FALSE),VLOOKUP($A121,Cuision!$G:$P,10,FALSE),VLOOKUP(V$83,Cuision!$G:$P,9,FALSE),VLOOKUP(V$83,Cuision!$G:$P,10,FALSE)))</f>
        <v>-1</v>
      </c>
      <c r="W121" s="33">
        <f>IF($A121=W$83, 0, distance(VLOOKUP($A121,Cuision!$G:$P,9,FALSE),VLOOKUP($A121,Cuision!$G:$P,10,FALSE),VLOOKUP(W$83,Cuision!$G:$P,9,FALSE),VLOOKUP(W$83,Cuision!$G:$P,10,FALSE)))</f>
        <v>-1</v>
      </c>
      <c r="X121" s="33">
        <f>IF($A121=X$83, 0, distance(VLOOKUP($A121,Cuision!$G:$P,9,FALSE),VLOOKUP($A121,Cuision!$G:$P,10,FALSE),VLOOKUP(X$83,Cuision!$G:$P,9,FALSE),VLOOKUP(X$83,Cuision!$G:$P,10,FALSE)))</f>
        <v>-1</v>
      </c>
      <c r="Y121" s="33">
        <f>IF($A121=Y$83, 0, distance(VLOOKUP($A121,Cuision!$G:$P,9,FALSE),VLOOKUP($A121,Cuision!$G:$P,10,FALSE),VLOOKUP(Y$83,Cuision!$G:$P,9,FALSE),VLOOKUP(Y$83,Cuision!$G:$P,10,FALSE)))</f>
        <v>-1</v>
      </c>
      <c r="Z121" s="33">
        <f>IF($A121=Z$83, 0, distance(VLOOKUP($A121,Cuision!$G:$P,9,FALSE),VLOOKUP($A121,Cuision!$G:$P,10,FALSE),VLOOKUP(Z$83,Cuision!$G:$P,9,FALSE),VLOOKUP(Z$83,Cuision!$G:$P,10,FALSE)))</f>
        <v>-1</v>
      </c>
      <c r="AA121" s="33">
        <f>IF($A121=AA$83, 0, distance(VLOOKUP($A121,Cuision!$G:$P,9,FALSE),VLOOKUP($A121,Cuision!$G:$P,10,FALSE),VLOOKUP(AA$83,Cuision!$G:$P,9,FALSE),VLOOKUP(AA$83,Cuision!$G:$P,10,FALSE)))</f>
        <v>-1</v>
      </c>
      <c r="AB121" s="33">
        <f>IF($A121=AB$83, 0, distance(VLOOKUP($A121,Cuision!$G:$P,9,FALSE),VLOOKUP($A121,Cuision!$G:$P,10,FALSE),VLOOKUP(AB$83,Cuision!$G:$P,9,FALSE),VLOOKUP(AB$83,Cuision!$G:$P,10,FALSE)))</f>
        <v>-1</v>
      </c>
      <c r="AC121" s="33">
        <f>IF($A121=AC$83, 0, distance(VLOOKUP($A121,Cuision!$G:$P,9,FALSE),VLOOKUP($A121,Cuision!$G:$P,10,FALSE),VLOOKUP(AC$83,Cuision!$G:$P,9,FALSE),VLOOKUP(AC$83,Cuision!$G:$P,10,FALSE)))</f>
        <v>-1</v>
      </c>
      <c r="AD121" s="33">
        <f>IF($A121=AD$83, 0, distance(VLOOKUP($A121,Cuision!$G:$P,9,FALSE),VLOOKUP($A121,Cuision!$G:$P,10,FALSE),VLOOKUP(AD$83,Cuision!$G:$P,9,FALSE),VLOOKUP(AD$83,Cuision!$G:$P,10,FALSE)))</f>
        <v>-1</v>
      </c>
      <c r="AE121" s="33">
        <f>IF($A121=AE$83, 0, distance(VLOOKUP($A121,Cuision!$G:$P,9,FALSE),VLOOKUP($A121,Cuision!$G:$P,10,FALSE),VLOOKUP(AE$83,Cuision!$G:$P,9,FALSE),VLOOKUP(AE$83,Cuision!$G:$P,10,FALSE)))</f>
        <v>-1</v>
      </c>
      <c r="AF121" s="33">
        <f>IF($A121=AF$83, 0, distance(VLOOKUP($A121,Cuision!$G:$P,9,FALSE),VLOOKUP($A121,Cuision!$G:$P,10,FALSE),VLOOKUP(AF$83,Cuision!$G:$P,9,FALSE),VLOOKUP(AF$83,Cuision!$G:$P,10,FALSE)))</f>
        <v>-1</v>
      </c>
      <c r="AG121" s="33">
        <f>IF($A121=AG$83, 0, distance(VLOOKUP($A121,Cuision!$G:$P,9,FALSE),VLOOKUP($A121,Cuision!$G:$P,10,FALSE),VLOOKUP(AG$83,Cuision!$G:$P,9,FALSE),VLOOKUP(AG$83,Cuision!$G:$P,10,FALSE)))</f>
        <v>-1</v>
      </c>
      <c r="AH121" s="33">
        <f>IF($A121=AH$83, 0, distance(VLOOKUP($A121,Cuision!$G:$P,9,FALSE),VLOOKUP($A121,Cuision!$G:$P,10,FALSE),VLOOKUP(AH$83,Cuision!$G:$P,9,FALSE),VLOOKUP(AH$83,Cuision!$G:$P,10,FALSE)))</f>
        <v>-1</v>
      </c>
      <c r="AI121" s="33">
        <f>IF($A121=AI$83, 0, distance(VLOOKUP($A121,Cuision!$G:$P,9,FALSE),VLOOKUP($A121,Cuision!$G:$P,10,FALSE),VLOOKUP(AI$83,Cuision!$G:$P,9,FALSE),VLOOKUP(AI$83,Cuision!$G:$P,10,FALSE)))</f>
        <v>-1</v>
      </c>
      <c r="AJ121" s="33">
        <f>IF($A121=AJ$83, 0, distance(VLOOKUP($A121,Cuision!$G:$P,9,FALSE),VLOOKUP($A121,Cuision!$G:$P,10,FALSE),VLOOKUP(AJ$83,Cuision!$G:$P,9,FALSE),VLOOKUP(AJ$83,Cuision!$G:$P,10,FALSE)))</f>
        <v>-1</v>
      </c>
      <c r="AK121" s="33">
        <f>IF($A121=AK$83, 0, distance(VLOOKUP($A121,Cuision!$G:$P,9,FALSE),VLOOKUP($A121,Cuision!$G:$P,10,FALSE),VLOOKUP(AK$83,Cuision!$G:$P,9,FALSE),VLOOKUP(AK$83,Cuision!$G:$P,10,FALSE)))</f>
        <v>-1</v>
      </c>
      <c r="AL121" s="33">
        <f>IF($A121=AL$83, 0, distance(VLOOKUP($A121,Cuision!$G:$P,9,FALSE),VLOOKUP($A121,Cuision!$G:$P,10,FALSE),VLOOKUP(AL$83,Cuision!$G:$P,9,FALSE),VLOOKUP(AL$83,Cuision!$G:$P,10,FALSE)))</f>
        <v>-1</v>
      </c>
      <c r="AM121" s="33">
        <f>IF($A121=AM$83, 0, distance(VLOOKUP($A121,Cuision!$G:$P,9,FALSE),VLOOKUP($A121,Cuision!$G:$P,10,FALSE),VLOOKUP(AM$83,Cuision!$G:$P,9,FALSE),VLOOKUP(AM$83,Cuision!$G:$P,10,FALSE)))</f>
        <v>0</v>
      </c>
      <c r="AN121" s="33">
        <f>IF($A121=AN$83, 0, distance(VLOOKUP($A121,Cuision!$G:$P,9,FALSE),VLOOKUP($A121,Cuision!$G:$P,10,FALSE),VLOOKUP(AN$83,Cuision!$G:$P,9,FALSE),VLOOKUP(AN$83,Cuision!$G:$P,10,FALSE)))</f>
        <v>-1</v>
      </c>
      <c r="AO121" s="33">
        <f>IF($A121=AO$83, 0, distance(VLOOKUP($A121,Cuision!$G:$P,9,FALSE),VLOOKUP($A121,Cuision!$G:$P,10,FALSE),VLOOKUP(AO$83,Cuision!$G:$P,9,FALSE),VLOOKUP(AO$83,Cuision!$G:$P,10,FALSE)))</f>
        <v>-1</v>
      </c>
      <c r="AP121" s="33">
        <f>IF($A121=AP$83, 0, distance(VLOOKUP($A121,Cuision!$G:$P,9,FALSE),VLOOKUP($A121,Cuision!$G:$P,10,FALSE),VLOOKUP(AP$83,Cuision!$G:$P,9,FALSE),VLOOKUP(AP$83,Cuision!$G:$P,10,FALSE)))</f>
        <v>-1</v>
      </c>
      <c r="AQ121" s="33">
        <f>IF($A121=AQ$83, 0, distance(VLOOKUP($A121,Cuision!$G:$P,9,FALSE),VLOOKUP($A121,Cuision!$G:$P,10,FALSE),VLOOKUP(AQ$83,Cuision!$G:$P,9,FALSE),VLOOKUP(AQ$83,Cuision!$G:$P,10,FALSE)))</f>
        <v>-1</v>
      </c>
      <c r="AR121" s="33">
        <f>IF($A121=AR$83, 0, distance(VLOOKUP($A121,Cuision!$G:$P,9,FALSE),VLOOKUP($A121,Cuision!$G:$P,10,FALSE),VLOOKUP(AR$83,Cuision!$G:$P,9,FALSE),VLOOKUP(AR$83,Cuision!$G:$P,10,FALSE)))</f>
        <v>-1</v>
      </c>
      <c r="AS121" s="33">
        <f>IF($A121=AS$83, 0, distance(VLOOKUP($A121,Cuision!$G:$P,9,FALSE),VLOOKUP($A121,Cuision!$G:$P,10,FALSE),VLOOKUP(AS$83,Cuision!$G:$P,9,FALSE),VLOOKUP(AS$83,Cuision!$G:$P,10,FALSE)))</f>
        <v>-1</v>
      </c>
      <c r="AT121" s="33">
        <f>IF($A121=AT$83, 0, distance(VLOOKUP($A121,Cuision!$G:$P,9,FALSE),VLOOKUP($A121,Cuision!$G:$P,10,FALSE),VLOOKUP(AT$83,Cuision!$G:$P,9,FALSE),VLOOKUP(AT$83,Cuision!$G:$P,10,FALSE)))</f>
        <v>-1</v>
      </c>
      <c r="AU121" s="33">
        <f>IF($A121=AU$83, 0, distance(VLOOKUP($A121,Cuision!$G:$P,9,FALSE),VLOOKUP($A121,Cuision!$G:$P,10,FALSE),VLOOKUP(AU$83,Cuision!$G:$P,9,FALSE),VLOOKUP(AU$83,Cuision!$G:$P,10,FALSE)))</f>
        <v>-1</v>
      </c>
      <c r="AV121" s="33">
        <f>IF($A121=AV$83, 0, distance(VLOOKUP($A121,Cuision!$G:$P,9,FALSE),VLOOKUP($A121,Cuision!$G:$P,10,FALSE),VLOOKUP(AV$83,Cuision!$G:$P,9,FALSE),VLOOKUP(AV$83,Cuision!$G:$P,10,FALSE)))</f>
        <v>-1</v>
      </c>
      <c r="AW121" s="33">
        <f>IF($A121=AW$83, 0, distance(VLOOKUP($A121,Cuision!$G:$P,9,FALSE),VLOOKUP($A121,Cuision!$G:$P,10,FALSE),VLOOKUP(AW$83,Cuision!$G:$P,9,FALSE),VLOOKUP(AW$83,Cuision!$G:$P,10,FALSE)))</f>
        <v>-1</v>
      </c>
      <c r="AX121" s="33">
        <f>IF($A121=AX$83, 0, distance(VLOOKUP($A121,Cuision!$G:$P,9,FALSE),VLOOKUP($A121,Cuision!$G:$P,10,FALSE),VLOOKUP(AX$83,Cuision!$G:$P,9,FALSE),VLOOKUP(AX$83,Cuision!$G:$P,10,FALSE)))</f>
        <v>-1</v>
      </c>
      <c r="AY121" s="33">
        <f>IF($A121=AY$83, 0, distance(VLOOKUP($A121,Cuision!$G:$P,9,FALSE),VLOOKUP($A121,Cuision!$G:$P,10,FALSE),VLOOKUP(AY$83,Cuision!$G:$P,9,FALSE),VLOOKUP(AY$83,Cuision!$G:$P,10,FALSE)))</f>
        <v>-1</v>
      </c>
      <c r="AZ121" s="33">
        <f>IF($A121=AZ$83, 0, distance(VLOOKUP($A121,Cuision!$G:$P,9,FALSE),VLOOKUP($A121,Cuision!$G:$P,10,FALSE),VLOOKUP(AZ$83,Cuision!$G:$P,9,FALSE),VLOOKUP(AZ$83,Cuision!$G:$P,10,FALSE)))</f>
        <v>-1</v>
      </c>
      <c r="BA121" s="33">
        <f>IF($A121=BA$83, 0, distance(VLOOKUP($A121,Cuision!$G:$P,9,FALSE),VLOOKUP($A121,Cuision!$G:$P,10,FALSE),VLOOKUP(BA$83,Cuision!$G:$P,9,FALSE),VLOOKUP(BA$83,Cuision!$G:$P,10,FALSE)))</f>
        <v>-1</v>
      </c>
      <c r="BB121" s="33">
        <f>IF($A121=BB$83, 0, distance(VLOOKUP($A121,Cuision!$G:$P,9,FALSE),VLOOKUP($A121,Cuision!$G:$P,10,FALSE),VLOOKUP(BB$83,Cuision!$G:$P,9,FALSE),VLOOKUP(BB$83,Cuision!$G:$P,10,FALSE)))</f>
        <v>-1</v>
      </c>
      <c r="BC121" s="33">
        <f>IF($A121=BC$83, 0, distance(VLOOKUP($A121,Cuision!$G:$P,9,FALSE),VLOOKUP($A121,Cuision!$G:$P,10,FALSE),VLOOKUP(BC$83,Cuision!$G:$P,9,FALSE),VLOOKUP(BC$83,Cuision!$G:$P,10,FALSE)))</f>
        <v>-1</v>
      </c>
      <c r="BD121" s="33">
        <f>IF($A121=BD$83, 0, distance(VLOOKUP($A121,Cuision!$G:$P,9,FALSE),VLOOKUP($A121,Cuision!$G:$P,10,FALSE),VLOOKUP(BD$83,Cuision!$G:$P,9,FALSE),VLOOKUP(BD$83,Cuision!$G:$P,10,FALSE)))</f>
        <v>-1</v>
      </c>
      <c r="BE121" s="33">
        <f>IF($A121=BE$83, 0, distance(VLOOKUP($A121,Cuision!$G:$P,9,FALSE),VLOOKUP($A121,Cuision!$G:$P,10,FALSE),VLOOKUP(BE$83,Cuision!$G:$P,9,FALSE),VLOOKUP(BE$83,Cuision!$G:$P,10,FALSE)))</f>
        <v>-1</v>
      </c>
      <c r="BF121" s="33">
        <f>IF($A121=BF$83, 0, distance(VLOOKUP($A121,Cuision!$G:$P,9,FALSE),VLOOKUP($A121,Cuision!$G:$P,10,FALSE),VLOOKUP(BF$83,Cuision!$G:$P,9,FALSE),VLOOKUP(BF$83,Cuision!$G:$P,10,FALSE)))</f>
        <v>-1</v>
      </c>
      <c r="BG121" s="33">
        <f>IF($A121=BG$83, 0, distance(VLOOKUP($A121,Cuision!$G:$P,9,FALSE),VLOOKUP($A121,Cuision!$G:$P,10,FALSE),VLOOKUP(BG$83,Cuision!$G:$P,9,FALSE),VLOOKUP(BG$83,Cuision!$G:$P,10,FALSE)))</f>
        <v>-1</v>
      </c>
      <c r="BH121" s="33">
        <f>IF($A121=BH$83, 0, distance(VLOOKUP($A121,Cuision!$G:$P,9,FALSE),VLOOKUP($A121,Cuision!$G:$P,10,FALSE),VLOOKUP(BH$83,Cuision!$G:$P,9,FALSE),VLOOKUP(BH$83,Cuision!$G:$P,10,FALSE)))</f>
        <v>-1</v>
      </c>
      <c r="BI121" s="33">
        <f>IF($A121=BI$83, 0, distance(VLOOKUP($A121,Cuision!$G:$P,9,FALSE),VLOOKUP($A121,Cuision!$G:$P,10,FALSE),VLOOKUP(BI$83,Cuision!$G:$P,9,FALSE),VLOOKUP(BI$83,Cuision!$G:$P,10,FALSE)))</f>
        <v>-1</v>
      </c>
      <c r="BJ121" s="33">
        <f>IF($A121=BJ$83, 0, distance(VLOOKUP($A121,Cuision!$G:$P,9,FALSE),VLOOKUP($A121,Cuision!$G:$P,10,FALSE),VLOOKUP(BJ$83,Cuision!$G:$P,9,FALSE),VLOOKUP(BJ$83,Cuision!$G:$P,10,FALSE)))</f>
        <v>-1</v>
      </c>
      <c r="BK121" s="33">
        <f>IF($A121=BK$83, 0, distance(VLOOKUP($A121,Cuision!$G:$P,9,FALSE),VLOOKUP($A121,Cuision!$G:$P,10,FALSE),VLOOKUP(BK$83,Cuision!$G:$P,9,FALSE),VLOOKUP(BK$83,Cuision!$G:$P,10,FALSE)))</f>
        <v>-1</v>
      </c>
      <c r="BL121" s="33">
        <f>IF($A121=BL$83, 0, distance(VLOOKUP($A121,Cuision!$G:$P,9,FALSE),VLOOKUP($A121,Cuision!$G:$P,10,FALSE),VLOOKUP(BL$83,Cuision!$G:$P,9,FALSE),VLOOKUP(BL$83,Cuision!$G:$P,10,FALSE)))</f>
        <v>-1</v>
      </c>
      <c r="BM121" s="33">
        <f>IF($A121=BM$83, 0, distance(VLOOKUP($A121,Cuision!$G:$P,9,FALSE),VLOOKUP($A121,Cuision!$G:$P,10,FALSE),VLOOKUP(BM$83,Cuision!$G:$P,9,FALSE),VLOOKUP(BM$83,Cuision!$G:$P,10,FALSE)))</f>
        <v>-1</v>
      </c>
      <c r="BN121" s="33">
        <f>IF($A121=BN$83, 0, distance(VLOOKUP($A121,Cuision!$G:$P,9,FALSE),VLOOKUP($A121,Cuision!$G:$P,10,FALSE),VLOOKUP(BN$83,Cuision!$G:$P,9,FALSE),VLOOKUP(BN$83,Cuision!$G:$P,10,FALSE)))</f>
        <v>-1</v>
      </c>
      <c r="BO121" s="33">
        <f>IF($A121=BO$83, 0, distance(VLOOKUP($A121,Cuision!$G:$P,9,FALSE),VLOOKUP($A121,Cuision!$G:$P,10,FALSE),VLOOKUP(BO$83,Cuision!$G:$P,9,FALSE),VLOOKUP(BO$83,Cuision!$G:$P,10,FALSE)))</f>
        <v>-1</v>
      </c>
      <c r="BP121" s="33">
        <f>IF($A121=BP$83, 0, distance(VLOOKUP($A121,Cuision!$G:$P,9,FALSE),VLOOKUP($A121,Cuision!$G:$P,10,FALSE),VLOOKUP(BP$83,Cuision!$G:$P,9,FALSE),VLOOKUP(BP$83,Cuision!$G:$P,10,FALSE)))</f>
        <v>-1</v>
      </c>
      <c r="BQ121" s="33">
        <f>IF($A121=BQ$83, 0, distance(VLOOKUP($A121,Cuision!$G:$P,9,FALSE),VLOOKUP($A121,Cuision!$G:$P,10,FALSE),VLOOKUP(BQ$83,Cuision!$G:$P,9,FALSE),VLOOKUP(BQ$83,Cuision!$G:$P,10,FALSE)))</f>
        <v>-1</v>
      </c>
      <c r="BR121" s="33">
        <f>IF($A121=BR$83, 0, distance(VLOOKUP($A121,Cuision!$G:$P,9,FALSE),VLOOKUP($A121,Cuision!$G:$P,10,FALSE),VLOOKUP(BR$83,Cuision!$G:$P,9,FALSE),VLOOKUP(BR$83,Cuision!$G:$P,10,FALSE)))</f>
        <v>-1</v>
      </c>
      <c r="BS121" s="33">
        <f>IF($A121=BS$83, 0, distance(VLOOKUP($A121,Cuision!$G:$P,9,FALSE),VLOOKUP($A121,Cuision!$G:$P,10,FALSE),VLOOKUP(BS$83,Cuision!$G:$P,9,FALSE),VLOOKUP(BS$83,Cuision!$G:$P,10,FALSE)))</f>
        <v>-1</v>
      </c>
      <c r="BT121" s="33">
        <f>IF($A121=BT$83, 0, distance(VLOOKUP($A121,Cuision!$G:$P,9,FALSE),VLOOKUP($A121,Cuision!$G:$P,10,FALSE),VLOOKUP(BT$83,Cuision!$G:$P,9,FALSE),VLOOKUP(BT$83,Cuision!$G:$P,10,FALSE)))</f>
        <v>-1</v>
      </c>
      <c r="BU121" s="33">
        <f>IF($A121=BU$83, 0, distance(VLOOKUP($A121,Cuision!$G:$P,9,FALSE),VLOOKUP($A121,Cuision!$G:$P,10,FALSE),VLOOKUP(BU$83,Cuision!$G:$P,9,FALSE),VLOOKUP(BU$83,Cuision!$G:$P,10,FALSE)))</f>
        <v>-1</v>
      </c>
      <c r="BV121" s="33">
        <f>IF($A121=BV$83, 0, distance(VLOOKUP($A121,Cuision!$G:$P,9,FALSE),VLOOKUP($A121,Cuision!$G:$P,10,FALSE),VLOOKUP(BV$83,Cuision!$G:$P,9,FALSE),VLOOKUP(BV$83,Cuision!$G:$P,10,FALSE)))</f>
        <v>-1</v>
      </c>
      <c r="BW121" s="33">
        <f>IF($A121=BW$83, 0, distance(VLOOKUP($A121,Cuision!$G:$P,9,FALSE),VLOOKUP($A121,Cuision!$G:$P,10,FALSE),VLOOKUP(BW$83,Cuision!$G:$P,9,FALSE),VLOOKUP(BW$83,Cuision!$G:$P,10,FALSE)))</f>
        <v>-1</v>
      </c>
      <c r="BX121" s="33">
        <f>IF($A121=BX$83, 0, distance(VLOOKUP($A121,Cuision!$G:$P,9,FALSE),VLOOKUP($A121,Cuision!$G:$P,10,FALSE),VLOOKUP(BX$83,Cuision!$G:$P,9,FALSE),VLOOKUP(BX$83,Cuision!$G:$P,10,FALSE)))</f>
        <v>-1</v>
      </c>
      <c r="BY121" s="33">
        <f>IF($A121=BY$83, 0, distance(VLOOKUP($A121,Cuision!$G:$P,9,FALSE),VLOOKUP($A121,Cuision!$G:$P,10,FALSE),VLOOKUP(BY$83,Cuision!$G:$P,9,FALSE),VLOOKUP(BY$83,Cuision!$G:$P,10,FALSE)))</f>
        <v>-1</v>
      </c>
      <c r="BZ121" s="33">
        <f>IF($A121=BZ$83, 0, distance(VLOOKUP($A121,Cuision!$G:$P,9,FALSE),VLOOKUP($A121,Cuision!$G:$P,10,FALSE),VLOOKUP(BZ$83,Cuision!$G:$P,9,FALSE),VLOOKUP(BZ$83,Cuision!$G:$P,10,FALSE)))</f>
        <v>-1</v>
      </c>
      <c r="CA121" s="33">
        <f>IF($A121=CA$83, 0, distance(VLOOKUP($A121,Cuision!$G:$P,9,FALSE),VLOOKUP($A121,Cuision!$G:$P,10,FALSE),VLOOKUP(CA$83,Cuision!$G:$P,9,FALSE),VLOOKUP(CA$83,Cuision!$G:$P,10,FALSE)))</f>
        <v>-1</v>
      </c>
    </row>
    <row r="122" spans="1:79" ht="14.25" x14ac:dyDescent="0.2">
      <c r="A122" s="30" t="s">
        <v>88</v>
      </c>
      <c r="B122" s="33">
        <f>IF($A122=B$83, 0, distance(VLOOKUP($A122,Cuision!$G:$P,9,FALSE),VLOOKUP($A122,Cuision!$G:$P,10,FALSE),VLOOKUP(B$83,Cuision!$G:$P,9,FALSE),VLOOKUP(B$83,Cuision!$G:$P,10,FALSE)))</f>
        <v>2709.8256959710302</v>
      </c>
      <c r="C122" s="33">
        <f>IF($A122=C$83, 0, distance(VLOOKUP($A122,Cuision!$G:$P,9,FALSE),VLOOKUP($A122,Cuision!$G:$P,10,FALSE),VLOOKUP(C$83,Cuision!$G:$P,9,FALSE),VLOOKUP(C$83,Cuision!$G:$P,10,FALSE)))</f>
        <v>4002.623723808671</v>
      </c>
      <c r="D122" s="33">
        <f>IF($A122=D$83, 0, distance(VLOOKUP($A122,Cuision!$G:$P,9,FALSE),VLOOKUP($A122,Cuision!$G:$P,10,FALSE),VLOOKUP(D$83,Cuision!$G:$P,9,FALSE),VLOOKUP(D$83,Cuision!$G:$P,10,FALSE)))</f>
        <v>4557.5219504867046</v>
      </c>
      <c r="E122" s="33">
        <f>IF($A122=E$83, 0, distance(VLOOKUP($A122,Cuision!$G:$P,9,FALSE),VLOOKUP($A122,Cuision!$G:$P,10,FALSE),VLOOKUP(E$83,Cuision!$G:$P,9,FALSE),VLOOKUP(E$83,Cuision!$G:$P,10,FALSE)))</f>
        <v>4557.5219504867046</v>
      </c>
      <c r="F122" s="33">
        <f>IF($A122=F$83, 0, distance(VLOOKUP($A122,Cuision!$G:$P,9,FALSE),VLOOKUP($A122,Cuision!$G:$P,10,FALSE),VLOOKUP(F$83,Cuision!$G:$P,9,FALSE),VLOOKUP(F$83,Cuision!$G:$P,10,FALSE)))</f>
        <v>1775.8304240609064</v>
      </c>
      <c r="G122" s="33">
        <f>IF($A122=G$83, 0, distance(VLOOKUP($A122,Cuision!$G:$P,9,FALSE),VLOOKUP($A122,Cuision!$G:$P,10,FALSE),VLOOKUP(G$83,Cuision!$G:$P,9,FALSE),VLOOKUP(G$83,Cuision!$G:$P,10,FALSE)))</f>
        <v>7414.5317180095135</v>
      </c>
      <c r="H122" s="33">
        <f>IF($A122=H$83, 0, distance(VLOOKUP($A122,Cuision!$G:$P,9,FALSE),VLOOKUP($A122,Cuision!$G:$P,10,FALSE),VLOOKUP(H$83,Cuision!$G:$P,9,FALSE),VLOOKUP(H$83,Cuision!$G:$P,10,FALSE)))</f>
        <v>1358.5615546556053</v>
      </c>
      <c r="I122" s="33">
        <f>IF($A122=I$83, 0, distance(VLOOKUP($A122,Cuision!$G:$P,9,FALSE),VLOOKUP($A122,Cuision!$G:$P,10,FALSE),VLOOKUP(I$83,Cuision!$G:$P,9,FALSE),VLOOKUP(I$83,Cuision!$G:$P,10,FALSE)))</f>
        <v>4169.3085752934694</v>
      </c>
      <c r="J122" s="33">
        <f>IF($A122=J$83, 0, distance(VLOOKUP($A122,Cuision!$G:$P,9,FALSE),VLOOKUP($A122,Cuision!$G:$P,10,FALSE),VLOOKUP(J$83,Cuision!$G:$P,9,FALSE),VLOOKUP(J$83,Cuision!$G:$P,10,FALSE)))</f>
        <v>9766.017495715616</v>
      </c>
      <c r="K122" s="33">
        <f>IF($A122=K$83, 0, distance(VLOOKUP($A122,Cuision!$G:$P,9,FALSE),VLOOKUP($A122,Cuision!$G:$P,10,FALSE),VLOOKUP(K$83,Cuision!$G:$P,9,FALSE),VLOOKUP(K$83,Cuision!$G:$P,10,FALSE)))</f>
        <v>133.13769951031017</v>
      </c>
      <c r="L122" s="33">
        <f>IF($A122=L$83, 0, distance(VLOOKUP($A122,Cuision!$G:$P,9,FALSE),VLOOKUP($A122,Cuision!$G:$P,10,FALSE),VLOOKUP(L$83,Cuision!$G:$P,9,FALSE),VLOOKUP(L$83,Cuision!$G:$P,10,FALSE)))</f>
        <v>4172.4576363261831</v>
      </c>
      <c r="M122" s="33">
        <f>IF($A122=M$83, 0, distance(VLOOKUP($A122,Cuision!$G:$P,9,FALSE),VLOOKUP($A122,Cuision!$G:$P,10,FALSE),VLOOKUP(M$83,Cuision!$G:$P,9,FALSE),VLOOKUP(M$83,Cuision!$G:$P,10,FALSE)))</f>
        <v>-1</v>
      </c>
      <c r="N122" s="33">
        <f>IF($A122=N$83, 0, distance(VLOOKUP($A122,Cuision!$G:$P,9,FALSE),VLOOKUP($A122,Cuision!$G:$P,10,FALSE),VLOOKUP(N$83,Cuision!$G:$P,9,FALSE),VLOOKUP(N$83,Cuision!$G:$P,10,FALSE)))</f>
        <v>1226.3582670805197</v>
      </c>
      <c r="O122" s="33">
        <f>IF($A122=O$83, 0, distance(VLOOKUP($A122,Cuision!$G:$P,9,FALSE),VLOOKUP($A122,Cuision!$G:$P,10,FALSE),VLOOKUP(O$83,Cuision!$G:$P,9,FALSE),VLOOKUP(O$83,Cuision!$G:$P,10,FALSE)))</f>
        <v>701.28946530383689</v>
      </c>
      <c r="P122" s="33">
        <f>IF($A122=P$83, 0, distance(VLOOKUP($A122,Cuision!$G:$P,9,FALSE),VLOOKUP($A122,Cuision!$G:$P,10,FALSE),VLOOKUP(P$83,Cuision!$G:$P,9,FALSE),VLOOKUP(P$83,Cuision!$G:$P,10,FALSE)))</f>
        <v>6004.8652435523318</v>
      </c>
      <c r="Q122" s="33">
        <f>IF($A122=Q$83, 0, distance(VLOOKUP($A122,Cuision!$G:$P,9,FALSE),VLOOKUP($A122,Cuision!$G:$P,10,FALSE),VLOOKUP(Q$83,Cuision!$G:$P,9,FALSE),VLOOKUP(Q$83,Cuision!$G:$P,10,FALSE)))</f>
        <v>-1</v>
      </c>
      <c r="R122" s="33">
        <f>IF($A122=R$83, 0, distance(VLOOKUP($A122,Cuision!$G:$P,9,FALSE),VLOOKUP($A122,Cuision!$G:$P,10,FALSE),VLOOKUP(R$83,Cuision!$G:$P,9,FALSE),VLOOKUP(R$83,Cuision!$G:$P,10,FALSE)))</f>
        <v>900.52613160456258</v>
      </c>
      <c r="S122" s="33">
        <f>IF($A122=S$83, 0, distance(VLOOKUP($A122,Cuision!$G:$P,9,FALSE),VLOOKUP($A122,Cuision!$G:$P,10,FALSE),VLOOKUP(S$83,Cuision!$G:$P,9,FALSE),VLOOKUP(S$83,Cuision!$G:$P,10,FALSE)))</f>
        <v>-1</v>
      </c>
      <c r="T122" s="33">
        <f>IF($A122=T$83, 0, distance(VLOOKUP($A122,Cuision!$G:$P,9,FALSE),VLOOKUP($A122,Cuision!$G:$P,10,FALSE),VLOOKUP(T$83,Cuision!$G:$P,9,FALSE),VLOOKUP(T$83,Cuision!$G:$P,10,FALSE)))</f>
        <v>4627.0136856554218</v>
      </c>
      <c r="U122" s="33">
        <f>IF($A122=U$83, 0, distance(VLOOKUP($A122,Cuision!$G:$P,9,FALSE),VLOOKUP($A122,Cuision!$G:$P,10,FALSE),VLOOKUP(U$83,Cuision!$G:$P,9,FALSE),VLOOKUP(U$83,Cuision!$G:$P,10,FALSE)))</f>
        <v>-1</v>
      </c>
      <c r="V122" s="33">
        <f>IF($A122=V$83, 0, distance(VLOOKUP($A122,Cuision!$G:$P,9,FALSE),VLOOKUP($A122,Cuision!$G:$P,10,FALSE),VLOOKUP(V$83,Cuision!$G:$P,9,FALSE),VLOOKUP(V$83,Cuision!$G:$P,10,FALSE)))</f>
        <v>4557.5219504867046</v>
      </c>
      <c r="W122" s="33">
        <f>IF($A122=W$83, 0, distance(VLOOKUP($A122,Cuision!$G:$P,9,FALSE),VLOOKUP($A122,Cuision!$G:$P,10,FALSE),VLOOKUP(W$83,Cuision!$G:$P,9,FALSE),VLOOKUP(W$83,Cuision!$G:$P,10,FALSE)))</f>
        <v>5439.9929392062559</v>
      </c>
      <c r="X122" s="33">
        <f>IF($A122=X$83, 0, distance(VLOOKUP($A122,Cuision!$G:$P,9,FALSE),VLOOKUP($A122,Cuision!$G:$P,10,FALSE),VLOOKUP(X$83,Cuision!$G:$P,9,FALSE),VLOOKUP(X$83,Cuision!$G:$P,10,FALSE)))</f>
        <v>1226.3582670805197</v>
      </c>
      <c r="Y122" s="33">
        <f>IF($A122=Y$83, 0, distance(VLOOKUP($A122,Cuision!$G:$P,9,FALSE),VLOOKUP($A122,Cuision!$G:$P,10,FALSE),VLOOKUP(Y$83,Cuision!$G:$P,9,FALSE),VLOOKUP(Y$83,Cuision!$G:$P,10,FALSE)))</f>
        <v>4560.3581609949579</v>
      </c>
      <c r="Z122" s="33">
        <f>IF($A122=Z$83, 0, distance(VLOOKUP($A122,Cuision!$G:$P,9,FALSE),VLOOKUP($A122,Cuision!$G:$P,10,FALSE),VLOOKUP(Z$83,Cuision!$G:$P,9,FALSE),VLOOKUP(Z$83,Cuision!$G:$P,10,FALSE)))</f>
        <v>-1</v>
      </c>
      <c r="AA122" s="33">
        <f>IF($A122=AA$83, 0, distance(VLOOKUP($A122,Cuision!$G:$P,9,FALSE),VLOOKUP($A122,Cuision!$G:$P,10,FALSE),VLOOKUP(AA$83,Cuision!$G:$P,9,FALSE),VLOOKUP(AA$83,Cuision!$G:$P,10,FALSE)))</f>
        <v>5555.5035237521834</v>
      </c>
      <c r="AB122" s="33">
        <f>IF($A122=AB$83, 0, distance(VLOOKUP($A122,Cuision!$G:$P,9,FALSE),VLOOKUP($A122,Cuision!$G:$P,10,FALSE),VLOOKUP(AB$83,Cuision!$G:$P,9,FALSE),VLOOKUP(AB$83,Cuision!$G:$P,10,FALSE)))</f>
        <v>276.01510253658654</v>
      </c>
      <c r="AC122" s="33">
        <f>IF($A122=AC$83, 0, distance(VLOOKUP($A122,Cuision!$G:$P,9,FALSE),VLOOKUP($A122,Cuision!$G:$P,10,FALSE),VLOOKUP(AC$83,Cuision!$G:$P,9,FALSE),VLOOKUP(AC$83,Cuision!$G:$P,10,FALSE)))</f>
        <v>2898.2974639371701</v>
      </c>
      <c r="AD122" s="33">
        <f>IF($A122=AD$83, 0, distance(VLOOKUP($A122,Cuision!$G:$P,9,FALSE),VLOOKUP($A122,Cuision!$G:$P,10,FALSE),VLOOKUP(AD$83,Cuision!$G:$P,9,FALSE),VLOOKUP(AD$83,Cuision!$G:$P,10,FALSE)))</f>
        <v>6017.761205239477</v>
      </c>
      <c r="AE122" s="33">
        <f>IF($A122=AE$83, 0, distance(VLOOKUP($A122,Cuision!$G:$P,9,FALSE),VLOOKUP($A122,Cuision!$G:$P,10,FALSE),VLOOKUP(AE$83,Cuision!$G:$P,9,FALSE),VLOOKUP(AE$83,Cuision!$G:$P,10,FALSE)))</f>
        <v>1053.8471387649245</v>
      </c>
      <c r="AF122" s="33">
        <f>IF($A122=AF$83, 0, distance(VLOOKUP($A122,Cuision!$G:$P,9,FALSE),VLOOKUP($A122,Cuision!$G:$P,10,FALSE),VLOOKUP(AF$83,Cuision!$G:$P,9,FALSE),VLOOKUP(AF$83,Cuision!$G:$P,10,FALSE)))</f>
        <v>773.01037670018877</v>
      </c>
      <c r="AG122" s="33">
        <f>IF($A122=AG$83, 0, distance(VLOOKUP($A122,Cuision!$G:$P,9,FALSE),VLOOKUP($A122,Cuision!$G:$P,10,FALSE),VLOOKUP(AG$83,Cuision!$G:$P,9,FALSE),VLOOKUP(AG$83,Cuision!$G:$P,10,FALSE)))</f>
        <v>427.2481493023617</v>
      </c>
      <c r="AH122" s="33">
        <f>IF($A122=AH$83, 0, distance(VLOOKUP($A122,Cuision!$G:$P,9,FALSE),VLOOKUP($A122,Cuision!$G:$P,10,FALSE),VLOOKUP(AH$83,Cuision!$G:$P,9,FALSE),VLOOKUP(AH$83,Cuision!$G:$P,10,FALSE)))</f>
        <v>-1</v>
      </c>
      <c r="AI122" s="33">
        <f>IF($A122=AI$83, 0, distance(VLOOKUP($A122,Cuision!$G:$P,9,FALSE),VLOOKUP($A122,Cuision!$G:$P,10,FALSE),VLOOKUP(AI$83,Cuision!$G:$P,9,FALSE),VLOOKUP(AI$83,Cuision!$G:$P,10,FALSE)))</f>
        <v>698.95258807520588</v>
      </c>
      <c r="AJ122" s="33">
        <f>IF($A122=AJ$83, 0, distance(VLOOKUP($A122,Cuision!$G:$P,9,FALSE),VLOOKUP($A122,Cuision!$G:$P,10,FALSE),VLOOKUP(AJ$83,Cuision!$G:$P,9,FALSE),VLOOKUP(AJ$83,Cuision!$G:$P,10,FALSE)))</f>
        <v>1775.8304240609064</v>
      </c>
      <c r="AK122" s="33">
        <f>IF($A122=AK$83, 0, distance(VLOOKUP($A122,Cuision!$G:$P,9,FALSE),VLOOKUP($A122,Cuision!$G:$P,10,FALSE),VLOOKUP(AK$83,Cuision!$G:$P,9,FALSE),VLOOKUP(AK$83,Cuision!$G:$P,10,FALSE)))</f>
        <v>7767.7776528488721</v>
      </c>
      <c r="AL122" s="33">
        <f>IF($A122=AL$83, 0, distance(VLOOKUP($A122,Cuision!$G:$P,9,FALSE),VLOOKUP($A122,Cuision!$G:$P,10,FALSE),VLOOKUP(AL$83,Cuision!$G:$P,9,FALSE),VLOOKUP(AL$83,Cuision!$G:$P,10,FALSE)))</f>
        <v>3752.572248724734</v>
      </c>
      <c r="AM122" s="33">
        <f>IF($A122=AM$83, 0, distance(VLOOKUP($A122,Cuision!$G:$P,9,FALSE),VLOOKUP($A122,Cuision!$G:$P,10,FALSE),VLOOKUP(AM$83,Cuision!$G:$P,9,FALSE),VLOOKUP(AM$83,Cuision!$G:$P,10,FALSE)))</f>
        <v>-1</v>
      </c>
      <c r="AN122" s="33">
        <f>IF($A122=AN$83, 0, distance(VLOOKUP($A122,Cuision!$G:$P,9,FALSE),VLOOKUP($A122,Cuision!$G:$P,10,FALSE),VLOOKUP(AN$83,Cuision!$G:$P,9,FALSE),VLOOKUP(AN$83,Cuision!$G:$P,10,FALSE)))</f>
        <v>0</v>
      </c>
      <c r="AO122" s="33">
        <f>IF($A122=AO$83, 0, distance(VLOOKUP($A122,Cuision!$G:$P,9,FALSE),VLOOKUP($A122,Cuision!$G:$P,10,FALSE),VLOOKUP(AO$83,Cuision!$G:$P,9,FALSE),VLOOKUP(AO$83,Cuision!$G:$P,10,FALSE)))</f>
        <v>1226.3582670805197</v>
      </c>
      <c r="AP122" s="33">
        <f>IF($A122=AP$83, 0, distance(VLOOKUP($A122,Cuision!$G:$P,9,FALSE),VLOOKUP($A122,Cuision!$G:$P,10,FALSE),VLOOKUP(AP$83,Cuision!$G:$P,9,FALSE),VLOOKUP(AP$83,Cuision!$G:$P,10,FALSE)))</f>
        <v>3332.9397386244718</v>
      </c>
      <c r="AQ122" s="33">
        <f>IF($A122=AQ$83, 0, distance(VLOOKUP($A122,Cuision!$G:$P,9,FALSE),VLOOKUP($A122,Cuision!$G:$P,10,FALSE),VLOOKUP(AQ$83,Cuision!$G:$P,9,FALSE),VLOOKUP(AQ$83,Cuision!$G:$P,10,FALSE)))</f>
        <v>6432.3165712422478</v>
      </c>
      <c r="AR122" s="33">
        <f>IF($A122=AR$83, 0, distance(VLOOKUP($A122,Cuision!$G:$P,9,FALSE),VLOOKUP($A122,Cuision!$G:$P,10,FALSE),VLOOKUP(AR$83,Cuision!$G:$P,9,FALSE),VLOOKUP(AR$83,Cuision!$G:$P,10,FALSE)))</f>
        <v>900.52613160456258</v>
      </c>
      <c r="AS122" s="33">
        <f>IF($A122=AS$83, 0, distance(VLOOKUP($A122,Cuision!$G:$P,9,FALSE),VLOOKUP($A122,Cuision!$G:$P,10,FALSE),VLOOKUP(AS$83,Cuision!$G:$P,9,FALSE),VLOOKUP(AS$83,Cuision!$G:$P,10,FALSE)))</f>
        <v>503.63618549999444</v>
      </c>
      <c r="AT122" s="33">
        <f>IF($A122=AT$83, 0, distance(VLOOKUP($A122,Cuision!$G:$P,9,FALSE),VLOOKUP($A122,Cuision!$G:$P,10,FALSE),VLOOKUP(AT$83,Cuision!$G:$P,9,FALSE),VLOOKUP(AT$83,Cuision!$G:$P,10,FALSE)))</f>
        <v>5620.4566228176518</v>
      </c>
      <c r="AU122" s="33">
        <f>IF($A122=AU$83, 0, distance(VLOOKUP($A122,Cuision!$G:$P,9,FALSE),VLOOKUP($A122,Cuision!$G:$P,10,FALSE),VLOOKUP(AU$83,Cuision!$G:$P,9,FALSE),VLOOKUP(AU$83,Cuision!$G:$P,10,FALSE)))</f>
        <v>5075.694340578767</v>
      </c>
      <c r="AV122" s="33">
        <f>IF($A122=AV$83, 0, distance(VLOOKUP($A122,Cuision!$G:$P,9,FALSE),VLOOKUP($A122,Cuision!$G:$P,10,FALSE),VLOOKUP(AV$83,Cuision!$G:$P,9,FALSE),VLOOKUP(AV$83,Cuision!$G:$P,10,FALSE)))</f>
        <v>1071.4630355315232</v>
      </c>
      <c r="AW122" s="33">
        <f>IF($A122=AW$83, 0, distance(VLOOKUP($A122,Cuision!$G:$P,9,FALSE),VLOOKUP($A122,Cuision!$G:$P,10,FALSE),VLOOKUP(AW$83,Cuision!$G:$P,9,FALSE),VLOOKUP(AW$83,Cuision!$G:$P,10,FALSE)))</f>
        <v>5013.8480951704159</v>
      </c>
      <c r="AX122" s="33">
        <f>IF($A122=AX$83, 0, distance(VLOOKUP($A122,Cuision!$G:$P,9,FALSE),VLOOKUP($A122,Cuision!$G:$P,10,FALSE),VLOOKUP(AX$83,Cuision!$G:$P,9,FALSE),VLOOKUP(AX$83,Cuision!$G:$P,10,FALSE)))</f>
        <v>5997.8483671609565</v>
      </c>
      <c r="AY122" s="33">
        <f>IF($A122=AY$83, 0, distance(VLOOKUP($A122,Cuision!$G:$P,9,FALSE),VLOOKUP($A122,Cuision!$G:$P,10,FALSE),VLOOKUP(AY$83,Cuision!$G:$P,9,FALSE),VLOOKUP(AY$83,Cuision!$G:$P,10,FALSE)))</f>
        <v>-1</v>
      </c>
      <c r="AZ122" s="33">
        <f>IF($A122=AZ$83, 0, distance(VLOOKUP($A122,Cuision!$G:$P,9,FALSE),VLOOKUP($A122,Cuision!$G:$P,10,FALSE),VLOOKUP(AZ$83,Cuision!$G:$P,9,FALSE),VLOOKUP(AZ$83,Cuision!$G:$P,10,FALSE)))</f>
        <v>5715.2633868203375</v>
      </c>
      <c r="BA122" s="33">
        <f>IF($A122=BA$83, 0, distance(VLOOKUP($A122,Cuision!$G:$P,9,FALSE),VLOOKUP($A122,Cuision!$G:$P,10,FALSE),VLOOKUP(BA$83,Cuision!$G:$P,9,FALSE),VLOOKUP(BA$83,Cuision!$G:$P,10,FALSE)))</f>
        <v>895.97161176129418</v>
      </c>
      <c r="BB122" s="33">
        <f>IF($A122=BB$83, 0, distance(VLOOKUP($A122,Cuision!$G:$P,9,FALSE),VLOOKUP($A122,Cuision!$G:$P,10,FALSE),VLOOKUP(BB$83,Cuision!$G:$P,9,FALSE),VLOOKUP(BB$83,Cuision!$G:$P,10,FALSE)))</f>
        <v>6437.9763718358099</v>
      </c>
      <c r="BC122" s="33">
        <f>IF($A122=BC$83, 0, distance(VLOOKUP($A122,Cuision!$G:$P,9,FALSE),VLOOKUP($A122,Cuision!$G:$P,10,FALSE),VLOOKUP(BC$83,Cuision!$G:$P,9,FALSE),VLOOKUP(BC$83,Cuision!$G:$P,10,FALSE)))</f>
        <v>1775.8304240609064</v>
      </c>
      <c r="BD122" s="33">
        <f>IF($A122=BD$83, 0, distance(VLOOKUP($A122,Cuision!$G:$P,9,FALSE),VLOOKUP($A122,Cuision!$G:$P,10,FALSE),VLOOKUP(BD$83,Cuision!$G:$P,9,FALSE),VLOOKUP(BD$83,Cuision!$G:$P,10,FALSE)))</f>
        <v>3845.101361762182</v>
      </c>
      <c r="BE122" s="33">
        <f>IF($A122=BE$83, 0, distance(VLOOKUP($A122,Cuision!$G:$P,9,FALSE),VLOOKUP($A122,Cuision!$G:$P,10,FALSE),VLOOKUP(BE$83,Cuision!$G:$P,9,FALSE),VLOOKUP(BE$83,Cuision!$G:$P,10,FALSE)))</f>
        <v>1631.2564619587445</v>
      </c>
      <c r="BF122" s="33">
        <f>IF($A122=BF$83, 0, distance(VLOOKUP($A122,Cuision!$G:$P,9,FALSE),VLOOKUP($A122,Cuision!$G:$P,10,FALSE),VLOOKUP(BF$83,Cuision!$G:$P,9,FALSE),VLOOKUP(BF$83,Cuision!$G:$P,10,FALSE)))</f>
        <v>2922.7958139022835</v>
      </c>
      <c r="BG122" s="33">
        <f>IF($A122=BG$83, 0, distance(VLOOKUP($A122,Cuision!$G:$P,9,FALSE),VLOOKUP($A122,Cuision!$G:$P,10,FALSE),VLOOKUP(BG$83,Cuision!$G:$P,9,FALSE),VLOOKUP(BG$83,Cuision!$G:$P,10,FALSE)))</f>
        <v>1843.4257288469958</v>
      </c>
      <c r="BH122" s="33">
        <f>IF($A122=BH$83, 0, distance(VLOOKUP($A122,Cuision!$G:$P,9,FALSE),VLOOKUP($A122,Cuision!$G:$P,10,FALSE),VLOOKUP(BH$83,Cuision!$G:$P,9,FALSE),VLOOKUP(BH$83,Cuision!$G:$P,10,FALSE)))</f>
        <v>7111.0245285963238</v>
      </c>
      <c r="BI122" s="33">
        <f>IF($A122=BI$83, 0, distance(VLOOKUP($A122,Cuision!$G:$P,9,FALSE),VLOOKUP($A122,Cuision!$G:$P,10,FALSE),VLOOKUP(BI$83,Cuision!$G:$P,9,FALSE),VLOOKUP(BI$83,Cuision!$G:$P,10,FALSE)))</f>
        <v>338.3331559200725</v>
      </c>
      <c r="BJ122" s="33">
        <f>IF($A122=BJ$83, 0, distance(VLOOKUP($A122,Cuision!$G:$P,9,FALSE),VLOOKUP($A122,Cuision!$G:$P,10,FALSE),VLOOKUP(BJ$83,Cuision!$G:$P,9,FALSE),VLOOKUP(BJ$83,Cuision!$G:$P,10,FALSE)))</f>
        <v>1534.0482754298985</v>
      </c>
      <c r="BK122" s="33">
        <f>IF($A122=BK$83, 0, distance(VLOOKUP($A122,Cuision!$G:$P,9,FALSE),VLOOKUP($A122,Cuision!$G:$P,10,FALSE),VLOOKUP(BK$83,Cuision!$G:$P,9,FALSE),VLOOKUP(BK$83,Cuision!$G:$P,10,FALSE)))</f>
        <v>974.78789248151247</v>
      </c>
      <c r="BL122" s="33">
        <f>IF($A122=BL$83, 0, distance(VLOOKUP($A122,Cuision!$G:$P,9,FALSE),VLOOKUP($A122,Cuision!$G:$P,10,FALSE),VLOOKUP(BL$83,Cuision!$G:$P,9,FALSE),VLOOKUP(BL$83,Cuision!$G:$P,10,FALSE)))</f>
        <v>-1</v>
      </c>
      <c r="BM122" s="33">
        <f>IF($A122=BM$83, 0, distance(VLOOKUP($A122,Cuision!$G:$P,9,FALSE),VLOOKUP($A122,Cuision!$G:$P,10,FALSE),VLOOKUP(BM$83,Cuision!$G:$P,9,FALSE),VLOOKUP(BM$83,Cuision!$G:$P,10,FALSE)))</f>
        <v>-1</v>
      </c>
      <c r="BN122" s="33">
        <f>IF($A122=BN$83, 0, distance(VLOOKUP($A122,Cuision!$G:$P,9,FALSE),VLOOKUP($A122,Cuision!$G:$P,10,FALSE),VLOOKUP(BN$83,Cuision!$G:$P,9,FALSE),VLOOKUP(BN$83,Cuision!$G:$P,10,FALSE)))</f>
        <v>900.52613160456258</v>
      </c>
      <c r="BO122" s="33">
        <f>IF($A122=BO$83, 0, distance(VLOOKUP($A122,Cuision!$G:$P,9,FALSE),VLOOKUP($A122,Cuision!$G:$P,10,FALSE),VLOOKUP(BO$83,Cuision!$G:$P,9,FALSE),VLOOKUP(BO$83,Cuision!$G:$P,10,FALSE)))</f>
        <v>5910.2258996727651</v>
      </c>
      <c r="BP122" s="33">
        <f>IF($A122=BP$83, 0, distance(VLOOKUP($A122,Cuision!$G:$P,9,FALSE),VLOOKUP($A122,Cuision!$G:$P,10,FALSE),VLOOKUP(BP$83,Cuision!$G:$P,9,FALSE),VLOOKUP(BP$83,Cuision!$G:$P,10,FALSE)))</f>
        <v>100.15472436064863</v>
      </c>
      <c r="BQ122" s="33">
        <f>IF($A122=BQ$83, 0, distance(VLOOKUP($A122,Cuision!$G:$P,9,FALSE),VLOOKUP($A122,Cuision!$G:$P,10,FALSE),VLOOKUP(BQ$83,Cuision!$G:$P,9,FALSE),VLOOKUP(BQ$83,Cuision!$G:$P,10,FALSE)))</f>
        <v>-1</v>
      </c>
      <c r="BR122" s="33">
        <f>IF($A122=BR$83, 0, distance(VLOOKUP($A122,Cuision!$G:$P,9,FALSE),VLOOKUP($A122,Cuision!$G:$P,10,FALSE),VLOOKUP(BR$83,Cuision!$G:$P,9,FALSE),VLOOKUP(BR$83,Cuision!$G:$P,10,FALSE)))</f>
        <v>4557.5219504867046</v>
      </c>
      <c r="BS122" s="33">
        <f>IF($A122=BS$83, 0, distance(VLOOKUP($A122,Cuision!$G:$P,9,FALSE),VLOOKUP($A122,Cuision!$G:$P,10,FALSE),VLOOKUP(BS$83,Cuision!$G:$P,9,FALSE),VLOOKUP(BS$83,Cuision!$G:$P,10,FALSE)))</f>
        <v>4560.3581609949579</v>
      </c>
      <c r="BT122" s="33">
        <f>IF($A122=BT$83, 0, distance(VLOOKUP($A122,Cuision!$G:$P,9,FALSE),VLOOKUP($A122,Cuision!$G:$P,10,FALSE),VLOOKUP(BT$83,Cuision!$G:$P,9,FALSE),VLOOKUP(BT$83,Cuision!$G:$P,10,FALSE)))</f>
        <v>1226.3582670805197</v>
      </c>
      <c r="BU122" s="33">
        <f>IF($A122=BU$83, 0, distance(VLOOKUP($A122,Cuision!$G:$P,9,FALSE),VLOOKUP($A122,Cuision!$G:$P,10,FALSE),VLOOKUP(BU$83,Cuision!$G:$P,9,FALSE),VLOOKUP(BU$83,Cuision!$G:$P,10,FALSE)))</f>
        <v>5124.7907325739407</v>
      </c>
      <c r="BV122" s="33">
        <f>IF($A122=BV$83, 0, distance(VLOOKUP($A122,Cuision!$G:$P,9,FALSE),VLOOKUP($A122,Cuision!$G:$P,10,FALSE),VLOOKUP(BV$83,Cuision!$G:$P,9,FALSE),VLOOKUP(BV$83,Cuision!$G:$P,10,FALSE)))</f>
        <v>863.85112405824009</v>
      </c>
      <c r="BW122" s="33">
        <f>IF($A122=BW$83, 0, distance(VLOOKUP($A122,Cuision!$G:$P,9,FALSE),VLOOKUP($A122,Cuision!$G:$P,10,FALSE),VLOOKUP(BW$83,Cuision!$G:$P,9,FALSE),VLOOKUP(BW$83,Cuision!$G:$P,10,FALSE)))</f>
        <v>558.36247400139985</v>
      </c>
      <c r="BX122" s="33">
        <f>IF($A122=BX$83, 0, distance(VLOOKUP($A122,Cuision!$G:$P,9,FALSE),VLOOKUP($A122,Cuision!$G:$P,10,FALSE),VLOOKUP(BX$83,Cuision!$G:$P,9,FALSE),VLOOKUP(BX$83,Cuision!$G:$P,10,FALSE)))</f>
        <v>2470.8860858383246</v>
      </c>
      <c r="BY122" s="33">
        <f>IF($A122=BY$83, 0, distance(VLOOKUP($A122,Cuision!$G:$P,9,FALSE),VLOOKUP($A122,Cuision!$G:$P,10,FALSE),VLOOKUP(BY$83,Cuision!$G:$P,9,FALSE),VLOOKUP(BY$83,Cuision!$G:$P,10,FALSE)))</f>
        <v>-1</v>
      </c>
      <c r="BZ122" s="33">
        <f>IF($A122=BZ$83, 0, distance(VLOOKUP($A122,Cuision!$G:$P,9,FALSE),VLOOKUP($A122,Cuision!$G:$P,10,FALSE),VLOOKUP(BZ$83,Cuision!$G:$P,9,FALSE),VLOOKUP(BZ$83,Cuision!$G:$P,10,FALSE)))</f>
        <v>-1</v>
      </c>
      <c r="CA122" s="33">
        <f>IF($A122=CA$83, 0, distance(VLOOKUP($A122,Cuision!$G:$P,9,FALSE),VLOOKUP($A122,Cuision!$G:$P,10,FALSE),VLOOKUP(CA$83,Cuision!$G:$P,9,FALSE),VLOOKUP(CA$83,Cuision!$G:$P,10,FALSE)))</f>
        <v>5013.3662122240867</v>
      </c>
    </row>
    <row r="123" spans="1:79" ht="14.25" x14ac:dyDescent="0.2">
      <c r="A123" s="30" t="s">
        <v>89</v>
      </c>
      <c r="B123" s="33">
        <f>IF($A123=B$83, 0, distance(VLOOKUP($A123,Cuision!$G:$P,9,FALSE),VLOOKUP($A123,Cuision!$G:$P,10,FALSE),VLOOKUP(B$83,Cuision!$G:$P,9,FALSE),VLOOKUP(B$83,Cuision!$G:$P,10,FALSE)))</f>
        <v>3902.0380014748603</v>
      </c>
      <c r="C123" s="33">
        <f>IF($A123=C$83, 0, distance(VLOOKUP($A123,Cuision!$G:$P,9,FALSE),VLOOKUP($A123,Cuision!$G:$P,10,FALSE),VLOOKUP(C$83,Cuision!$G:$P,9,FALSE),VLOOKUP(C$83,Cuision!$G:$P,10,FALSE)))</f>
        <v>4181.0014510469164</v>
      </c>
      <c r="D123" s="33">
        <f>IF($A123=D$83, 0, distance(VLOOKUP($A123,Cuision!$G:$P,9,FALSE),VLOOKUP($A123,Cuision!$G:$P,10,FALSE),VLOOKUP(D$83,Cuision!$G:$P,9,FALSE),VLOOKUP(D$83,Cuision!$G:$P,10,FALSE)))</f>
        <v>3783.2693926891457</v>
      </c>
      <c r="E123" s="33">
        <f>IF($A123=E$83, 0, distance(VLOOKUP($A123,Cuision!$G:$P,9,FALSE),VLOOKUP($A123,Cuision!$G:$P,10,FALSE),VLOOKUP(E$83,Cuision!$G:$P,9,FALSE),VLOOKUP(E$83,Cuision!$G:$P,10,FALSE)))</f>
        <v>3783.2693926891457</v>
      </c>
      <c r="F123" s="33">
        <f>IF($A123=F$83, 0, distance(VLOOKUP($A123,Cuision!$G:$P,9,FALSE),VLOOKUP($A123,Cuision!$G:$P,10,FALSE),VLOOKUP(F$83,Cuision!$G:$P,9,FALSE),VLOOKUP(F$83,Cuision!$G:$P,10,FALSE)))</f>
        <v>2699.2022856792228</v>
      </c>
      <c r="G123" s="33">
        <f>IF($A123=G$83, 0, distance(VLOOKUP($A123,Cuision!$G:$P,9,FALSE),VLOOKUP($A123,Cuision!$G:$P,10,FALSE),VLOOKUP(G$83,Cuision!$G:$P,9,FALSE),VLOOKUP(G$83,Cuision!$G:$P,10,FALSE)))</f>
        <v>6241.9215071578274</v>
      </c>
      <c r="H123" s="33">
        <f>IF($A123=H$83, 0, distance(VLOOKUP($A123,Cuision!$G:$P,9,FALSE),VLOOKUP($A123,Cuision!$G:$P,10,FALSE),VLOOKUP(H$83,Cuision!$G:$P,9,FALSE),VLOOKUP(H$83,Cuision!$G:$P,10,FALSE)))</f>
        <v>2507.8131736189293</v>
      </c>
      <c r="I123" s="33">
        <f>IF($A123=I$83, 0, distance(VLOOKUP($A123,Cuision!$G:$P,9,FALSE),VLOOKUP($A123,Cuision!$G:$P,10,FALSE),VLOOKUP(I$83,Cuision!$G:$P,9,FALSE),VLOOKUP(I$83,Cuision!$G:$P,10,FALSE)))</f>
        <v>5392.6916510897654</v>
      </c>
      <c r="J123" s="33">
        <f>IF($A123=J$83, 0, distance(VLOOKUP($A123,Cuision!$G:$P,9,FALSE),VLOOKUP($A123,Cuision!$G:$P,10,FALSE),VLOOKUP(J$83,Cuision!$G:$P,9,FALSE),VLOOKUP(J$83,Cuision!$G:$P,10,FALSE)))</f>
        <v>10918.515608145402</v>
      </c>
      <c r="K123" s="33">
        <f>IF($A123=K$83, 0, distance(VLOOKUP($A123,Cuision!$G:$P,9,FALSE),VLOOKUP($A123,Cuision!$G:$P,10,FALSE),VLOOKUP(K$83,Cuision!$G:$P,9,FALSE),VLOOKUP(K$83,Cuision!$G:$P,10,FALSE)))</f>
        <v>1123.9432343334427</v>
      </c>
      <c r="L123" s="33">
        <f>IF($A123=L$83, 0, distance(VLOOKUP($A123,Cuision!$G:$P,9,FALSE),VLOOKUP($A123,Cuision!$G:$P,10,FALSE),VLOOKUP(L$83,Cuision!$G:$P,9,FALSE),VLOOKUP(L$83,Cuision!$G:$P,10,FALSE)))</f>
        <v>5377.4809840655871</v>
      </c>
      <c r="M123" s="33">
        <f>IF($A123=M$83, 0, distance(VLOOKUP($A123,Cuision!$G:$P,9,FALSE),VLOOKUP($A123,Cuision!$G:$P,10,FALSE),VLOOKUP(M$83,Cuision!$G:$P,9,FALSE),VLOOKUP(M$83,Cuision!$G:$P,10,FALSE)))</f>
        <v>-1</v>
      </c>
      <c r="N123" s="33">
        <f>IF($A123=N$83, 0, distance(VLOOKUP($A123,Cuision!$G:$P,9,FALSE),VLOOKUP($A123,Cuision!$G:$P,10,FALSE),VLOOKUP(N$83,Cuision!$G:$P,9,FALSE),VLOOKUP(N$83,Cuision!$G:$P,10,FALSE)))</f>
        <v>0</v>
      </c>
      <c r="O123" s="33">
        <f>IF($A123=O$83, 0, distance(VLOOKUP($A123,Cuision!$G:$P,9,FALSE),VLOOKUP($A123,Cuision!$G:$P,10,FALSE),VLOOKUP(O$83,Cuision!$G:$P,9,FALSE),VLOOKUP(O$83,Cuision!$G:$P,10,FALSE)))</f>
        <v>817.71380377535468</v>
      </c>
      <c r="P123" s="33">
        <f>IF($A123=P$83, 0, distance(VLOOKUP($A123,Cuision!$G:$P,9,FALSE),VLOOKUP($A123,Cuision!$G:$P,10,FALSE),VLOOKUP(P$83,Cuision!$G:$P,9,FALSE),VLOOKUP(P$83,Cuision!$G:$P,10,FALSE)))</f>
        <v>4808.414862126243</v>
      </c>
      <c r="Q123" s="33">
        <f>IF($A123=Q$83, 0, distance(VLOOKUP($A123,Cuision!$G:$P,9,FALSE),VLOOKUP($A123,Cuision!$G:$P,10,FALSE),VLOOKUP(Q$83,Cuision!$G:$P,9,FALSE),VLOOKUP(Q$83,Cuision!$G:$P,10,FALSE)))</f>
        <v>-1</v>
      </c>
      <c r="R123" s="33">
        <f>IF($A123=R$83, 0, distance(VLOOKUP($A123,Cuision!$G:$P,9,FALSE),VLOOKUP($A123,Cuision!$G:$P,10,FALSE),VLOOKUP(R$83,Cuision!$G:$P,9,FALSE),VLOOKUP(R$83,Cuision!$G:$P,10,FALSE)))</f>
        <v>784.90553114647901</v>
      </c>
      <c r="S123" s="33">
        <f>IF($A123=S$83, 0, distance(VLOOKUP($A123,Cuision!$G:$P,9,FALSE),VLOOKUP($A123,Cuision!$G:$P,10,FALSE),VLOOKUP(S$83,Cuision!$G:$P,9,FALSE),VLOOKUP(S$83,Cuision!$G:$P,10,FALSE)))</f>
        <v>-1</v>
      </c>
      <c r="T123" s="33">
        <f>IF($A123=T$83, 0, distance(VLOOKUP($A123,Cuision!$G:$P,9,FALSE),VLOOKUP($A123,Cuision!$G:$P,10,FALSE),VLOOKUP(T$83,Cuision!$G:$P,9,FALSE),VLOOKUP(T$83,Cuision!$G:$P,10,FALSE)))</f>
        <v>5834.4264171615005</v>
      </c>
      <c r="U123" s="33">
        <f>IF($A123=U$83, 0, distance(VLOOKUP($A123,Cuision!$G:$P,9,FALSE),VLOOKUP($A123,Cuision!$G:$P,10,FALSE),VLOOKUP(U$83,Cuision!$G:$P,9,FALSE),VLOOKUP(U$83,Cuision!$G:$P,10,FALSE)))</f>
        <v>-1</v>
      </c>
      <c r="V123" s="33">
        <f>IF($A123=V$83, 0, distance(VLOOKUP($A123,Cuision!$G:$P,9,FALSE),VLOOKUP($A123,Cuision!$G:$P,10,FALSE),VLOOKUP(V$83,Cuision!$G:$P,9,FALSE),VLOOKUP(V$83,Cuision!$G:$P,10,FALSE)))</f>
        <v>3783.2693926891457</v>
      </c>
      <c r="W123" s="33">
        <f>IF($A123=W$83, 0, distance(VLOOKUP($A123,Cuision!$G:$P,9,FALSE),VLOOKUP($A123,Cuision!$G:$P,10,FALSE),VLOOKUP(W$83,Cuision!$G:$P,9,FALSE),VLOOKUP(W$83,Cuision!$G:$P,10,FALSE)))</f>
        <v>6647.3208068324857</v>
      </c>
      <c r="X123" s="33">
        <f>IF($A123=X$83, 0, distance(VLOOKUP($A123,Cuision!$G:$P,9,FALSE),VLOOKUP($A123,Cuision!$G:$P,10,FALSE),VLOOKUP(X$83,Cuision!$G:$P,9,FALSE),VLOOKUP(X$83,Cuision!$G:$P,10,FALSE)))</f>
        <v>0</v>
      </c>
      <c r="Y123" s="33">
        <f>IF($A123=Y$83, 0, distance(VLOOKUP($A123,Cuision!$G:$P,9,FALSE),VLOOKUP($A123,Cuision!$G:$P,10,FALSE),VLOOKUP(Y$83,Cuision!$G:$P,9,FALSE),VLOOKUP(Y$83,Cuision!$G:$P,10,FALSE)))</f>
        <v>5729.4499419733847</v>
      </c>
      <c r="Z123" s="33">
        <f>IF($A123=Z$83, 0, distance(VLOOKUP($A123,Cuision!$G:$P,9,FALSE),VLOOKUP($A123,Cuision!$G:$P,10,FALSE),VLOOKUP(Z$83,Cuision!$G:$P,9,FALSE),VLOOKUP(Z$83,Cuision!$G:$P,10,FALSE)))</f>
        <v>-1</v>
      </c>
      <c r="AA123" s="33">
        <f>IF($A123=AA$83, 0, distance(VLOOKUP($A123,Cuision!$G:$P,9,FALSE),VLOOKUP($A123,Cuision!$G:$P,10,FALSE),VLOOKUP(AA$83,Cuision!$G:$P,9,FALSE),VLOOKUP(AA$83,Cuision!$G:$P,10,FALSE)))</f>
        <v>4623.0449185729312</v>
      </c>
      <c r="AB123" s="33">
        <f>IF($A123=AB$83, 0, distance(VLOOKUP($A123,Cuision!$G:$P,9,FALSE),VLOOKUP($A123,Cuision!$G:$P,10,FALSE),VLOOKUP(AB$83,Cuision!$G:$P,9,FALSE),VLOOKUP(AB$83,Cuision!$G:$P,10,FALSE)))</f>
        <v>1101.0295637429265</v>
      </c>
      <c r="AC123" s="33">
        <f>IF($A123=AC$83, 0, distance(VLOOKUP($A123,Cuision!$G:$P,9,FALSE),VLOOKUP($A123,Cuision!$G:$P,10,FALSE),VLOOKUP(AC$83,Cuision!$G:$P,9,FALSE),VLOOKUP(AC$83,Cuision!$G:$P,10,FALSE)))</f>
        <v>3383.3410356236627</v>
      </c>
      <c r="AD123" s="33">
        <f>IF($A123=AD$83, 0, distance(VLOOKUP($A123,Cuision!$G:$P,9,FALSE),VLOOKUP($A123,Cuision!$G:$P,10,FALSE),VLOOKUP(AD$83,Cuision!$G:$P,9,FALSE),VLOOKUP(AD$83,Cuision!$G:$P,10,FALSE)))</f>
        <v>7241.8978224343373</v>
      </c>
      <c r="AE123" s="33">
        <f>IF($A123=AE$83, 0, distance(VLOOKUP($A123,Cuision!$G:$P,9,FALSE),VLOOKUP($A123,Cuision!$G:$P,10,FALSE),VLOOKUP(AE$83,Cuision!$G:$P,9,FALSE),VLOOKUP(AE$83,Cuision!$G:$P,10,FALSE)))</f>
        <v>1650.6264556329184</v>
      </c>
      <c r="AF123" s="33">
        <f>IF($A123=AF$83, 0, distance(VLOOKUP($A123,Cuision!$G:$P,9,FALSE),VLOOKUP($A123,Cuision!$G:$P,10,FALSE),VLOOKUP(AF$83,Cuision!$G:$P,9,FALSE),VLOOKUP(AF$83,Cuision!$G:$P,10,FALSE)))</f>
        <v>653.47387203501921</v>
      </c>
      <c r="AG123" s="33">
        <f>IF($A123=AG$83, 0, distance(VLOOKUP($A123,Cuision!$G:$P,9,FALSE),VLOOKUP($A123,Cuision!$G:$P,10,FALSE),VLOOKUP(AG$83,Cuision!$G:$P,9,FALSE),VLOOKUP(AG$83,Cuision!$G:$P,10,FALSE)))</f>
        <v>1161.242928171687</v>
      </c>
      <c r="AH123" s="33">
        <f>IF($A123=AH$83, 0, distance(VLOOKUP($A123,Cuision!$G:$P,9,FALSE),VLOOKUP($A123,Cuision!$G:$P,10,FALSE),VLOOKUP(AH$83,Cuision!$G:$P,9,FALSE),VLOOKUP(AH$83,Cuision!$G:$P,10,FALSE)))</f>
        <v>-1</v>
      </c>
      <c r="AI123" s="33">
        <f>IF($A123=AI$83, 0, distance(VLOOKUP($A123,Cuision!$G:$P,9,FALSE),VLOOKUP($A123,Cuision!$G:$P,10,FALSE),VLOOKUP(AI$83,Cuision!$G:$P,9,FALSE),VLOOKUP(AI$83,Cuision!$G:$P,10,FALSE)))</f>
        <v>1471.7769895082415</v>
      </c>
      <c r="AJ123" s="33">
        <f>IF($A123=AJ$83, 0, distance(VLOOKUP($A123,Cuision!$G:$P,9,FALSE),VLOOKUP($A123,Cuision!$G:$P,10,FALSE),VLOOKUP(AJ$83,Cuision!$G:$P,9,FALSE),VLOOKUP(AJ$83,Cuision!$G:$P,10,FALSE)))</f>
        <v>2699.2022856792228</v>
      </c>
      <c r="AK123" s="33">
        <f>IF($A123=AK$83, 0, distance(VLOOKUP($A123,Cuision!$G:$P,9,FALSE),VLOOKUP($A123,Cuision!$G:$P,10,FALSE),VLOOKUP(AK$83,Cuision!$G:$P,9,FALSE),VLOOKUP(AK$83,Cuision!$G:$P,10,FALSE)))</f>
        <v>7893.5443895767303</v>
      </c>
      <c r="AL123" s="33">
        <f>IF($A123=AL$83, 0, distance(VLOOKUP($A123,Cuision!$G:$P,9,FALSE),VLOOKUP($A123,Cuision!$G:$P,10,FALSE),VLOOKUP(AL$83,Cuision!$G:$P,9,FALSE),VLOOKUP(AL$83,Cuision!$G:$P,10,FALSE)))</f>
        <v>4958.2001222956069</v>
      </c>
      <c r="AM123" s="33">
        <f>IF($A123=AM$83, 0, distance(VLOOKUP($A123,Cuision!$G:$P,9,FALSE),VLOOKUP($A123,Cuision!$G:$P,10,FALSE),VLOOKUP(AM$83,Cuision!$G:$P,9,FALSE),VLOOKUP(AM$83,Cuision!$G:$P,10,FALSE)))</f>
        <v>-1</v>
      </c>
      <c r="AN123" s="33">
        <f>IF($A123=AN$83, 0, distance(VLOOKUP($A123,Cuision!$G:$P,9,FALSE),VLOOKUP($A123,Cuision!$G:$P,10,FALSE),VLOOKUP(AN$83,Cuision!$G:$P,9,FALSE),VLOOKUP(AN$83,Cuision!$G:$P,10,FALSE)))</f>
        <v>1226.3582670805197</v>
      </c>
      <c r="AO123" s="33">
        <f>IF($A123=AO$83, 0, distance(VLOOKUP($A123,Cuision!$G:$P,9,FALSE),VLOOKUP($A123,Cuision!$G:$P,10,FALSE),VLOOKUP(AO$83,Cuision!$G:$P,9,FALSE),VLOOKUP(AO$83,Cuision!$G:$P,10,FALSE)))</f>
        <v>0</v>
      </c>
      <c r="AP123" s="33">
        <f>IF($A123=AP$83, 0, distance(VLOOKUP($A123,Cuision!$G:$P,9,FALSE),VLOOKUP($A123,Cuision!$G:$P,10,FALSE),VLOOKUP(AP$83,Cuision!$G:$P,9,FALSE),VLOOKUP(AP$83,Cuision!$G:$P,10,FALSE)))</f>
        <v>4518.7524609586753</v>
      </c>
      <c r="AQ123" s="33">
        <f>IF($A123=AQ$83, 0, distance(VLOOKUP($A123,Cuision!$G:$P,9,FALSE),VLOOKUP($A123,Cuision!$G:$P,10,FALSE),VLOOKUP(AQ$83,Cuision!$G:$P,9,FALSE),VLOOKUP(AQ$83,Cuision!$G:$P,10,FALSE)))</f>
        <v>7573.7655786686109</v>
      </c>
      <c r="AR123" s="33">
        <f>IF($A123=AR$83, 0, distance(VLOOKUP($A123,Cuision!$G:$P,9,FALSE),VLOOKUP($A123,Cuision!$G:$P,10,FALSE),VLOOKUP(AR$83,Cuision!$G:$P,9,FALSE),VLOOKUP(AR$83,Cuision!$G:$P,10,FALSE)))</f>
        <v>784.90553114647901</v>
      </c>
      <c r="AS123" s="33">
        <f>IF($A123=AS$83, 0, distance(VLOOKUP($A123,Cuision!$G:$P,9,FALSE),VLOOKUP($A123,Cuision!$G:$P,10,FALSE),VLOOKUP(AS$83,Cuision!$G:$P,9,FALSE),VLOOKUP(AS$83,Cuision!$G:$P,10,FALSE)))</f>
        <v>846.50716821574338</v>
      </c>
      <c r="AT123" s="33">
        <f>IF($A123=AT$83, 0, distance(VLOOKUP($A123,Cuision!$G:$P,9,FALSE),VLOOKUP($A123,Cuision!$G:$P,10,FALSE),VLOOKUP(AT$83,Cuision!$G:$P,9,FALSE),VLOOKUP(AT$83,Cuision!$G:$P,10,FALSE)))</f>
        <v>6686.58496596028</v>
      </c>
      <c r="AU123" s="33">
        <f>IF($A123=AU$83, 0, distance(VLOOKUP($A123,Cuision!$G:$P,9,FALSE),VLOOKUP($A123,Cuision!$G:$P,10,FALSE),VLOOKUP(AU$83,Cuision!$G:$P,9,FALSE),VLOOKUP(AU$83,Cuision!$G:$P,10,FALSE)))</f>
        <v>6210.1470377376618</v>
      </c>
      <c r="AV123" s="33">
        <f>IF($A123=AV$83, 0, distance(VLOOKUP($A123,Cuision!$G:$P,9,FALSE),VLOOKUP($A123,Cuision!$G:$P,10,FALSE),VLOOKUP(AV$83,Cuision!$G:$P,9,FALSE),VLOOKUP(AV$83,Cuision!$G:$P,10,FALSE)))</f>
        <v>1955.1180843530524</v>
      </c>
      <c r="AW123" s="33">
        <f>IF($A123=AW$83, 0, distance(VLOOKUP($A123,Cuision!$G:$P,9,FALSE),VLOOKUP($A123,Cuision!$G:$P,10,FALSE),VLOOKUP(AW$83,Cuision!$G:$P,9,FALSE),VLOOKUP(AW$83,Cuision!$G:$P,10,FALSE)))</f>
        <v>6230.8157181243596</v>
      </c>
      <c r="AX123" s="33">
        <f>IF($A123=AX$83, 0, distance(VLOOKUP($A123,Cuision!$G:$P,9,FALSE),VLOOKUP($A123,Cuision!$G:$P,10,FALSE),VLOOKUP(AX$83,Cuision!$G:$P,9,FALSE),VLOOKUP(AX$83,Cuision!$G:$P,10,FALSE)))</f>
        <v>4776.4501453331732</v>
      </c>
      <c r="AY123" s="33">
        <f>IF($A123=AY$83, 0, distance(VLOOKUP($A123,Cuision!$G:$P,9,FALSE),VLOOKUP($A123,Cuision!$G:$P,10,FALSE),VLOOKUP(AY$83,Cuision!$G:$P,9,FALSE),VLOOKUP(AY$83,Cuision!$G:$P,10,FALSE)))</f>
        <v>-1</v>
      </c>
      <c r="AZ123" s="33">
        <f>IF($A123=AZ$83, 0, distance(VLOOKUP($A123,Cuision!$G:$P,9,FALSE),VLOOKUP($A123,Cuision!$G:$P,10,FALSE),VLOOKUP(AZ$83,Cuision!$G:$P,9,FALSE),VLOOKUP(AZ$83,Cuision!$G:$P,10,FALSE)))</f>
        <v>6879.1758972891921</v>
      </c>
      <c r="BA123" s="33">
        <f>IF($A123=BA$83, 0, distance(VLOOKUP($A123,Cuision!$G:$P,9,FALSE),VLOOKUP($A123,Cuision!$G:$P,10,FALSE),VLOOKUP(BA$83,Cuision!$G:$P,9,FALSE),VLOOKUP(BA$83,Cuision!$G:$P,10,FALSE)))</f>
        <v>1255.4025489877538</v>
      </c>
      <c r="BB123" s="33">
        <f>IF($A123=BB$83, 0, distance(VLOOKUP($A123,Cuision!$G:$P,9,FALSE),VLOOKUP($A123,Cuision!$G:$P,10,FALSE),VLOOKUP(BB$83,Cuision!$G:$P,9,FALSE),VLOOKUP(BB$83,Cuision!$G:$P,10,FALSE)))</f>
        <v>5631.0767659003504</v>
      </c>
      <c r="BC123" s="33">
        <f>IF($A123=BC$83, 0, distance(VLOOKUP($A123,Cuision!$G:$P,9,FALSE),VLOOKUP($A123,Cuision!$G:$P,10,FALSE),VLOOKUP(BC$83,Cuision!$G:$P,9,FALSE),VLOOKUP(BC$83,Cuision!$G:$P,10,FALSE)))</f>
        <v>2699.2022856792228</v>
      </c>
      <c r="BD123" s="33">
        <f>IF($A123=BD$83, 0, distance(VLOOKUP($A123,Cuision!$G:$P,9,FALSE),VLOOKUP($A123,Cuision!$G:$P,10,FALSE),VLOOKUP(BD$83,Cuision!$G:$P,9,FALSE),VLOOKUP(BD$83,Cuision!$G:$P,10,FALSE)))</f>
        <v>5004.5552194452966</v>
      </c>
      <c r="BE123" s="33">
        <f>IF($A123=BE$83, 0, distance(VLOOKUP($A123,Cuision!$G:$P,9,FALSE),VLOOKUP($A123,Cuision!$G:$P,10,FALSE),VLOOKUP(BE$83,Cuision!$G:$P,9,FALSE),VLOOKUP(BE$83,Cuision!$G:$P,10,FALSE)))</f>
        <v>475.0815349941451</v>
      </c>
      <c r="BF123" s="33">
        <f>IF($A123=BF$83, 0, distance(VLOOKUP($A123,Cuision!$G:$P,9,FALSE),VLOOKUP($A123,Cuision!$G:$P,10,FALSE),VLOOKUP(BF$83,Cuision!$G:$P,9,FALSE),VLOOKUP(BF$83,Cuision!$G:$P,10,FALSE)))</f>
        <v>4121.6564447714727</v>
      </c>
      <c r="BG123" s="33">
        <f>IF($A123=BG$83, 0, distance(VLOOKUP($A123,Cuision!$G:$P,9,FALSE),VLOOKUP($A123,Cuision!$G:$P,10,FALSE),VLOOKUP(BG$83,Cuision!$G:$P,9,FALSE),VLOOKUP(BG$83,Cuision!$G:$P,10,FALSE)))</f>
        <v>2967.9081899632765</v>
      </c>
      <c r="BH123" s="33">
        <f>IF($A123=BH$83, 0, distance(VLOOKUP($A123,Cuision!$G:$P,9,FALSE),VLOOKUP($A123,Cuision!$G:$P,10,FALSE),VLOOKUP(BH$83,Cuision!$G:$P,9,FALSE),VLOOKUP(BH$83,Cuision!$G:$P,10,FALSE)))</f>
        <v>5907.6861597019188</v>
      </c>
      <c r="BI123" s="33">
        <f>IF($A123=BI$83, 0, distance(VLOOKUP($A123,Cuision!$G:$P,9,FALSE),VLOOKUP($A123,Cuision!$G:$P,10,FALSE),VLOOKUP(BI$83,Cuision!$G:$P,9,FALSE),VLOOKUP(BI$83,Cuision!$G:$P,10,FALSE)))</f>
        <v>1422.4027836810858</v>
      </c>
      <c r="BJ123" s="33">
        <f>IF($A123=BJ$83, 0, distance(VLOOKUP($A123,Cuision!$G:$P,9,FALSE),VLOOKUP($A123,Cuision!$G:$P,10,FALSE),VLOOKUP(BJ$83,Cuision!$G:$P,9,FALSE),VLOOKUP(BJ$83,Cuision!$G:$P,10,FALSE)))</f>
        <v>312.06072791659329</v>
      </c>
      <c r="BK123" s="33">
        <f>IF($A123=BK$83, 0, distance(VLOOKUP($A123,Cuision!$G:$P,9,FALSE),VLOOKUP($A123,Cuision!$G:$P,10,FALSE),VLOOKUP(BK$83,Cuision!$G:$P,9,FALSE),VLOOKUP(BK$83,Cuision!$G:$P,10,FALSE)))</f>
        <v>2137.3495652072015</v>
      </c>
      <c r="BL123" s="33">
        <f>IF($A123=BL$83, 0, distance(VLOOKUP($A123,Cuision!$G:$P,9,FALSE),VLOOKUP($A123,Cuision!$G:$P,10,FALSE),VLOOKUP(BL$83,Cuision!$G:$P,9,FALSE),VLOOKUP(BL$83,Cuision!$G:$P,10,FALSE)))</f>
        <v>-1</v>
      </c>
      <c r="BM123" s="33">
        <f>IF($A123=BM$83, 0, distance(VLOOKUP($A123,Cuision!$G:$P,9,FALSE),VLOOKUP($A123,Cuision!$G:$P,10,FALSE),VLOOKUP(BM$83,Cuision!$G:$P,9,FALSE),VLOOKUP(BM$83,Cuision!$G:$P,10,FALSE)))</f>
        <v>-1</v>
      </c>
      <c r="BN123" s="33">
        <f>IF($A123=BN$83, 0, distance(VLOOKUP($A123,Cuision!$G:$P,9,FALSE),VLOOKUP($A123,Cuision!$G:$P,10,FALSE),VLOOKUP(BN$83,Cuision!$G:$P,9,FALSE),VLOOKUP(BN$83,Cuision!$G:$P,10,FALSE)))</f>
        <v>784.90553114647901</v>
      </c>
      <c r="BO123" s="33">
        <f>IF($A123=BO$83, 0, distance(VLOOKUP($A123,Cuision!$G:$P,9,FALSE),VLOOKUP($A123,Cuision!$G:$P,10,FALSE),VLOOKUP(BO$83,Cuision!$G:$P,9,FALSE),VLOOKUP(BO$83,Cuision!$G:$P,10,FALSE)))</f>
        <v>7075.5210885552169</v>
      </c>
      <c r="BP123" s="33">
        <f>IF($A123=BP$83, 0, distance(VLOOKUP($A123,Cuision!$G:$P,9,FALSE),VLOOKUP($A123,Cuision!$G:$P,10,FALSE),VLOOKUP(BP$83,Cuision!$G:$P,9,FALSE),VLOOKUP(BP$83,Cuision!$G:$P,10,FALSE)))</f>
        <v>1154.4275032314604</v>
      </c>
      <c r="BQ123" s="33">
        <f>IF($A123=BQ$83, 0, distance(VLOOKUP($A123,Cuision!$G:$P,9,FALSE),VLOOKUP($A123,Cuision!$G:$P,10,FALSE),VLOOKUP(BQ$83,Cuision!$G:$P,9,FALSE),VLOOKUP(BQ$83,Cuision!$G:$P,10,FALSE)))</f>
        <v>-1</v>
      </c>
      <c r="BR123" s="33">
        <f>IF($A123=BR$83, 0, distance(VLOOKUP($A123,Cuision!$G:$P,9,FALSE),VLOOKUP($A123,Cuision!$G:$P,10,FALSE),VLOOKUP(BR$83,Cuision!$G:$P,9,FALSE),VLOOKUP(BR$83,Cuision!$G:$P,10,FALSE)))</f>
        <v>3783.2693926891457</v>
      </c>
      <c r="BS123" s="33">
        <f>IF($A123=BS$83, 0, distance(VLOOKUP($A123,Cuision!$G:$P,9,FALSE),VLOOKUP($A123,Cuision!$G:$P,10,FALSE),VLOOKUP(BS$83,Cuision!$G:$P,9,FALSE),VLOOKUP(BS$83,Cuision!$G:$P,10,FALSE)))</f>
        <v>5729.4499419733847</v>
      </c>
      <c r="BT123" s="33">
        <f>IF($A123=BT$83, 0, distance(VLOOKUP($A123,Cuision!$G:$P,9,FALSE),VLOOKUP($A123,Cuision!$G:$P,10,FALSE),VLOOKUP(BT$83,Cuision!$G:$P,9,FALSE),VLOOKUP(BT$83,Cuision!$G:$P,10,FALSE)))</f>
        <v>0</v>
      </c>
      <c r="BU123" s="33">
        <f>IF($A123=BU$83, 0, distance(VLOOKUP($A123,Cuision!$G:$P,9,FALSE),VLOOKUP($A123,Cuision!$G:$P,10,FALSE),VLOOKUP(BU$83,Cuision!$G:$P,9,FALSE),VLOOKUP(BU$83,Cuision!$G:$P,10,FALSE)))</f>
        <v>6326.1478377531812</v>
      </c>
      <c r="BV123" s="33">
        <f>IF($A123=BV$83, 0, distance(VLOOKUP($A123,Cuision!$G:$P,9,FALSE),VLOOKUP($A123,Cuision!$G:$P,10,FALSE),VLOOKUP(BV$83,Cuision!$G:$P,9,FALSE),VLOOKUP(BV$83,Cuision!$G:$P,10,FALSE)))</f>
        <v>1916.0002180308409</v>
      </c>
      <c r="BW123" s="33">
        <f>IF($A123=BW$83, 0, distance(VLOOKUP($A123,Cuision!$G:$P,9,FALSE),VLOOKUP($A123,Cuision!$G:$P,10,FALSE),VLOOKUP(BW$83,Cuision!$G:$P,9,FALSE),VLOOKUP(BW$83,Cuision!$G:$P,10,FALSE)))</f>
        <v>1778.1763277923328</v>
      </c>
      <c r="BX123" s="33">
        <f>IF($A123=BX$83, 0, distance(VLOOKUP($A123,Cuision!$G:$P,9,FALSE),VLOOKUP($A123,Cuision!$G:$P,10,FALSE),VLOOKUP(BX$83,Cuision!$G:$P,9,FALSE),VLOOKUP(BX$83,Cuision!$G:$P,10,FALSE)))</f>
        <v>3692.0775607520509</v>
      </c>
      <c r="BY123" s="33">
        <f>IF($A123=BY$83, 0, distance(VLOOKUP($A123,Cuision!$G:$P,9,FALSE),VLOOKUP($A123,Cuision!$G:$P,10,FALSE),VLOOKUP(BY$83,Cuision!$G:$P,9,FALSE),VLOOKUP(BY$83,Cuision!$G:$P,10,FALSE)))</f>
        <v>-1</v>
      </c>
      <c r="BZ123" s="33">
        <f>IF($A123=BZ$83, 0, distance(VLOOKUP($A123,Cuision!$G:$P,9,FALSE),VLOOKUP($A123,Cuision!$G:$P,10,FALSE),VLOOKUP(BZ$83,Cuision!$G:$P,9,FALSE),VLOOKUP(BZ$83,Cuision!$G:$P,10,FALSE)))</f>
        <v>-1</v>
      </c>
      <c r="CA123" s="33">
        <f>IF($A123=CA$83, 0, distance(VLOOKUP($A123,Cuision!$G:$P,9,FALSE),VLOOKUP($A123,Cuision!$G:$P,10,FALSE),VLOOKUP(CA$83,Cuision!$G:$P,9,FALSE),VLOOKUP(CA$83,Cuision!$G:$P,10,FALSE)))</f>
        <v>6238.3511882028179</v>
      </c>
    </row>
    <row r="124" spans="1:79" ht="14.25" x14ac:dyDescent="0.2">
      <c r="A124" s="30" t="s">
        <v>93</v>
      </c>
      <c r="B124" s="33">
        <f>IF($A124=B$83, 0, distance(VLOOKUP($A124,Cuision!$G:$P,9,FALSE),VLOOKUP($A124,Cuision!$G:$P,10,FALSE),VLOOKUP(B$83,Cuision!$G:$P,9,FALSE),VLOOKUP(B$83,Cuision!$G:$P,10,FALSE)))</f>
        <v>624.13852236301557</v>
      </c>
      <c r="C124" s="33">
        <f>IF($A124=C$83, 0, distance(VLOOKUP($A124,Cuision!$G:$P,9,FALSE),VLOOKUP($A124,Cuision!$G:$P,10,FALSE),VLOOKUP(C$83,Cuision!$G:$P,9,FALSE),VLOOKUP(C$83,Cuision!$G:$P,10,FALSE)))</f>
        <v>3845.4313183948452</v>
      </c>
      <c r="D124" s="33">
        <f>IF($A124=D$83, 0, distance(VLOOKUP($A124,Cuision!$G:$P,9,FALSE),VLOOKUP($A124,Cuision!$G:$P,10,FALSE),VLOOKUP(D$83,Cuision!$G:$P,9,FALSE),VLOOKUP(D$83,Cuision!$G:$P,10,FALSE)))</f>
        <v>7483.5819315311392</v>
      </c>
      <c r="E124" s="33">
        <f>IF($A124=E$83, 0, distance(VLOOKUP($A124,Cuision!$G:$P,9,FALSE),VLOOKUP($A124,Cuision!$G:$P,10,FALSE),VLOOKUP(E$83,Cuision!$G:$P,9,FALSE),VLOOKUP(E$83,Cuision!$G:$P,10,FALSE)))</f>
        <v>7483.5819315311392</v>
      </c>
      <c r="F124" s="33">
        <f>IF($A124=F$83, 0, distance(VLOOKUP($A124,Cuision!$G:$P,9,FALSE),VLOOKUP($A124,Cuision!$G:$P,10,FALSE),VLOOKUP(F$83,Cuision!$G:$P,9,FALSE),VLOOKUP(F$83,Cuision!$G:$P,10,FALSE)))</f>
        <v>2088.3496191523295</v>
      </c>
      <c r="G124" s="33">
        <f>IF($A124=G$83, 0, distance(VLOOKUP($A124,Cuision!$G:$P,9,FALSE),VLOOKUP($A124,Cuision!$G:$P,10,FALSE),VLOOKUP(G$83,Cuision!$G:$P,9,FALSE),VLOOKUP(G$83,Cuision!$G:$P,10,FALSE)))</f>
        <v>9812.829562549452</v>
      </c>
      <c r="H124" s="33">
        <f>IF($A124=H$83, 0, distance(VLOOKUP($A124,Cuision!$G:$P,9,FALSE),VLOOKUP($A124,Cuision!$G:$P,10,FALSE),VLOOKUP(H$83,Cuision!$G:$P,9,FALSE),VLOOKUP(H$83,Cuision!$G:$P,10,FALSE)))</f>
        <v>2013.1537043081175</v>
      </c>
      <c r="I124" s="33">
        <f>IF($A124=I$83, 0, distance(VLOOKUP($A124,Cuision!$G:$P,9,FALSE),VLOOKUP($A124,Cuision!$G:$P,10,FALSE),VLOOKUP(I$83,Cuision!$G:$P,9,FALSE),VLOOKUP(I$83,Cuision!$G:$P,10,FALSE)))</f>
        <v>1426.8194140854409</v>
      </c>
      <c r="J124" s="33">
        <f>IF($A124=J$83, 0, distance(VLOOKUP($A124,Cuision!$G:$P,9,FALSE),VLOOKUP($A124,Cuision!$G:$P,10,FALSE),VLOOKUP(J$83,Cuision!$G:$P,9,FALSE),VLOOKUP(J$83,Cuision!$G:$P,10,FALSE)))</f>
        <v>6433.4145470676285</v>
      </c>
      <c r="K124" s="33">
        <f>IF($A124=K$83, 0, distance(VLOOKUP($A124,Cuision!$G:$P,9,FALSE),VLOOKUP($A124,Cuision!$G:$P,10,FALSE),VLOOKUP(K$83,Cuision!$G:$P,9,FALSE),VLOOKUP(K$83,Cuision!$G:$P,10,FALSE)))</f>
        <v>3457.2602435865138</v>
      </c>
      <c r="L124" s="33">
        <f>IF($A124=L$83, 0, distance(VLOOKUP($A124,Cuision!$G:$P,9,FALSE),VLOOKUP($A124,Cuision!$G:$P,10,FALSE),VLOOKUP(L$83,Cuision!$G:$P,9,FALSE),VLOOKUP(L$83,Cuision!$G:$P,10,FALSE)))</f>
        <v>885.21036882096462</v>
      </c>
      <c r="M124" s="33">
        <f>IF($A124=M$83, 0, distance(VLOOKUP($A124,Cuision!$G:$P,9,FALSE),VLOOKUP($A124,Cuision!$G:$P,10,FALSE),VLOOKUP(M$83,Cuision!$G:$P,9,FALSE),VLOOKUP(M$83,Cuision!$G:$P,10,FALSE)))</f>
        <v>-1</v>
      </c>
      <c r="N124" s="33">
        <f>IF($A124=N$83, 0, distance(VLOOKUP($A124,Cuision!$G:$P,9,FALSE),VLOOKUP($A124,Cuision!$G:$P,10,FALSE),VLOOKUP(N$83,Cuision!$G:$P,9,FALSE),VLOOKUP(N$83,Cuision!$G:$P,10,FALSE)))</f>
        <v>4518.7524609586753</v>
      </c>
      <c r="O124" s="33">
        <f>IF($A124=O$83, 0, distance(VLOOKUP($A124,Cuision!$G:$P,9,FALSE),VLOOKUP($A124,Cuision!$G:$P,10,FALSE),VLOOKUP(O$83,Cuision!$G:$P,9,FALSE),VLOOKUP(O$83,Cuision!$G:$P,10,FALSE)))</f>
        <v>3983.9019259592696</v>
      </c>
      <c r="P124" s="33">
        <f>IF($A124=P$83, 0, distance(VLOOKUP($A124,Cuision!$G:$P,9,FALSE),VLOOKUP($A124,Cuision!$G:$P,10,FALSE),VLOOKUP(P$83,Cuision!$G:$P,9,FALSE),VLOOKUP(P$83,Cuision!$G:$P,10,FALSE)))</f>
        <v>8848.1398519372233</v>
      </c>
      <c r="Q124" s="33">
        <f>IF($A124=Q$83, 0, distance(VLOOKUP($A124,Cuision!$G:$P,9,FALSE),VLOOKUP($A124,Cuision!$G:$P,10,FALSE),VLOOKUP(Q$83,Cuision!$G:$P,9,FALSE),VLOOKUP(Q$83,Cuision!$G:$P,10,FALSE)))</f>
        <v>-1</v>
      </c>
      <c r="R124" s="33">
        <f>IF($A124=R$83, 0, distance(VLOOKUP($A124,Cuision!$G:$P,9,FALSE),VLOOKUP($A124,Cuision!$G:$P,10,FALSE),VLOOKUP(R$83,Cuision!$G:$P,9,FALSE),VLOOKUP(R$83,Cuision!$G:$P,10,FALSE)))</f>
        <v>4169.2137652284846</v>
      </c>
      <c r="S124" s="33">
        <f>IF($A124=S$83, 0, distance(VLOOKUP($A124,Cuision!$G:$P,9,FALSE),VLOOKUP($A124,Cuision!$G:$P,10,FALSE),VLOOKUP(S$83,Cuision!$G:$P,9,FALSE),VLOOKUP(S$83,Cuision!$G:$P,10,FALSE)))</f>
        <v>-1</v>
      </c>
      <c r="T124" s="33">
        <f>IF($A124=T$83, 0, distance(VLOOKUP($A124,Cuision!$G:$P,9,FALSE),VLOOKUP($A124,Cuision!$G:$P,10,FALSE),VLOOKUP(T$83,Cuision!$G:$P,9,FALSE),VLOOKUP(T$83,Cuision!$G:$P,10,FALSE)))</f>
        <v>1338.1655627347423</v>
      </c>
      <c r="U124" s="33">
        <f>IF($A124=U$83, 0, distance(VLOOKUP($A124,Cuision!$G:$P,9,FALSE),VLOOKUP($A124,Cuision!$G:$P,10,FALSE),VLOOKUP(U$83,Cuision!$G:$P,9,FALSE),VLOOKUP(U$83,Cuision!$G:$P,10,FALSE)))</f>
        <v>-1</v>
      </c>
      <c r="V124" s="33">
        <f>IF($A124=V$83, 0, distance(VLOOKUP($A124,Cuision!$G:$P,9,FALSE),VLOOKUP($A124,Cuision!$G:$P,10,FALSE),VLOOKUP(V$83,Cuision!$G:$P,9,FALSE),VLOOKUP(V$83,Cuision!$G:$P,10,FALSE)))</f>
        <v>7483.5819315311392</v>
      </c>
      <c r="W124" s="33">
        <f>IF($A124=W$83, 0, distance(VLOOKUP($A124,Cuision!$G:$P,9,FALSE),VLOOKUP($A124,Cuision!$G:$P,10,FALSE),VLOOKUP(W$83,Cuision!$G:$P,9,FALSE),VLOOKUP(W$83,Cuision!$G:$P,10,FALSE)))</f>
        <v>2140.3716366107378</v>
      </c>
      <c r="X124" s="33">
        <f>IF($A124=X$83, 0, distance(VLOOKUP($A124,Cuision!$G:$P,9,FALSE),VLOOKUP($A124,Cuision!$G:$P,10,FALSE),VLOOKUP(X$83,Cuision!$G:$P,9,FALSE),VLOOKUP(X$83,Cuision!$G:$P,10,FALSE)))</f>
        <v>4518.7524609586753</v>
      </c>
      <c r="Y124" s="33">
        <f>IF($A124=Y$83, 0, distance(VLOOKUP($A124,Cuision!$G:$P,9,FALSE),VLOOKUP($A124,Cuision!$G:$P,10,FALSE),VLOOKUP(Y$83,Cuision!$G:$P,9,FALSE),VLOOKUP(Y$83,Cuision!$G:$P,10,FALSE)))</f>
        <v>2346.7939937671476</v>
      </c>
      <c r="Z124" s="33">
        <f>IF($A124=Z$83, 0, distance(VLOOKUP($A124,Cuision!$G:$P,9,FALSE),VLOOKUP($A124,Cuision!$G:$P,10,FALSE),VLOOKUP(Z$83,Cuision!$G:$P,9,FALSE),VLOOKUP(Z$83,Cuision!$G:$P,10,FALSE)))</f>
        <v>-1</v>
      </c>
      <c r="AA124" s="33">
        <f>IF($A124=AA$83, 0, distance(VLOOKUP($A124,Cuision!$G:$P,9,FALSE),VLOOKUP($A124,Cuision!$G:$P,10,FALSE),VLOOKUP(AA$83,Cuision!$G:$P,9,FALSE),VLOOKUP(AA$83,Cuision!$G:$P,10,FALSE)))</f>
        <v>8610.3280203072864</v>
      </c>
      <c r="AB124" s="33">
        <f>IF($A124=AB$83, 0, distance(VLOOKUP($A124,Cuision!$G:$P,9,FALSE),VLOOKUP($A124,Cuision!$G:$P,10,FALSE),VLOOKUP(AB$83,Cuision!$G:$P,9,FALSE),VLOOKUP(AB$83,Cuision!$G:$P,10,FALSE)))</f>
        <v>3545.3594800453084</v>
      </c>
      <c r="AC124" s="33">
        <f>IF($A124=AC$83, 0, distance(VLOOKUP($A124,Cuision!$G:$P,9,FALSE),VLOOKUP($A124,Cuision!$G:$P,10,FALSE),VLOOKUP(AC$83,Cuision!$G:$P,9,FALSE),VLOOKUP(AC$83,Cuision!$G:$P,10,FALSE)))</f>
        <v>2838.2431048792996</v>
      </c>
      <c r="AD124" s="33">
        <f>IF($A124=AD$83, 0, distance(VLOOKUP($A124,Cuision!$G:$P,9,FALSE),VLOOKUP($A124,Cuision!$G:$P,10,FALSE),VLOOKUP(AD$83,Cuision!$G:$P,9,FALSE),VLOOKUP(AD$83,Cuision!$G:$P,10,FALSE)))</f>
        <v>2954.1636770714822</v>
      </c>
      <c r="AE124" s="33">
        <f>IF($A124=AE$83, 0, distance(VLOOKUP($A124,Cuision!$G:$P,9,FALSE),VLOOKUP($A124,Cuision!$G:$P,10,FALSE),VLOOKUP(AE$83,Cuision!$G:$P,9,FALSE),VLOOKUP(AE$83,Cuision!$G:$P,10,FALSE)))</f>
        <v>3682.6063320824437</v>
      </c>
      <c r="AF124" s="33">
        <f>IF($A124=AF$83, 0, distance(VLOOKUP($A124,Cuision!$G:$P,9,FALSE),VLOOKUP($A124,Cuision!$G:$P,10,FALSE),VLOOKUP(AF$83,Cuision!$G:$P,9,FALSE),VLOOKUP(AF$83,Cuision!$G:$P,10,FALSE)))</f>
        <v>4091.9372885391103</v>
      </c>
      <c r="AG124" s="33">
        <f>IF($A124=AG$83, 0, distance(VLOOKUP($A124,Cuision!$G:$P,9,FALSE),VLOOKUP($A124,Cuision!$G:$P,10,FALSE),VLOOKUP(AG$83,Cuision!$G:$P,9,FALSE),VLOOKUP(AG$83,Cuision!$G:$P,10,FALSE)))</f>
        <v>3590.6978410378561</v>
      </c>
      <c r="AH124" s="33">
        <f>IF($A124=AH$83, 0, distance(VLOOKUP($A124,Cuision!$G:$P,9,FALSE),VLOOKUP($A124,Cuision!$G:$P,10,FALSE),VLOOKUP(AH$83,Cuision!$G:$P,9,FALSE),VLOOKUP(AH$83,Cuision!$G:$P,10,FALSE)))</f>
        <v>-1</v>
      </c>
      <c r="AI124" s="33">
        <f>IF($A124=AI$83, 0, distance(VLOOKUP($A124,Cuision!$G:$P,9,FALSE),VLOOKUP($A124,Cuision!$G:$P,10,FALSE),VLOOKUP(AI$83,Cuision!$G:$P,9,FALSE),VLOOKUP(AI$83,Cuision!$G:$P,10,FALSE)))</f>
        <v>3112.7413256494351</v>
      </c>
      <c r="AJ124" s="33">
        <f>IF($A124=AJ$83, 0, distance(VLOOKUP($A124,Cuision!$G:$P,9,FALSE),VLOOKUP($A124,Cuision!$G:$P,10,FALSE),VLOOKUP(AJ$83,Cuision!$G:$P,9,FALSE),VLOOKUP(AJ$83,Cuision!$G:$P,10,FALSE)))</f>
        <v>2088.3496191523295</v>
      </c>
      <c r="AK124" s="33">
        <f>IF($A124=AK$83, 0, distance(VLOOKUP($A124,Cuision!$G:$P,9,FALSE),VLOOKUP($A124,Cuision!$G:$P,10,FALSE),VLOOKUP(AK$83,Cuision!$G:$P,9,FALSE),VLOOKUP(AK$83,Cuision!$G:$P,10,FALSE)))</f>
        <v>7573.7244502058065</v>
      </c>
      <c r="AL124" s="33">
        <f>IF($A124=AL$83, 0, distance(VLOOKUP($A124,Cuision!$G:$P,9,FALSE),VLOOKUP($A124,Cuision!$G:$P,10,FALSE),VLOOKUP(AL$83,Cuision!$G:$P,9,FALSE),VLOOKUP(AL$83,Cuision!$G:$P,10,FALSE)))</f>
        <v>497.49661255368045</v>
      </c>
      <c r="AM124" s="33">
        <f>IF($A124=AM$83, 0, distance(VLOOKUP($A124,Cuision!$G:$P,9,FALSE),VLOOKUP($A124,Cuision!$G:$P,10,FALSE),VLOOKUP(AM$83,Cuision!$G:$P,9,FALSE),VLOOKUP(AM$83,Cuision!$G:$P,10,FALSE)))</f>
        <v>-1</v>
      </c>
      <c r="AN124" s="33">
        <f>IF($A124=AN$83, 0, distance(VLOOKUP($A124,Cuision!$G:$P,9,FALSE),VLOOKUP($A124,Cuision!$G:$P,10,FALSE),VLOOKUP(AN$83,Cuision!$G:$P,9,FALSE),VLOOKUP(AN$83,Cuision!$G:$P,10,FALSE)))</f>
        <v>3332.9397386244718</v>
      </c>
      <c r="AO124" s="33">
        <f>IF($A124=AO$83, 0, distance(VLOOKUP($A124,Cuision!$G:$P,9,FALSE),VLOOKUP($A124,Cuision!$G:$P,10,FALSE),VLOOKUP(AO$83,Cuision!$G:$P,9,FALSE),VLOOKUP(AO$83,Cuision!$G:$P,10,FALSE)))</f>
        <v>4518.7524609586753</v>
      </c>
      <c r="AP124" s="33">
        <f>IF($A124=AP$83, 0, distance(VLOOKUP($A124,Cuision!$G:$P,9,FALSE),VLOOKUP($A124,Cuision!$G:$P,10,FALSE),VLOOKUP(AP$83,Cuision!$G:$P,9,FALSE),VLOOKUP(AP$83,Cuision!$G:$P,10,FALSE)))</f>
        <v>0</v>
      </c>
      <c r="AQ124" s="33">
        <f>IF($A124=AQ$83, 0, distance(VLOOKUP($A124,Cuision!$G:$P,9,FALSE),VLOOKUP($A124,Cuision!$G:$P,10,FALSE),VLOOKUP(AQ$83,Cuision!$G:$P,9,FALSE),VLOOKUP(AQ$83,Cuision!$G:$P,10,FALSE)))</f>
        <v>3112.1120461825408</v>
      </c>
      <c r="AR124" s="33">
        <f>IF($A124=AR$83, 0, distance(VLOOKUP($A124,Cuision!$G:$P,9,FALSE),VLOOKUP($A124,Cuision!$G:$P,10,FALSE),VLOOKUP(AR$83,Cuision!$G:$P,9,FALSE),VLOOKUP(AR$83,Cuision!$G:$P,10,FALSE)))</f>
        <v>4169.2137652284846</v>
      </c>
      <c r="AS124" s="33">
        <f>IF($A124=AS$83, 0, distance(VLOOKUP($A124,Cuision!$G:$P,9,FALSE),VLOOKUP($A124,Cuision!$G:$P,10,FALSE),VLOOKUP(AS$83,Cuision!$G:$P,9,FALSE),VLOOKUP(AS$83,Cuision!$G:$P,10,FALSE)))</f>
        <v>3676.5290660046767</v>
      </c>
      <c r="AT124" s="33">
        <f>IF($A124=AT$83, 0, distance(VLOOKUP($A124,Cuision!$G:$P,9,FALSE),VLOOKUP($A124,Cuision!$G:$P,10,FALSE),VLOOKUP(AT$83,Cuision!$G:$P,9,FALSE),VLOOKUP(AT$83,Cuision!$G:$P,10,FALSE)))</f>
        <v>3625.5469699099899</v>
      </c>
      <c r="AU124" s="33">
        <f>IF($A124=AU$83, 0, distance(VLOOKUP($A124,Cuision!$G:$P,9,FALSE),VLOOKUP($A124,Cuision!$G:$P,10,FALSE),VLOOKUP(AU$83,Cuision!$G:$P,9,FALSE),VLOOKUP(AU$83,Cuision!$G:$P,10,FALSE)))</f>
        <v>2910.7982459744508</v>
      </c>
      <c r="AV124" s="33">
        <f>IF($A124=AV$83, 0, distance(VLOOKUP($A124,Cuision!$G:$P,9,FALSE),VLOOKUP($A124,Cuision!$G:$P,10,FALSE),VLOOKUP(AV$83,Cuision!$G:$P,9,FALSE),VLOOKUP(AV$83,Cuision!$G:$P,10,FALSE)))</f>
        <v>2680.1713476259629</v>
      </c>
      <c r="AW124" s="33">
        <f>IF($A124=AW$83, 0, distance(VLOOKUP($A124,Cuision!$G:$P,9,FALSE),VLOOKUP($A124,Cuision!$G:$P,10,FALSE),VLOOKUP(AW$83,Cuision!$G:$P,9,FALSE),VLOOKUP(AW$83,Cuision!$G:$P,10,FALSE)))</f>
        <v>1765.9242496543795</v>
      </c>
      <c r="AX124" s="33">
        <f>IF($A124=AX$83, 0, distance(VLOOKUP($A124,Cuision!$G:$P,9,FALSE),VLOOKUP($A124,Cuision!$G:$P,10,FALSE),VLOOKUP(AX$83,Cuision!$G:$P,9,FALSE),VLOOKUP(AX$83,Cuision!$G:$P,10,FALSE)))</f>
        <v>9248.6243855740522</v>
      </c>
      <c r="AY124" s="33">
        <f>IF($A124=AY$83, 0, distance(VLOOKUP($A124,Cuision!$G:$P,9,FALSE),VLOOKUP($A124,Cuision!$G:$P,10,FALSE),VLOOKUP(AY$83,Cuision!$G:$P,9,FALSE),VLOOKUP(AY$83,Cuision!$G:$P,10,FALSE)))</f>
        <v>-1</v>
      </c>
      <c r="AZ124" s="33">
        <f>IF($A124=AZ$83, 0, distance(VLOOKUP($A124,Cuision!$G:$P,9,FALSE),VLOOKUP($A124,Cuision!$G:$P,10,FALSE),VLOOKUP(AZ$83,Cuision!$G:$P,9,FALSE),VLOOKUP(AZ$83,Cuision!$G:$P,10,FALSE)))</f>
        <v>2385.3827971402588</v>
      </c>
      <c r="BA124" s="33">
        <f>IF($A124=BA$83, 0, distance(VLOOKUP($A124,Cuision!$G:$P,9,FALSE),VLOOKUP($A124,Cuision!$G:$P,10,FALSE),VLOOKUP(BA$83,Cuision!$G:$P,9,FALSE),VLOOKUP(BA$83,Cuision!$G:$P,10,FALSE)))</f>
        <v>3457.1650064051319</v>
      </c>
      <c r="BB124" s="33">
        <f>IF($A124=BB$83, 0, distance(VLOOKUP($A124,Cuision!$G:$P,9,FALSE),VLOOKUP($A124,Cuision!$G:$P,10,FALSE),VLOOKUP(BB$83,Cuision!$G:$P,9,FALSE),VLOOKUP(BB$83,Cuision!$G:$P,10,FALSE)))</f>
        <v>9106.1195590701755</v>
      </c>
      <c r="BC124" s="33">
        <f>IF($A124=BC$83, 0, distance(VLOOKUP($A124,Cuision!$G:$P,9,FALSE),VLOOKUP($A124,Cuision!$G:$P,10,FALSE),VLOOKUP(BC$83,Cuision!$G:$P,9,FALSE),VLOOKUP(BC$83,Cuision!$G:$P,10,FALSE)))</f>
        <v>2088.3496191523295</v>
      </c>
      <c r="BD124" s="33">
        <f>IF($A124=BD$83, 0, distance(VLOOKUP($A124,Cuision!$G:$P,9,FALSE),VLOOKUP($A124,Cuision!$G:$P,10,FALSE),VLOOKUP(BD$83,Cuision!$G:$P,9,FALSE),VLOOKUP(BD$83,Cuision!$G:$P,10,FALSE)))</f>
        <v>2065.8041679469675</v>
      </c>
      <c r="BE124" s="33">
        <f>IF($A124=BE$83, 0, distance(VLOOKUP($A124,Cuision!$G:$P,9,FALSE),VLOOKUP($A124,Cuision!$G:$P,10,FALSE),VLOOKUP(BE$83,Cuision!$G:$P,9,FALSE),VLOOKUP(BE$83,Cuision!$G:$P,10,FALSE)))</f>
        <v>4830.0302722295401</v>
      </c>
      <c r="BF124" s="33">
        <f>IF($A124=BF$83, 0, distance(VLOOKUP($A124,Cuision!$G:$P,9,FALSE),VLOOKUP($A124,Cuision!$G:$P,10,FALSE),VLOOKUP(BF$83,Cuision!$G:$P,9,FALSE),VLOOKUP(BF$83,Cuision!$G:$P,10,FALSE)))</f>
        <v>429.11697915519238</v>
      </c>
      <c r="BG124" s="33">
        <f>IF($A124=BG$83, 0, distance(VLOOKUP($A124,Cuision!$G:$P,9,FALSE),VLOOKUP($A124,Cuision!$G:$P,10,FALSE),VLOOKUP(BG$83,Cuision!$G:$P,9,FALSE),VLOOKUP(BG$83,Cuision!$G:$P,10,FALSE)))</f>
        <v>1580.1260801433057</v>
      </c>
      <c r="BH124" s="33">
        <f>IF($A124=BH$83, 0, distance(VLOOKUP($A124,Cuision!$G:$P,9,FALSE),VLOOKUP($A124,Cuision!$G:$P,10,FALSE),VLOOKUP(BH$83,Cuision!$G:$P,9,FALSE),VLOOKUP(BH$83,Cuision!$G:$P,10,FALSE)))</f>
        <v>10420.116119456934</v>
      </c>
      <c r="BI124" s="33">
        <f>IF($A124=BI$83, 0, distance(VLOOKUP($A124,Cuision!$G:$P,9,FALSE),VLOOKUP($A124,Cuision!$G:$P,10,FALSE),VLOOKUP(BI$83,Cuision!$G:$P,9,FALSE),VLOOKUP(BI$83,Cuision!$G:$P,10,FALSE)))</f>
        <v>3269.6805055945129</v>
      </c>
      <c r="BJ124" s="33">
        <f>IF($A124=BJ$83, 0, distance(VLOOKUP($A124,Cuision!$G:$P,9,FALSE),VLOOKUP($A124,Cuision!$G:$P,10,FALSE),VLOOKUP(BJ$83,Cuision!$G:$P,9,FALSE),VLOOKUP(BJ$83,Cuision!$G:$P,10,FALSE)))</f>
        <v>4830.4662832354943</v>
      </c>
      <c r="BK124" s="33">
        <f>IF($A124=BK$83, 0, distance(VLOOKUP($A124,Cuision!$G:$P,9,FALSE),VLOOKUP($A124,Cuision!$G:$P,10,FALSE),VLOOKUP(BK$83,Cuision!$G:$P,9,FALSE),VLOOKUP(BK$83,Cuision!$G:$P,10,FALSE)))</f>
        <v>2696.8145428353696</v>
      </c>
      <c r="BL124" s="33">
        <f>IF($A124=BL$83, 0, distance(VLOOKUP($A124,Cuision!$G:$P,9,FALSE),VLOOKUP($A124,Cuision!$G:$P,10,FALSE),VLOOKUP(BL$83,Cuision!$G:$P,9,FALSE),VLOOKUP(BL$83,Cuision!$G:$P,10,FALSE)))</f>
        <v>-1</v>
      </c>
      <c r="BM124" s="33">
        <f>IF($A124=BM$83, 0, distance(VLOOKUP($A124,Cuision!$G:$P,9,FALSE),VLOOKUP($A124,Cuision!$G:$P,10,FALSE),VLOOKUP(BM$83,Cuision!$G:$P,9,FALSE),VLOOKUP(BM$83,Cuision!$G:$P,10,FALSE)))</f>
        <v>-1</v>
      </c>
      <c r="BN124" s="33">
        <f>IF($A124=BN$83, 0, distance(VLOOKUP($A124,Cuision!$G:$P,9,FALSE),VLOOKUP($A124,Cuision!$G:$P,10,FALSE),VLOOKUP(BN$83,Cuision!$G:$P,9,FALSE),VLOOKUP(BN$83,Cuision!$G:$P,10,FALSE)))</f>
        <v>4169.2137652284846</v>
      </c>
      <c r="BO124" s="33">
        <f>IF($A124=BO$83, 0, distance(VLOOKUP($A124,Cuision!$G:$P,9,FALSE),VLOOKUP($A124,Cuision!$G:$P,10,FALSE),VLOOKUP(BO$83,Cuision!$G:$P,9,FALSE),VLOOKUP(BO$83,Cuision!$G:$P,10,FALSE)))</f>
        <v>2579.2412306583092</v>
      </c>
      <c r="BP124" s="33">
        <f>IF($A124=BP$83, 0, distance(VLOOKUP($A124,Cuision!$G:$P,9,FALSE),VLOOKUP($A124,Cuision!$G:$P,10,FALSE),VLOOKUP(BP$83,Cuision!$G:$P,9,FALSE),VLOOKUP(BP$83,Cuision!$G:$P,10,FALSE)))</f>
        <v>3423.1551843068614</v>
      </c>
      <c r="BQ124" s="33">
        <f>IF($A124=BQ$83, 0, distance(VLOOKUP($A124,Cuision!$G:$P,9,FALSE),VLOOKUP($A124,Cuision!$G:$P,10,FALSE),VLOOKUP(BQ$83,Cuision!$G:$P,9,FALSE),VLOOKUP(BQ$83,Cuision!$G:$P,10,FALSE)))</f>
        <v>-1</v>
      </c>
      <c r="BR124" s="33">
        <f>IF($A124=BR$83, 0, distance(VLOOKUP($A124,Cuision!$G:$P,9,FALSE),VLOOKUP($A124,Cuision!$G:$P,10,FALSE),VLOOKUP(BR$83,Cuision!$G:$P,9,FALSE),VLOOKUP(BR$83,Cuision!$G:$P,10,FALSE)))</f>
        <v>7483.5819315311392</v>
      </c>
      <c r="BS124" s="33">
        <f>IF($A124=BS$83, 0, distance(VLOOKUP($A124,Cuision!$G:$P,9,FALSE),VLOOKUP($A124,Cuision!$G:$P,10,FALSE),VLOOKUP(BS$83,Cuision!$G:$P,9,FALSE),VLOOKUP(BS$83,Cuision!$G:$P,10,FALSE)))</f>
        <v>2346.7939937671476</v>
      </c>
      <c r="BT124" s="33">
        <f>IF($A124=BT$83, 0, distance(VLOOKUP($A124,Cuision!$G:$P,9,FALSE),VLOOKUP($A124,Cuision!$G:$P,10,FALSE),VLOOKUP(BT$83,Cuision!$G:$P,9,FALSE),VLOOKUP(BT$83,Cuision!$G:$P,10,FALSE)))</f>
        <v>4518.7524609586753</v>
      </c>
      <c r="BU124" s="33">
        <f>IF($A124=BU$83, 0, distance(VLOOKUP($A124,Cuision!$G:$P,9,FALSE),VLOOKUP($A124,Cuision!$G:$P,10,FALSE),VLOOKUP(BU$83,Cuision!$G:$P,9,FALSE),VLOOKUP(BU$83,Cuision!$G:$P,10,FALSE)))</f>
        <v>1812.3443359263588</v>
      </c>
      <c r="BV124" s="33">
        <f>IF($A124=BV$83, 0, distance(VLOOKUP($A124,Cuision!$G:$P,9,FALSE),VLOOKUP($A124,Cuision!$G:$P,10,FALSE),VLOOKUP(BV$83,Cuision!$G:$P,9,FALSE),VLOOKUP(BV$83,Cuision!$G:$P,10,FALSE)))</f>
        <v>2620.7295112231409</v>
      </c>
      <c r="BW124" s="33">
        <f>IF($A124=BW$83, 0, distance(VLOOKUP($A124,Cuision!$G:$P,9,FALSE),VLOOKUP($A124,Cuision!$G:$P,10,FALSE),VLOOKUP(BW$83,Cuision!$G:$P,9,FALSE),VLOOKUP(BW$83,Cuision!$G:$P,10,FALSE)))</f>
        <v>2843.9373472507573</v>
      </c>
      <c r="BX124" s="33">
        <f>IF($A124=BX$83, 0, distance(VLOOKUP($A124,Cuision!$G:$P,9,FALSE),VLOOKUP($A124,Cuision!$G:$P,10,FALSE),VLOOKUP(BX$83,Cuision!$G:$P,9,FALSE),VLOOKUP(BX$83,Cuision!$G:$P,10,FALSE)))</f>
        <v>981.48839106798016</v>
      </c>
      <c r="BY124" s="33">
        <f>IF($A124=BY$83, 0, distance(VLOOKUP($A124,Cuision!$G:$P,9,FALSE),VLOOKUP($A124,Cuision!$G:$P,10,FALSE),VLOOKUP(BY$83,Cuision!$G:$P,9,FALSE),VLOOKUP(BY$83,Cuision!$G:$P,10,FALSE)))</f>
        <v>-1</v>
      </c>
      <c r="BZ124" s="33">
        <f>IF($A124=BZ$83, 0, distance(VLOOKUP($A124,Cuision!$G:$P,9,FALSE),VLOOKUP($A124,Cuision!$G:$P,10,FALSE),VLOOKUP(BZ$83,Cuision!$G:$P,9,FALSE),VLOOKUP(BZ$83,Cuision!$G:$P,10,FALSE)))</f>
        <v>-1</v>
      </c>
      <c r="CA124" s="33">
        <f>IF($A124=CA$83, 0, distance(VLOOKUP($A124,Cuision!$G:$P,9,FALSE),VLOOKUP($A124,Cuision!$G:$P,10,FALSE),VLOOKUP(CA$83,Cuision!$G:$P,9,FALSE),VLOOKUP(CA$83,Cuision!$G:$P,10,FALSE)))</f>
        <v>1864.8724647689835</v>
      </c>
    </row>
    <row r="125" spans="1:79" ht="14.25" x14ac:dyDescent="0.2">
      <c r="A125" s="30" t="s">
        <v>94</v>
      </c>
      <c r="B125" s="33">
        <f>IF($A125=B$83, 0, distance(VLOOKUP($A125,Cuision!$G:$P,9,FALSE),VLOOKUP($A125,Cuision!$G:$P,10,FALSE),VLOOKUP(B$83,Cuision!$G:$P,9,FALSE),VLOOKUP(B$83,Cuision!$G:$P,10,FALSE)))</f>
        <v>3735.3525308344369</v>
      </c>
      <c r="C125" s="33">
        <f>IF($A125=C$83, 0, distance(VLOOKUP($A125,Cuision!$G:$P,9,FALSE),VLOOKUP($A125,Cuision!$G:$P,10,FALSE),VLOOKUP(C$83,Cuision!$G:$P,9,FALSE),VLOOKUP(C$83,Cuision!$G:$P,10,FALSE)))</f>
        <v>4951.4508885365158</v>
      </c>
      <c r="D125" s="33">
        <f>IF($A125=D$83, 0, distance(VLOOKUP($A125,Cuision!$G:$P,9,FALSE),VLOOKUP($A125,Cuision!$G:$P,10,FALSE),VLOOKUP(D$83,Cuision!$G:$P,9,FALSE),VLOOKUP(D$83,Cuision!$G:$P,10,FALSE)))</f>
        <v>10164.61701869959</v>
      </c>
      <c r="E125" s="33">
        <f>IF($A125=E$83, 0, distance(VLOOKUP($A125,Cuision!$G:$P,9,FALSE),VLOOKUP($A125,Cuision!$G:$P,10,FALSE),VLOOKUP(E$83,Cuision!$G:$P,9,FALSE),VLOOKUP(E$83,Cuision!$G:$P,10,FALSE)))</f>
        <v>10164.61701869959</v>
      </c>
      <c r="F125" s="33">
        <f>IF($A125=F$83, 0, distance(VLOOKUP($A125,Cuision!$G:$P,9,FALSE),VLOOKUP($A125,Cuision!$G:$P,10,FALSE),VLOOKUP(F$83,Cuision!$G:$P,9,FALSE),VLOOKUP(F$83,Cuision!$G:$P,10,FALSE)))</f>
        <v>4915.9478722838057</v>
      </c>
      <c r="G125" s="33">
        <f>IF($A125=G$83, 0, distance(VLOOKUP($A125,Cuision!$G:$P,9,FALSE),VLOOKUP($A125,Cuision!$G:$P,10,FALSE),VLOOKUP(G$83,Cuision!$G:$P,9,FALSE),VLOOKUP(G$83,Cuision!$G:$P,10,FALSE)))</f>
        <v>9455.9225918860575</v>
      </c>
      <c r="H125" s="33">
        <f>IF($A125=H$83, 0, distance(VLOOKUP($A125,Cuision!$G:$P,9,FALSE),VLOOKUP($A125,Cuision!$G:$P,10,FALSE),VLOOKUP(H$83,Cuision!$G:$P,9,FALSE),VLOOKUP(H$83,Cuision!$G:$P,10,FALSE)))</f>
        <v>5083.1172531919447</v>
      </c>
      <c r="I125" s="33">
        <f>IF($A125=I$83, 0, distance(VLOOKUP($A125,Cuision!$G:$P,9,FALSE),VLOOKUP($A125,Cuision!$G:$P,10,FALSE),VLOOKUP(I$83,Cuision!$G:$P,9,FALSE),VLOOKUP(I$83,Cuision!$G:$P,10,FALSE)))</f>
        <v>2811.0863250031775</v>
      </c>
      <c r="J125" s="33">
        <f>IF($A125=J$83, 0, distance(VLOOKUP($A125,Cuision!$G:$P,9,FALSE),VLOOKUP($A125,Cuision!$G:$P,10,FALSE),VLOOKUP(J$83,Cuision!$G:$P,9,FALSE),VLOOKUP(J$83,Cuision!$G:$P,10,FALSE)))</f>
        <v>3349.3045779325776</v>
      </c>
      <c r="K125" s="33">
        <f>IF($A125=K$83, 0, distance(VLOOKUP($A125,Cuision!$G:$P,9,FALSE),VLOOKUP($A125,Cuision!$G:$P,10,FALSE),VLOOKUP(K$83,Cuision!$G:$P,9,FALSE),VLOOKUP(K$83,Cuision!$G:$P,10,FALSE)))</f>
        <v>6559.7637523993626</v>
      </c>
      <c r="L125" s="33">
        <f>IF($A125=L$83, 0, distance(VLOOKUP($A125,Cuision!$G:$P,9,FALSE),VLOOKUP($A125,Cuision!$G:$P,10,FALSE),VLOOKUP(L$83,Cuision!$G:$P,9,FALSE),VLOOKUP(L$83,Cuision!$G:$P,10,FALSE)))</f>
        <v>2345.7147134373649</v>
      </c>
      <c r="M125" s="33">
        <f>IF($A125=M$83, 0, distance(VLOOKUP($A125,Cuision!$G:$P,9,FALSE),VLOOKUP($A125,Cuision!$G:$P,10,FALSE),VLOOKUP(M$83,Cuision!$G:$P,9,FALSE),VLOOKUP(M$83,Cuision!$G:$P,10,FALSE)))</f>
        <v>-1</v>
      </c>
      <c r="N125" s="33">
        <f>IF($A125=N$83, 0, distance(VLOOKUP($A125,Cuision!$G:$P,9,FALSE),VLOOKUP($A125,Cuision!$G:$P,10,FALSE),VLOOKUP(N$83,Cuision!$G:$P,9,FALSE),VLOOKUP(N$83,Cuision!$G:$P,10,FALSE)))</f>
        <v>7573.7655786686109</v>
      </c>
      <c r="O125" s="33">
        <f>IF($A125=O$83, 0, distance(VLOOKUP($A125,Cuision!$G:$P,9,FALSE),VLOOKUP($A125,Cuision!$G:$P,10,FALSE),VLOOKUP(O$83,Cuision!$G:$P,9,FALSE),VLOOKUP(O$83,Cuision!$G:$P,10,FALSE)))</f>
        <v>7095.0938065903119</v>
      </c>
      <c r="P125" s="33">
        <f>IF($A125=P$83, 0, distance(VLOOKUP($A125,Cuision!$G:$P,9,FALSE),VLOOKUP($A125,Cuision!$G:$P,10,FALSE),VLOOKUP(P$83,Cuision!$G:$P,9,FALSE),VLOOKUP(P$83,Cuision!$G:$P,10,FALSE)))</f>
        <v>10137.312517016759</v>
      </c>
      <c r="Q125" s="33">
        <f>IF($A125=Q$83, 0, distance(VLOOKUP($A125,Cuision!$G:$P,9,FALSE),VLOOKUP($A125,Cuision!$G:$P,10,FALSE),VLOOKUP(Q$83,Cuision!$G:$P,9,FALSE),VLOOKUP(Q$83,Cuision!$G:$P,10,FALSE)))</f>
        <v>-1</v>
      </c>
      <c r="R125" s="33">
        <f>IF($A125=R$83, 0, distance(VLOOKUP($A125,Cuision!$G:$P,9,FALSE),VLOOKUP($A125,Cuision!$G:$P,10,FALSE),VLOOKUP(R$83,Cuision!$G:$P,9,FALSE),VLOOKUP(R$83,Cuision!$G:$P,10,FALSE)))</f>
        <v>7281.2813396087786</v>
      </c>
      <c r="S125" s="33">
        <f>IF($A125=S$83, 0, distance(VLOOKUP($A125,Cuision!$G:$P,9,FALSE),VLOOKUP($A125,Cuision!$G:$P,10,FALSE),VLOOKUP(S$83,Cuision!$G:$P,9,FALSE),VLOOKUP(S$83,Cuision!$G:$P,10,FALSE)))</f>
        <v>-1</v>
      </c>
      <c r="T125" s="33">
        <f>IF($A125=T$83, 0, distance(VLOOKUP($A125,Cuision!$G:$P,9,FALSE),VLOOKUP($A125,Cuision!$G:$P,10,FALSE),VLOOKUP(T$83,Cuision!$G:$P,9,FALSE),VLOOKUP(T$83,Cuision!$G:$P,10,FALSE)))</f>
        <v>1936.0103650545723</v>
      </c>
      <c r="U125" s="33">
        <f>IF($A125=U$83, 0, distance(VLOOKUP($A125,Cuision!$G:$P,9,FALSE),VLOOKUP($A125,Cuision!$G:$P,10,FALSE),VLOOKUP(U$83,Cuision!$G:$P,9,FALSE),VLOOKUP(U$83,Cuision!$G:$P,10,FALSE)))</f>
        <v>-1</v>
      </c>
      <c r="V125" s="33">
        <f>IF($A125=V$83, 0, distance(VLOOKUP($A125,Cuision!$G:$P,9,FALSE),VLOOKUP($A125,Cuision!$G:$P,10,FALSE),VLOOKUP(V$83,Cuision!$G:$P,9,FALSE),VLOOKUP(V$83,Cuision!$G:$P,10,FALSE)))</f>
        <v>10164.61701869959</v>
      </c>
      <c r="W125" s="33">
        <f>IF($A125=W$83, 0, distance(VLOOKUP($A125,Cuision!$G:$P,9,FALSE),VLOOKUP($A125,Cuision!$G:$P,10,FALSE),VLOOKUP(W$83,Cuision!$G:$P,9,FALSE),VLOOKUP(W$83,Cuision!$G:$P,10,FALSE)))</f>
        <v>1234.8755640691495</v>
      </c>
      <c r="X125" s="33">
        <f>IF($A125=X$83, 0, distance(VLOOKUP($A125,Cuision!$G:$P,9,FALSE),VLOOKUP($A125,Cuision!$G:$P,10,FALSE),VLOOKUP(X$83,Cuision!$G:$P,9,FALSE),VLOOKUP(X$83,Cuision!$G:$P,10,FALSE)))</f>
        <v>7573.7655786686109</v>
      </c>
      <c r="Y125" s="33">
        <f>IF($A125=Y$83, 0, distance(VLOOKUP($A125,Cuision!$G:$P,9,FALSE),VLOOKUP($A125,Cuision!$G:$P,10,FALSE),VLOOKUP(Y$83,Cuision!$G:$P,9,FALSE),VLOOKUP(Y$83,Cuision!$G:$P,10,FALSE)))</f>
        <v>3244.0686769670197</v>
      </c>
      <c r="Z125" s="33">
        <f>IF($A125=Z$83, 0, distance(VLOOKUP($A125,Cuision!$G:$P,9,FALSE),VLOOKUP($A125,Cuision!$G:$P,10,FALSE),VLOOKUP(Z$83,Cuision!$G:$P,9,FALSE),VLOOKUP(Z$83,Cuision!$G:$P,10,FALSE)))</f>
        <v>-1</v>
      </c>
      <c r="AA125" s="33">
        <f>IF($A125=AA$83, 0, distance(VLOOKUP($A125,Cuision!$G:$P,9,FALSE),VLOOKUP($A125,Cuision!$G:$P,10,FALSE),VLOOKUP(AA$83,Cuision!$G:$P,9,FALSE),VLOOKUP(AA$83,Cuision!$G:$P,10,FALSE)))</f>
        <v>11115.688518558181</v>
      </c>
      <c r="AB125" s="33">
        <f>IF($A125=AB$83, 0, distance(VLOOKUP($A125,Cuision!$G:$P,9,FALSE),VLOOKUP($A125,Cuision!$G:$P,10,FALSE),VLOOKUP(AB$83,Cuision!$G:$P,9,FALSE),VLOOKUP(AB$83,Cuision!$G:$P,10,FALSE)))</f>
        <v>6654.493193937561</v>
      </c>
      <c r="AC125" s="33">
        <f>IF($A125=AC$83, 0, distance(VLOOKUP($A125,Cuision!$G:$P,9,FALSE),VLOOKUP($A125,Cuision!$G:$P,10,FALSE),VLOOKUP(AC$83,Cuision!$G:$P,9,FALSE),VLOOKUP(AC$83,Cuision!$G:$P,10,FALSE)))</f>
        <v>4805.7815287328185</v>
      </c>
      <c r="AD125" s="33">
        <f>IF($A125=AD$83, 0, distance(VLOOKUP($A125,Cuision!$G:$P,9,FALSE),VLOOKUP($A125,Cuision!$G:$P,10,FALSE),VLOOKUP(AD$83,Cuision!$G:$P,9,FALSE),VLOOKUP(AD$83,Cuision!$G:$P,10,FALSE)))</f>
        <v>1733.3376489699242</v>
      </c>
      <c r="AE125" s="33">
        <f>IF($A125=AE$83, 0, distance(VLOOKUP($A125,Cuision!$G:$P,9,FALSE),VLOOKUP($A125,Cuision!$G:$P,10,FALSE),VLOOKUP(AE$83,Cuision!$G:$P,9,FALSE),VLOOKUP(AE$83,Cuision!$G:$P,10,FALSE)))</f>
        <v>6742.6341915268467</v>
      </c>
      <c r="AF125" s="33">
        <f>IF($A125=AF$83, 0, distance(VLOOKUP($A125,Cuision!$G:$P,9,FALSE),VLOOKUP($A125,Cuision!$G:$P,10,FALSE),VLOOKUP(AF$83,Cuision!$G:$P,9,FALSE),VLOOKUP(AF$83,Cuision!$G:$P,10,FALSE)))</f>
        <v>7198.9210009248409</v>
      </c>
      <c r="AG125" s="33">
        <f>IF($A125=AG$83, 0, distance(VLOOKUP($A125,Cuision!$G:$P,9,FALSE),VLOOKUP($A125,Cuision!$G:$P,10,FALSE),VLOOKUP(AG$83,Cuision!$G:$P,9,FALSE),VLOOKUP(AG$83,Cuision!$G:$P,10,FALSE)))</f>
        <v>6702.8058669881839</v>
      </c>
      <c r="AH125" s="33">
        <f>IF($A125=AH$83, 0, distance(VLOOKUP($A125,Cuision!$G:$P,9,FALSE),VLOOKUP($A125,Cuision!$G:$P,10,FALSE),VLOOKUP(AH$83,Cuision!$G:$P,9,FALSE),VLOOKUP(AH$83,Cuision!$G:$P,10,FALSE)))</f>
        <v>-1</v>
      </c>
      <c r="AI125" s="33">
        <f>IF($A125=AI$83, 0, distance(VLOOKUP($A125,Cuision!$G:$P,9,FALSE),VLOOKUP($A125,Cuision!$G:$P,10,FALSE),VLOOKUP(AI$83,Cuision!$G:$P,9,FALSE),VLOOKUP(AI$83,Cuision!$G:$P,10,FALSE)))</f>
        <v>6110.5569663078604</v>
      </c>
      <c r="AJ125" s="33">
        <f>IF($A125=AJ$83, 0, distance(VLOOKUP($A125,Cuision!$G:$P,9,FALSE),VLOOKUP($A125,Cuision!$G:$P,10,FALSE),VLOOKUP(AJ$83,Cuision!$G:$P,9,FALSE),VLOOKUP(AJ$83,Cuision!$G:$P,10,FALSE)))</f>
        <v>4915.9478722838057</v>
      </c>
      <c r="AK125" s="33">
        <f>IF($A125=AK$83, 0, distance(VLOOKUP($A125,Cuision!$G:$P,9,FALSE),VLOOKUP($A125,Cuision!$G:$P,10,FALSE),VLOOKUP(AK$83,Cuision!$G:$P,9,FALSE),VLOOKUP(AK$83,Cuision!$G:$P,10,FALSE)))</f>
        <v>6853.8669507210698</v>
      </c>
      <c r="AL125" s="33">
        <f>IF($A125=AL$83, 0, distance(VLOOKUP($A125,Cuision!$G:$P,9,FALSE),VLOOKUP($A125,Cuision!$G:$P,10,FALSE),VLOOKUP(AL$83,Cuision!$G:$P,9,FALSE),VLOOKUP(AL$83,Cuision!$G:$P,10,FALSE)))</f>
        <v>2748.4456395929105</v>
      </c>
      <c r="AM125" s="33">
        <f>IF($A125=AM$83, 0, distance(VLOOKUP($A125,Cuision!$G:$P,9,FALSE),VLOOKUP($A125,Cuision!$G:$P,10,FALSE),VLOOKUP(AM$83,Cuision!$G:$P,9,FALSE),VLOOKUP(AM$83,Cuision!$G:$P,10,FALSE)))</f>
        <v>-1</v>
      </c>
      <c r="AN125" s="33">
        <f>IF($A125=AN$83, 0, distance(VLOOKUP($A125,Cuision!$G:$P,9,FALSE),VLOOKUP($A125,Cuision!$G:$P,10,FALSE),VLOOKUP(AN$83,Cuision!$G:$P,9,FALSE),VLOOKUP(AN$83,Cuision!$G:$P,10,FALSE)))</f>
        <v>6432.3165712422478</v>
      </c>
      <c r="AO125" s="33">
        <f>IF($A125=AO$83, 0, distance(VLOOKUP($A125,Cuision!$G:$P,9,FALSE),VLOOKUP($A125,Cuision!$G:$P,10,FALSE),VLOOKUP(AO$83,Cuision!$G:$P,9,FALSE),VLOOKUP(AO$83,Cuision!$G:$P,10,FALSE)))</f>
        <v>7573.7655786686109</v>
      </c>
      <c r="AP125" s="33">
        <f>IF($A125=AP$83, 0, distance(VLOOKUP($A125,Cuision!$G:$P,9,FALSE),VLOOKUP($A125,Cuision!$G:$P,10,FALSE),VLOOKUP(AP$83,Cuision!$G:$P,9,FALSE),VLOOKUP(AP$83,Cuision!$G:$P,10,FALSE)))</f>
        <v>3112.1120461825408</v>
      </c>
      <c r="AQ125" s="33">
        <f>IF($A125=AQ$83, 0, distance(VLOOKUP($A125,Cuision!$G:$P,9,FALSE),VLOOKUP($A125,Cuision!$G:$P,10,FALSE),VLOOKUP(AQ$83,Cuision!$G:$P,9,FALSE),VLOOKUP(AQ$83,Cuision!$G:$P,10,FALSE)))</f>
        <v>0</v>
      </c>
      <c r="AR125" s="33">
        <f>IF($A125=AR$83, 0, distance(VLOOKUP($A125,Cuision!$G:$P,9,FALSE),VLOOKUP($A125,Cuision!$G:$P,10,FALSE),VLOOKUP(AR$83,Cuision!$G:$P,9,FALSE),VLOOKUP(AR$83,Cuision!$G:$P,10,FALSE)))</f>
        <v>7281.2813396087786</v>
      </c>
      <c r="AS125" s="33">
        <f>IF($A125=AS$83, 0, distance(VLOOKUP($A125,Cuision!$G:$P,9,FALSE),VLOOKUP($A125,Cuision!$G:$P,10,FALSE),VLOOKUP(AS$83,Cuision!$G:$P,9,FALSE),VLOOKUP(AS$83,Cuision!$G:$P,10,FALSE)))</f>
        <v>6728.6555649442007</v>
      </c>
      <c r="AT125" s="33">
        <f>IF($A125=AT$83, 0, distance(VLOOKUP($A125,Cuision!$G:$P,9,FALSE),VLOOKUP($A125,Cuision!$G:$P,10,FALSE),VLOOKUP(AT$83,Cuision!$G:$P,9,FALSE),VLOOKUP(AT$83,Cuision!$G:$P,10,FALSE)))</f>
        <v>3594.6141112741957</v>
      </c>
      <c r="AU125" s="33">
        <f>IF($A125=AU$83, 0, distance(VLOOKUP($A125,Cuision!$G:$P,9,FALSE),VLOOKUP($A125,Cuision!$G:$P,10,FALSE),VLOOKUP(AU$83,Cuision!$G:$P,9,FALSE),VLOOKUP(AU$83,Cuision!$G:$P,10,FALSE)))</f>
        <v>3291.0080614428252</v>
      </c>
      <c r="AV125" s="33">
        <f>IF($A125=AV$83, 0, distance(VLOOKUP($A125,Cuision!$G:$P,9,FALSE),VLOOKUP($A125,Cuision!$G:$P,10,FALSE),VLOOKUP(AV$83,Cuision!$G:$P,9,FALSE),VLOOKUP(AV$83,Cuision!$G:$P,10,FALSE)))</f>
        <v>5635.3633516228456</v>
      </c>
      <c r="AW125" s="33">
        <f>IF($A125=AW$83, 0, distance(VLOOKUP($A125,Cuision!$G:$P,9,FALSE),VLOOKUP($A125,Cuision!$G:$P,10,FALSE),VLOOKUP(AW$83,Cuision!$G:$P,9,FALSE),VLOOKUP(AW$83,Cuision!$G:$P,10,FALSE)))</f>
        <v>1695.5516464679272</v>
      </c>
      <c r="AX125" s="33">
        <f>IF($A125=AX$83, 0, distance(VLOOKUP($A125,Cuision!$G:$P,9,FALSE),VLOOKUP($A125,Cuision!$G:$P,10,FALSE),VLOOKUP(AX$83,Cuision!$G:$P,9,FALSE),VLOOKUP(AX$83,Cuision!$G:$P,10,FALSE)))</f>
        <v>11337.656039779227</v>
      </c>
      <c r="AY125" s="33">
        <f>IF($A125=AY$83, 0, distance(VLOOKUP($A125,Cuision!$G:$P,9,FALSE),VLOOKUP($A125,Cuision!$G:$P,10,FALSE),VLOOKUP(AY$83,Cuision!$G:$P,9,FALSE),VLOOKUP(AY$83,Cuision!$G:$P,10,FALSE)))</f>
        <v>-1</v>
      </c>
      <c r="AZ125" s="33">
        <f>IF($A125=AZ$83, 0, distance(VLOOKUP($A125,Cuision!$G:$P,9,FALSE),VLOOKUP($A125,Cuision!$G:$P,10,FALSE),VLOOKUP(AZ$83,Cuision!$G:$P,9,FALSE),VLOOKUP(AZ$83,Cuision!$G:$P,10,FALSE)))</f>
        <v>737.58153667219597</v>
      </c>
      <c r="BA125" s="33">
        <f>IF($A125=BA$83, 0, distance(VLOOKUP($A125,Cuision!$G:$P,9,FALSE),VLOOKUP($A125,Cuision!$G:$P,10,FALSE),VLOOKUP(BA$83,Cuision!$G:$P,9,FALSE),VLOOKUP(BA$83,Cuision!$G:$P,10,FALSE)))</f>
        <v>6393.2597821384134</v>
      </c>
      <c r="BB125" s="33">
        <f>IF($A125=BB$83, 0, distance(VLOOKUP($A125,Cuision!$G:$P,9,FALSE),VLOOKUP($A125,Cuision!$G:$P,10,FALSE),VLOOKUP(BB$83,Cuision!$G:$P,9,FALSE),VLOOKUP(BB$83,Cuision!$G:$P,10,FALSE)))</f>
        <v>10466.664993473951</v>
      </c>
      <c r="BC125" s="33">
        <f>IF($A125=BC$83, 0, distance(VLOOKUP($A125,Cuision!$G:$P,9,FALSE),VLOOKUP($A125,Cuision!$G:$P,10,FALSE),VLOOKUP(BC$83,Cuision!$G:$P,9,FALSE),VLOOKUP(BC$83,Cuision!$G:$P,10,FALSE)))</f>
        <v>4915.9478722838057</v>
      </c>
      <c r="BD125" s="33">
        <f>IF($A125=BD$83, 0, distance(VLOOKUP($A125,Cuision!$G:$P,9,FALSE),VLOOKUP($A125,Cuision!$G:$P,10,FALSE),VLOOKUP(BD$83,Cuision!$G:$P,9,FALSE),VLOOKUP(BD$83,Cuision!$G:$P,10,FALSE)))</f>
        <v>3739.1512462718024</v>
      </c>
      <c r="BE125" s="33">
        <f>IF($A125=BE$83, 0, distance(VLOOKUP($A125,Cuision!$G:$P,9,FALSE),VLOOKUP($A125,Cuision!$G:$P,10,FALSE),VLOOKUP(BE$83,Cuision!$G:$P,9,FALSE),VLOOKUP(BE$83,Cuision!$G:$P,10,FALSE)))</f>
        <v>7810.3788900848749</v>
      </c>
      <c r="BF125" s="33">
        <f>IF($A125=BF$83, 0, distance(VLOOKUP($A125,Cuision!$G:$P,9,FALSE),VLOOKUP($A125,Cuision!$G:$P,10,FALSE),VLOOKUP(BF$83,Cuision!$G:$P,9,FALSE),VLOOKUP(BF$83,Cuision!$G:$P,10,FALSE)))</f>
        <v>3535.428838590648</v>
      </c>
      <c r="BG125" s="33">
        <f>IF($A125=BG$83, 0, distance(VLOOKUP($A125,Cuision!$G:$P,9,FALSE),VLOOKUP($A125,Cuision!$G:$P,10,FALSE),VLOOKUP(BG$83,Cuision!$G:$P,9,FALSE),VLOOKUP(BG$83,Cuision!$G:$P,10,FALSE)))</f>
        <v>4610.5155890172064</v>
      </c>
      <c r="BH125" s="33">
        <f>IF($A125=BH$83, 0, distance(VLOOKUP($A125,Cuision!$G:$P,9,FALSE),VLOOKUP($A125,Cuision!$G:$P,10,FALSE),VLOOKUP(BH$83,Cuision!$G:$P,9,FALSE),VLOOKUP(BH$83,Cuision!$G:$P,10,FALSE)))</f>
        <v>11147.43576475581</v>
      </c>
      <c r="BI125" s="33">
        <f>IF($A125=BI$83, 0, distance(VLOOKUP($A125,Cuision!$G:$P,9,FALSE),VLOOKUP($A125,Cuision!$G:$P,10,FALSE),VLOOKUP(BI$83,Cuision!$G:$P,9,FALSE),VLOOKUP(BI$83,Cuision!$G:$P,10,FALSE)))</f>
        <v>6381.7831116655998</v>
      </c>
      <c r="BJ125" s="33">
        <f>IF($A125=BJ$83, 0, distance(VLOOKUP($A125,Cuision!$G:$P,9,FALSE),VLOOKUP($A125,Cuision!$G:$P,10,FALSE),VLOOKUP(BJ$83,Cuision!$G:$P,9,FALSE),VLOOKUP(BJ$83,Cuision!$G:$P,10,FALSE)))</f>
        <v>7879.2905767524699</v>
      </c>
      <c r="BK125" s="33">
        <f>IF($A125=BK$83, 0, distance(VLOOKUP($A125,Cuision!$G:$P,9,FALSE),VLOOKUP($A125,Cuision!$G:$P,10,FALSE),VLOOKUP(BK$83,Cuision!$G:$P,9,FALSE),VLOOKUP(BK$83,Cuision!$G:$P,10,FALSE)))</f>
        <v>5785.7782982853114</v>
      </c>
      <c r="BL125" s="33">
        <f>IF($A125=BL$83, 0, distance(VLOOKUP($A125,Cuision!$G:$P,9,FALSE),VLOOKUP($A125,Cuision!$G:$P,10,FALSE),VLOOKUP(BL$83,Cuision!$G:$P,9,FALSE),VLOOKUP(BL$83,Cuision!$G:$P,10,FALSE)))</f>
        <v>-1</v>
      </c>
      <c r="BM125" s="33">
        <f>IF($A125=BM$83, 0, distance(VLOOKUP($A125,Cuision!$G:$P,9,FALSE),VLOOKUP($A125,Cuision!$G:$P,10,FALSE),VLOOKUP(BM$83,Cuision!$G:$P,9,FALSE),VLOOKUP(BM$83,Cuision!$G:$P,10,FALSE)))</f>
        <v>-1</v>
      </c>
      <c r="BN125" s="33">
        <f>IF($A125=BN$83, 0, distance(VLOOKUP($A125,Cuision!$G:$P,9,FALSE),VLOOKUP($A125,Cuision!$G:$P,10,FALSE),VLOOKUP(BN$83,Cuision!$G:$P,9,FALSE),VLOOKUP(BN$83,Cuision!$G:$P,10,FALSE)))</f>
        <v>7281.2813396087786</v>
      </c>
      <c r="BO125" s="33">
        <f>IF($A125=BO$83, 0, distance(VLOOKUP($A125,Cuision!$G:$P,9,FALSE),VLOOKUP($A125,Cuision!$G:$P,10,FALSE),VLOOKUP(BO$83,Cuision!$G:$P,9,FALSE),VLOOKUP(BO$83,Cuision!$G:$P,10,FALSE)))</f>
        <v>557.96543684324297</v>
      </c>
      <c r="BP125" s="33">
        <f>IF($A125=BP$83, 0, distance(VLOOKUP($A125,Cuision!$G:$P,9,FALSE),VLOOKUP($A125,Cuision!$G:$P,10,FALSE),VLOOKUP(BP$83,Cuision!$G:$P,9,FALSE),VLOOKUP(BP$83,Cuision!$G:$P,10,FALSE)))</f>
        <v>6525.4648560472624</v>
      </c>
      <c r="BQ125" s="33">
        <f>IF($A125=BQ$83, 0, distance(VLOOKUP($A125,Cuision!$G:$P,9,FALSE),VLOOKUP($A125,Cuision!$G:$P,10,FALSE),VLOOKUP(BQ$83,Cuision!$G:$P,9,FALSE),VLOOKUP(BQ$83,Cuision!$G:$P,10,FALSE)))</f>
        <v>-1</v>
      </c>
      <c r="BR125" s="33">
        <f>IF($A125=BR$83, 0, distance(VLOOKUP($A125,Cuision!$G:$P,9,FALSE),VLOOKUP($A125,Cuision!$G:$P,10,FALSE),VLOOKUP(BR$83,Cuision!$G:$P,9,FALSE),VLOOKUP(BR$83,Cuision!$G:$P,10,FALSE)))</f>
        <v>10164.61701869959</v>
      </c>
      <c r="BS125" s="33">
        <f>IF($A125=BS$83, 0, distance(VLOOKUP($A125,Cuision!$G:$P,9,FALSE),VLOOKUP($A125,Cuision!$G:$P,10,FALSE),VLOOKUP(BS$83,Cuision!$G:$P,9,FALSE),VLOOKUP(BS$83,Cuision!$G:$P,10,FALSE)))</f>
        <v>3244.0686769670197</v>
      </c>
      <c r="BT125" s="33">
        <f>IF($A125=BT$83, 0, distance(VLOOKUP($A125,Cuision!$G:$P,9,FALSE),VLOOKUP($A125,Cuision!$G:$P,10,FALSE),VLOOKUP(BT$83,Cuision!$G:$P,9,FALSE),VLOOKUP(BT$83,Cuision!$G:$P,10,FALSE)))</f>
        <v>7573.7655786686109</v>
      </c>
      <c r="BU125" s="33">
        <f>IF($A125=BU$83, 0, distance(VLOOKUP($A125,Cuision!$G:$P,9,FALSE),VLOOKUP($A125,Cuision!$G:$P,10,FALSE),VLOOKUP(BU$83,Cuision!$G:$P,9,FALSE),VLOOKUP(BU$83,Cuision!$G:$P,10,FALSE)))</f>
        <v>1446.1732127793216</v>
      </c>
      <c r="BV125" s="33">
        <f>IF($A125=BV$83, 0, distance(VLOOKUP($A125,Cuision!$G:$P,9,FALSE),VLOOKUP($A125,Cuision!$G:$P,10,FALSE),VLOOKUP(BV$83,Cuision!$G:$P,9,FALSE),VLOOKUP(BV$83,Cuision!$G:$P,10,FALSE)))</f>
        <v>5659.1125741611659</v>
      </c>
      <c r="BW125" s="33">
        <f>IF($A125=BW$83, 0, distance(VLOOKUP($A125,Cuision!$G:$P,9,FALSE),VLOOKUP($A125,Cuision!$G:$P,10,FALSE),VLOOKUP(BW$83,Cuision!$G:$P,9,FALSE),VLOOKUP(BW$83,Cuision!$G:$P,10,FALSE)))</f>
        <v>5955.8857559297476</v>
      </c>
      <c r="BX125" s="33">
        <f>IF($A125=BX$83, 0, distance(VLOOKUP($A125,Cuision!$G:$P,9,FALSE),VLOOKUP($A125,Cuision!$G:$P,10,FALSE),VLOOKUP(BX$83,Cuision!$G:$P,9,FALSE),VLOOKUP(BX$83,Cuision!$G:$P,10,FALSE)))</f>
        <v>4050.9789996163122</v>
      </c>
      <c r="BY125" s="33">
        <f>IF($A125=BY$83, 0, distance(VLOOKUP($A125,Cuision!$G:$P,9,FALSE),VLOOKUP($A125,Cuision!$G:$P,10,FALSE),VLOOKUP(BY$83,Cuision!$G:$P,9,FALSE),VLOOKUP(BY$83,Cuision!$G:$P,10,FALSE)))</f>
        <v>-1</v>
      </c>
      <c r="BZ125" s="33">
        <f>IF($A125=BZ$83, 0, distance(VLOOKUP($A125,Cuision!$G:$P,9,FALSE),VLOOKUP($A125,Cuision!$G:$P,10,FALSE),VLOOKUP(BZ$83,Cuision!$G:$P,9,FALSE),VLOOKUP(BZ$83,Cuision!$G:$P,10,FALSE)))</f>
        <v>-1</v>
      </c>
      <c r="CA125" s="33">
        <f>IF($A125=CA$83, 0, distance(VLOOKUP($A125,Cuision!$G:$P,9,FALSE),VLOOKUP($A125,Cuision!$G:$P,10,FALSE),VLOOKUP(CA$83,Cuision!$G:$P,9,FALSE),VLOOKUP(CA$83,Cuision!$G:$P,10,FALSE)))</f>
        <v>1882.5676451489298</v>
      </c>
    </row>
    <row r="126" spans="1:79" ht="14.25" x14ac:dyDescent="0.2">
      <c r="A126" s="30" t="s">
        <v>96</v>
      </c>
      <c r="B126" s="33">
        <f>IF($A126=B$83, 0, distance(VLOOKUP($A126,Cuision!$G:$P,9,FALSE),VLOOKUP($A126,Cuision!$G:$P,10,FALSE),VLOOKUP(B$83,Cuision!$G:$P,9,FALSE),VLOOKUP(B$83,Cuision!$G:$P,10,FALSE)))</f>
        <v>3545.9953210408289</v>
      </c>
      <c r="C126" s="33">
        <f>IF($A126=C$83, 0, distance(VLOOKUP($A126,Cuision!$G:$P,9,FALSE),VLOOKUP($A126,Cuision!$G:$P,10,FALSE),VLOOKUP(C$83,Cuision!$G:$P,9,FALSE),VLOOKUP(C$83,Cuision!$G:$P,10,FALSE)))</f>
        <v>4647.0290979849078</v>
      </c>
      <c r="D126" s="33">
        <f>IF($A126=D$83, 0, distance(VLOOKUP($A126,Cuision!$G:$P,9,FALSE),VLOOKUP($A126,Cuision!$G:$P,10,FALSE),VLOOKUP(D$83,Cuision!$G:$P,9,FALSE),VLOOKUP(D$83,Cuision!$G:$P,10,FALSE)))</f>
        <v>3664.7380839482948</v>
      </c>
      <c r="E126" s="33">
        <f>IF($A126=E$83, 0, distance(VLOOKUP($A126,Cuision!$G:$P,9,FALSE),VLOOKUP($A126,Cuision!$G:$P,10,FALSE),VLOOKUP(E$83,Cuision!$G:$P,9,FALSE),VLOOKUP(E$83,Cuision!$G:$P,10,FALSE)))</f>
        <v>3664.7380839482948</v>
      </c>
      <c r="F126" s="33">
        <f>IF($A126=F$83, 0, distance(VLOOKUP($A126,Cuision!$G:$P,9,FALSE),VLOOKUP($A126,Cuision!$G:$P,10,FALSE),VLOOKUP(F$83,Cuision!$G:$P,9,FALSE),VLOOKUP(F$83,Cuision!$G:$P,10,FALSE)))</f>
        <v>2663.5886544931418</v>
      </c>
      <c r="G126" s="33">
        <f>IF($A126=G$83, 0, distance(VLOOKUP($A126,Cuision!$G:$P,9,FALSE),VLOOKUP($A126,Cuision!$G:$P,10,FALSE),VLOOKUP(G$83,Cuision!$G:$P,9,FALSE),VLOOKUP(G$83,Cuision!$G:$P,10,FALSE)))</f>
        <v>6914.536194099418</v>
      </c>
      <c r="H126" s="33">
        <f>IF($A126=H$83, 0, distance(VLOOKUP($A126,Cuision!$G:$P,9,FALSE),VLOOKUP($A126,Cuision!$G:$P,10,FALSE),VLOOKUP(H$83,Cuision!$G:$P,9,FALSE),VLOOKUP(H$83,Cuision!$G:$P,10,FALSE)))</f>
        <v>2245.7727898826438</v>
      </c>
      <c r="I126" s="33">
        <f>IF($A126=I$83, 0, distance(VLOOKUP($A126,Cuision!$G:$P,9,FALSE),VLOOKUP($A126,Cuision!$G:$P,10,FALSE),VLOOKUP(I$83,Cuision!$G:$P,9,FALSE),VLOOKUP(I$83,Cuision!$G:$P,10,FALSE)))</f>
        <v>4836.1876543609851</v>
      </c>
      <c r="J126" s="33">
        <f>IF($A126=J$83, 0, distance(VLOOKUP($A126,Cuision!$G:$P,9,FALSE),VLOOKUP($A126,Cuision!$G:$P,10,FALSE),VLOOKUP(J$83,Cuision!$G:$P,9,FALSE),VLOOKUP(J$83,Cuision!$G:$P,10,FALSE)))</f>
        <v>10551.28590300766</v>
      </c>
      <c r="K126" s="33">
        <f>IF($A126=K$83, 0, distance(VLOOKUP($A126,Cuision!$G:$P,9,FALSE),VLOOKUP($A126,Cuision!$G:$P,10,FALSE),VLOOKUP(K$83,Cuision!$G:$P,9,FALSE),VLOOKUP(K$83,Cuision!$G:$P,10,FALSE)))</f>
        <v>767.52659004292161</v>
      </c>
      <c r="L126" s="33">
        <f>IF($A126=L$83, 0, distance(VLOOKUP($A126,Cuision!$G:$P,9,FALSE),VLOOKUP($A126,Cuision!$G:$P,10,FALSE),VLOOKUP(L$83,Cuision!$G:$P,9,FALSE),VLOOKUP(L$83,Cuision!$G:$P,10,FALSE)))</f>
        <v>4973.0281715853507</v>
      </c>
      <c r="M126" s="33">
        <f>IF($A126=M$83, 0, distance(VLOOKUP($A126,Cuision!$G:$P,9,FALSE),VLOOKUP($A126,Cuision!$G:$P,10,FALSE),VLOOKUP(M$83,Cuision!$G:$P,9,FALSE),VLOOKUP(M$83,Cuision!$G:$P,10,FALSE)))</f>
        <v>-1</v>
      </c>
      <c r="N126" s="33">
        <f>IF($A126=N$83, 0, distance(VLOOKUP($A126,Cuision!$G:$P,9,FALSE),VLOOKUP($A126,Cuision!$G:$P,10,FALSE),VLOOKUP(N$83,Cuision!$G:$P,9,FALSE),VLOOKUP(N$83,Cuision!$G:$P,10,FALSE)))</f>
        <v>784.90553114647901</v>
      </c>
      <c r="O126" s="33">
        <f>IF($A126=O$83, 0, distance(VLOOKUP($A126,Cuision!$G:$P,9,FALSE),VLOOKUP($A126,Cuision!$G:$P,10,FALSE),VLOOKUP(O$83,Cuision!$G:$P,9,FALSE),VLOOKUP(O$83,Cuision!$G:$P,10,FALSE)))</f>
        <v>199.28363710695942</v>
      </c>
      <c r="P126" s="33">
        <f>IF($A126=P$83, 0, distance(VLOOKUP($A126,Cuision!$G:$P,9,FALSE),VLOOKUP($A126,Cuision!$G:$P,10,FALSE),VLOOKUP(P$83,Cuision!$G:$P,9,FALSE),VLOOKUP(P$83,Cuision!$G:$P,10,FALSE)))</f>
        <v>5463.5769797547719</v>
      </c>
      <c r="Q126" s="33">
        <f>IF($A126=Q$83, 0, distance(VLOOKUP($A126,Cuision!$G:$P,9,FALSE),VLOOKUP($A126,Cuision!$G:$P,10,FALSE),VLOOKUP(Q$83,Cuision!$G:$P,9,FALSE),VLOOKUP(Q$83,Cuision!$G:$P,10,FALSE)))</f>
        <v>-1</v>
      </c>
      <c r="R126" s="33">
        <f>IF($A126=R$83, 0, distance(VLOOKUP($A126,Cuision!$G:$P,9,FALSE),VLOOKUP($A126,Cuision!$G:$P,10,FALSE),VLOOKUP(R$83,Cuision!$G:$P,9,FALSE),VLOOKUP(R$83,Cuision!$G:$P,10,FALSE)))</f>
        <v>0</v>
      </c>
      <c r="S126" s="33">
        <f>IF($A126=S$83, 0, distance(VLOOKUP($A126,Cuision!$G:$P,9,FALSE),VLOOKUP($A126,Cuision!$G:$P,10,FALSE),VLOOKUP(S$83,Cuision!$G:$P,9,FALSE),VLOOKUP(S$83,Cuision!$G:$P,10,FALSE)))</f>
        <v>-1</v>
      </c>
      <c r="T126" s="33">
        <f>IF($A126=T$83, 0, distance(VLOOKUP($A126,Cuision!$G:$P,9,FALSE),VLOOKUP($A126,Cuision!$G:$P,10,FALSE),VLOOKUP(T$83,Cuision!$G:$P,9,FALSE),VLOOKUP(T$83,Cuision!$G:$P,10,FALSE)))</f>
        <v>5418.5031452549056</v>
      </c>
      <c r="U126" s="33">
        <f>IF($A126=U$83, 0, distance(VLOOKUP($A126,Cuision!$G:$P,9,FALSE),VLOOKUP($A126,Cuision!$G:$P,10,FALSE),VLOOKUP(U$83,Cuision!$G:$P,9,FALSE),VLOOKUP(U$83,Cuision!$G:$P,10,FALSE)))</f>
        <v>-1</v>
      </c>
      <c r="V126" s="33">
        <f>IF($A126=V$83, 0, distance(VLOOKUP($A126,Cuision!$G:$P,9,FALSE),VLOOKUP($A126,Cuision!$G:$P,10,FALSE),VLOOKUP(V$83,Cuision!$G:$P,9,FALSE),VLOOKUP(V$83,Cuision!$G:$P,10,FALSE)))</f>
        <v>3664.7380839482948</v>
      </c>
      <c r="W126" s="33">
        <f>IF($A126=W$83, 0, distance(VLOOKUP($A126,Cuision!$G:$P,9,FALSE),VLOOKUP($A126,Cuision!$G:$P,10,FALSE),VLOOKUP(W$83,Cuision!$G:$P,9,FALSE),VLOOKUP(W$83,Cuision!$G:$P,10,FALSE)))</f>
        <v>6223.9505523929802</v>
      </c>
      <c r="X126" s="33">
        <f>IF($A126=X$83, 0, distance(VLOOKUP($A126,Cuision!$G:$P,9,FALSE),VLOOKUP($A126,Cuision!$G:$P,10,FALSE),VLOOKUP(X$83,Cuision!$G:$P,9,FALSE),VLOOKUP(X$83,Cuision!$G:$P,10,FALSE)))</f>
        <v>784.90553114647901</v>
      </c>
      <c r="Y126" s="33">
        <f>IF($A126=Y$83, 0, distance(VLOOKUP($A126,Cuision!$G:$P,9,FALSE),VLOOKUP($A126,Cuision!$G:$P,10,FALSE),VLOOKUP(Y$83,Cuision!$G:$P,9,FALSE),VLOOKUP(Y$83,Cuision!$G:$P,10,FALSE)))</f>
        <v>5057.7634483185511</v>
      </c>
      <c r="Z126" s="33">
        <f>IF($A126=Z$83, 0, distance(VLOOKUP($A126,Cuision!$G:$P,9,FALSE),VLOOKUP($A126,Cuision!$G:$P,10,FALSE),VLOOKUP(Z$83,Cuision!$G:$P,9,FALSE),VLOOKUP(Z$83,Cuision!$G:$P,10,FALSE)))</f>
        <v>-1</v>
      </c>
      <c r="AA126" s="33">
        <f>IF($A126=AA$83, 0, distance(VLOOKUP($A126,Cuision!$G:$P,9,FALSE),VLOOKUP($A126,Cuision!$G:$P,10,FALSE),VLOOKUP(AA$83,Cuision!$G:$P,9,FALSE),VLOOKUP(AA$83,Cuision!$G:$P,10,FALSE)))</f>
        <v>4655.1556265181625</v>
      </c>
      <c r="AB126" s="33">
        <f>IF($A126=AB$83, 0, distance(VLOOKUP($A126,Cuision!$G:$P,9,FALSE),VLOOKUP($A126,Cuision!$G:$P,10,FALSE),VLOOKUP(AB$83,Cuision!$G:$P,9,FALSE),VLOOKUP(AB$83,Cuision!$G:$P,10,FALSE)))</f>
        <v>641.77956632363794</v>
      </c>
      <c r="AC126" s="33">
        <f>IF($A126=AC$83, 0, distance(VLOOKUP($A126,Cuision!$G:$P,9,FALSE),VLOOKUP($A126,Cuision!$G:$P,10,FALSE),VLOOKUP(AC$83,Cuision!$G:$P,9,FALSE),VLOOKUP(AC$83,Cuision!$G:$P,10,FALSE)))</f>
        <v>3664.7179459095614</v>
      </c>
      <c r="AD126" s="33">
        <f>IF($A126=AD$83, 0, distance(VLOOKUP($A126,Cuision!$G:$P,9,FALSE),VLOOKUP($A126,Cuision!$G:$P,10,FALSE),VLOOKUP(AD$83,Cuision!$G:$P,9,FALSE),VLOOKUP(AD$83,Cuision!$G:$P,10,FALSE)))</f>
        <v>6669.9184350642254</v>
      </c>
      <c r="AE126" s="33">
        <f>IF($A126=AE$83, 0, distance(VLOOKUP($A126,Cuision!$G:$P,9,FALSE),VLOOKUP($A126,Cuision!$G:$P,10,FALSE),VLOOKUP(AE$83,Cuision!$G:$P,9,FALSE),VLOOKUP(AE$83,Cuision!$G:$P,10,FALSE)))</f>
        <v>876.99149719592697</v>
      </c>
      <c r="AF126" s="33">
        <f>IF($A126=AF$83, 0, distance(VLOOKUP($A126,Cuision!$G:$P,9,FALSE),VLOOKUP($A126,Cuision!$G:$P,10,FALSE),VLOOKUP(AF$83,Cuision!$G:$P,9,FALSE),VLOOKUP(AF$83,Cuision!$G:$P,10,FALSE)))</f>
        <v>214.01332790653947</v>
      </c>
      <c r="AG126" s="33">
        <f>IF($A126=AG$83, 0, distance(VLOOKUP($A126,Cuision!$G:$P,9,FALSE),VLOOKUP($A126,Cuision!$G:$P,10,FALSE),VLOOKUP(AG$83,Cuision!$G:$P,9,FALSE),VLOOKUP(AG$83,Cuision!$G:$P,10,FALSE)))</f>
        <v>579.08706893054705</v>
      </c>
      <c r="AH126" s="33">
        <f>IF($A126=AH$83, 0, distance(VLOOKUP($A126,Cuision!$G:$P,9,FALSE),VLOOKUP($A126,Cuision!$G:$P,10,FALSE),VLOOKUP(AH$83,Cuision!$G:$P,9,FALSE),VLOOKUP(AH$83,Cuision!$G:$P,10,FALSE)))</f>
        <v>-1</v>
      </c>
      <c r="AI126" s="33">
        <f>IF($A126=AI$83, 0, distance(VLOOKUP($A126,Cuision!$G:$P,9,FALSE),VLOOKUP($A126,Cuision!$G:$P,10,FALSE),VLOOKUP(AI$83,Cuision!$G:$P,9,FALSE),VLOOKUP(AI$83,Cuision!$G:$P,10,FALSE)))</f>
        <v>1486.0996154984921</v>
      </c>
      <c r="AJ126" s="33">
        <f>IF($A126=AJ$83, 0, distance(VLOOKUP($A126,Cuision!$G:$P,9,FALSE),VLOOKUP($A126,Cuision!$G:$P,10,FALSE),VLOOKUP(AJ$83,Cuision!$G:$P,9,FALSE),VLOOKUP(AJ$83,Cuision!$G:$P,10,FALSE)))</f>
        <v>2663.5886544931418</v>
      </c>
      <c r="AK126" s="33">
        <f>IF($A126=AK$83, 0, distance(VLOOKUP($A126,Cuision!$G:$P,9,FALSE),VLOOKUP($A126,Cuision!$G:$P,10,FALSE),VLOOKUP(AK$83,Cuision!$G:$P,9,FALSE),VLOOKUP(AK$83,Cuision!$G:$P,10,FALSE)))</f>
        <v>7283.7203694867039</v>
      </c>
      <c r="AL126" s="33">
        <f>IF($A126=AL$83, 0, distance(VLOOKUP($A126,Cuision!$G:$P,9,FALSE),VLOOKUP($A126,Cuision!$G:$P,10,FALSE),VLOOKUP(AL$83,Cuision!$G:$P,9,FALSE),VLOOKUP(AL$83,Cuision!$G:$P,10,FALSE)))</f>
        <v>4556.397932645692</v>
      </c>
      <c r="AM126" s="33">
        <f>IF($A126=AM$83, 0, distance(VLOOKUP($A126,Cuision!$G:$P,9,FALSE),VLOOKUP($A126,Cuision!$G:$P,10,FALSE),VLOOKUP(AM$83,Cuision!$G:$P,9,FALSE),VLOOKUP(AM$83,Cuision!$G:$P,10,FALSE)))</f>
        <v>-1</v>
      </c>
      <c r="AN126" s="33">
        <f>IF($A126=AN$83, 0, distance(VLOOKUP($A126,Cuision!$G:$P,9,FALSE),VLOOKUP($A126,Cuision!$G:$P,10,FALSE),VLOOKUP(AN$83,Cuision!$G:$P,9,FALSE),VLOOKUP(AN$83,Cuision!$G:$P,10,FALSE)))</f>
        <v>900.52613160456258</v>
      </c>
      <c r="AO126" s="33">
        <f>IF($A126=AO$83, 0, distance(VLOOKUP($A126,Cuision!$G:$P,9,FALSE),VLOOKUP($A126,Cuision!$G:$P,10,FALSE),VLOOKUP(AO$83,Cuision!$G:$P,9,FALSE),VLOOKUP(AO$83,Cuision!$G:$P,10,FALSE)))</f>
        <v>784.90553114647901</v>
      </c>
      <c r="AP126" s="33">
        <f>IF($A126=AP$83, 0, distance(VLOOKUP($A126,Cuision!$G:$P,9,FALSE),VLOOKUP($A126,Cuision!$G:$P,10,FALSE),VLOOKUP(AP$83,Cuision!$G:$P,9,FALSE),VLOOKUP(AP$83,Cuision!$G:$P,10,FALSE)))</f>
        <v>4169.2137652284846</v>
      </c>
      <c r="AQ126" s="33">
        <f>IF($A126=AQ$83, 0, distance(VLOOKUP($A126,Cuision!$G:$P,9,FALSE),VLOOKUP($A126,Cuision!$G:$P,10,FALSE),VLOOKUP(AQ$83,Cuision!$G:$P,9,FALSE),VLOOKUP(AQ$83,Cuision!$G:$P,10,FALSE)))</f>
        <v>7281.2813396087786</v>
      </c>
      <c r="AR126" s="33">
        <f>IF($A126=AR$83, 0, distance(VLOOKUP($A126,Cuision!$G:$P,9,FALSE),VLOOKUP($A126,Cuision!$G:$P,10,FALSE),VLOOKUP(AR$83,Cuision!$G:$P,9,FALSE),VLOOKUP(AR$83,Cuision!$G:$P,10,FALSE)))</f>
        <v>0</v>
      </c>
      <c r="AS126" s="33">
        <f>IF($A126=AS$83, 0, distance(VLOOKUP($A126,Cuision!$G:$P,9,FALSE),VLOOKUP($A126,Cuision!$G:$P,10,FALSE),VLOOKUP(AS$83,Cuision!$G:$P,9,FALSE),VLOOKUP(AS$83,Cuision!$G:$P,10,FALSE)))</f>
        <v>891.24715926506883</v>
      </c>
      <c r="AT126" s="33">
        <f>IF($A126=AT$83, 0, distance(VLOOKUP($A126,Cuision!$G:$P,9,FALSE),VLOOKUP($A126,Cuision!$G:$P,10,FALSE),VLOOKUP(AT$83,Cuision!$G:$P,9,FALSE),VLOOKUP(AT$83,Cuision!$G:$P,10,FALSE)))</f>
        <v>5939.0503914372766</v>
      </c>
      <c r="AU126" s="33">
        <f>IF($A126=AU$83, 0, distance(VLOOKUP($A126,Cuision!$G:$P,9,FALSE),VLOOKUP($A126,Cuision!$G:$P,10,FALSE),VLOOKUP(AU$83,Cuision!$G:$P,9,FALSE),VLOOKUP(AU$83,Cuision!$G:$P,10,FALSE)))</f>
        <v>5503.2087828027024</v>
      </c>
      <c r="AV126" s="33">
        <f>IF($A126=AV$83, 0, distance(VLOOKUP($A126,Cuision!$G:$P,9,FALSE),VLOOKUP($A126,Cuision!$G:$P,10,FALSE),VLOOKUP(AV$83,Cuision!$G:$P,9,FALSE),VLOOKUP(AV$83,Cuision!$G:$P,10,FALSE)))</f>
        <v>1933.043342393614</v>
      </c>
      <c r="AW126" s="33">
        <f>IF($A126=AW$83, 0, distance(VLOOKUP($A126,Cuision!$G:$P,9,FALSE),VLOOKUP($A126,Cuision!$G:$P,10,FALSE),VLOOKUP(AW$83,Cuision!$G:$P,9,FALSE),VLOOKUP(AW$83,Cuision!$G:$P,10,FALSE)))</f>
        <v>5777.680954062439</v>
      </c>
      <c r="AX126" s="33">
        <f>IF($A126=AX$83, 0, distance(VLOOKUP($A126,Cuision!$G:$P,9,FALSE),VLOOKUP($A126,Cuision!$G:$P,10,FALSE),VLOOKUP(AX$83,Cuision!$G:$P,9,FALSE),VLOOKUP(AX$83,Cuision!$G:$P,10,FALSE)))</f>
        <v>5265.4454220242496</v>
      </c>
      <c r="AY126" s="33">
        <f>IF($A126=AY$83, 0, distance(VLOOKUP($A126,Cuision!$G:$P,9,FALSE),VLOOKUP($A126,Cuision!$G:$P,10,FALSE),VLOOKUP(AY$83,Cuision!$G:$P,9,FALSE),VLOOKUP(AY$83,Cuision!$G:$P,10,FALSE)))</f>
        <v>-1</v>
      </c>
      <c r="AZ126" s="33">
        <f>IF($A126=AZ$83, 0, distance(VLOOKUP($A126,Cuision!$G:$P,9,FALSE),VLOOKUP($A126,Cuision!$G:$P,10,FALSE),VLOOKUP(AZ$83,Cuision!$G:$P,9,FALSE),VLOOKUP(AZ$83,Cuision!$G:$P,10,FALSE)))</f>
        <v>6552.6845975258957</v>
      </c>
      <c r="BA126" s="33">
        <f>IF($A126=BA$83, 0, distance(VLOOKUP($A126,Cuision!$G:$P,9,FALSE),VLOOKUP($A126,Cuision!$G:$P,10,FALSE),VLOOKUP(BA$83,Cuision!$G:$P,9,FALSE),VLOOKUP(BA$83,Cuision!$G:$P,10,FALSE)))</f>
        <v>1479.7592745115071</v>
      </c>
      <c r="BB126" s="33">
        <f>IF($A126=BB$83, 0, distance(VLOOKUP($A126,Cuision!$G:$P,9,FALSE),VLOOKUP($A126,Cuision!$G:$P,10,FALSE),VLOOKUP(BB$83,Cuision!$G:$P,9,FALSE),VLOOKUP(BB$83,Cuision!$G:$P,10,FALSE)))</f>
        <v>5547.650971384187</v>
      </c>
      <c r="BC126" s="33">
        <f>IF($A126=BC$83, 0, distance(VLOOKUP($A126,Cuision!$G:$P,9,FALSE),VLOOKUP($A126,Cuision!$G:$P,10,FALSE),VLOOKUP(BC$83,Cuision!$G:$P,9,FALSE),VLOOKUP(BC$83,Cuision!$G:$P,10,FALSE)))</f>
        <v>2663.5886544931418</v>
      </c>
      <c r="BD126" s="33">
        <f>IF($A126=BD$83, 0, distance(VLOOKUP($A126,Cuision!$G:$P,9,FALSE),VLOOKUP($A126,Cuision!$G:$P,10,FALSE),VLOOKUP(BD$83,Cuision!$G:$P,9,FALSE),VLOOKUP(BD$83,Cuision!$G:$P,10,FALSE)))</f>
        <v>4331.238021210751</v>
      </c>
      <c r="BE126" s="33">
        <f>IF($A126=BE$83, 0, distance(VLOOKUP($A126,Cuision!$G:$P,9,FALSE),VLOOKUP($A126,Cuision!$G:$P,10,FALSE),VLOOKUP(BE$83,Cuision!$G:$P,9,FALSE),VLOOKUP(BE$83,Cuision!$G:$P,10,FALSE)))</f>
        <v>1254.6271238950251</v>
      </c>
      <c r="BF126" s="33">
        <f>IF($A126=BF$83, 0, distance(VLOOKUP($A126,Cuision!$G:$P,9,FALSE),VLOOKUP($A126,Cuision!$G:$P,10,FALSE),VLOOKUP(BF$83,Cuision!$G:$P,9,FALSE),VLOOKUP(BF$83,Cuision!$G:$P,10,FALSE)))</f>
        <v>3747.4201000013099</v>
      </c>
      <c r="BG126" s="33">
        <f>IF($A126=BG$83, 0, distance(VLOOKUP($A126,Cuision!$G:$P,9,FALSE),VLOOKUP($A126,Cuision!$G:$P,10,FALSE),VLOOKUP(BG$83,Cuision!$G:$P,9,FALSE),VLOOKUP(BG$83,Cuision!$G:$P,10,FALSE)))</f>
        <v>2733.1643793800176</v>
      </c>
      <c r="BH126" s="33">
        <f>IF($A126=BH$83, 0, distance(VLOOKUP($A126,Cuision!$G:$P,9,FALSE),VLOOKUP($A126,Cuision!$G:$P,10,FALSE),VLOOKUP(BH$83,Cuision!$G:$P,9,FALSE),VLOOKUP(BH$83,Cuision!$G:$P,10,FALSE)))</f>
        <v>6318.3047804818971</v>
      </c>
      <c r="BI126" s="33">
        <f>IF($A126=BI$83, 0, distance(VLOOKUP($A126,Cuision!$G:$P,9,FALSE),VLOOKUP($A126,Cuision!$G:$P,10,FALSE),VLOOKUP(BI$83,Cuision!$G:$P,9,FALSE),VLOOKUP(BI$83,Cuision!$G:$P,10,FALSE)))</f>
        <v>899.98395122183263</v>
      </c>
      <c r="BJ126" s="33">
        <f>IF($A126=BJ$83, 0, distance(VLOOKUP($A126,Cuision!$G:$P,9,FALSE),VLOOKUP($A126,Cuision!$G:$P,10,FALSE),VLOOKUP(BJ$83,Cuision!$G:$P,9,FALSE),VLOOKUP(BJ$83,Cuision!$G:$P,10,FALSE)))</f>
        <v>984.87470919039413</v>
      </c>
      <c r="BK126" s="33">
        <f>IF($A126=BK$83, 0, distance(VLOOKUP($A126,Cuision!$G:$P,9,FALSE),VLOOKUP($A126,Cuision!$G:$P,10,FALSE),VLOOKUP(BK$83,Cuision!$G:$P,9,FALSE),VLOOKUP(BK$83,Cuision!$G:$P,10,FALSE)))</f>
        <v>1553.833295887762</v>
      </c>
      <c r="BL126" s="33">
        <f>IF($A126=BL$83, 0, distance(VLOOKUP($A126,Cuision!$G:$P,9,FALSE),VLOOKUP($A126,Cuision!$G:$P,10,FALSE),VLOOKUP(BL$83,Cuision!$G:$P,9,FALSE),VLOOKUP(BL$83,Cuision!$G:$P,10,FALSE)))</f>
        <v>-1</v>
      </c>
      <c r="BM126" s="33">
        <f>IF($A126=BM$83, 0, distance(VLOOKUP($A126,Cuision!$G:$P,9,FALSE),VLOOKUP($A126,Cuision!$G:$P,10,FALSE),VLOOKUP(BM$83,Cuision!$G:$P,9,FALSE),VLOOKUP(BM$83,Cuision!$G:$P,10,FALSE)))</f>
        <v>-1</v>
      </c>
      <c r="BN126" s="33">
        <f>IF($A126=BN$83, 0, distance(VLOOKUP($A126,Cuision!$G:$P,9,FALSE),VLOOKUP($A126,Cuision!$G:$P,10,FALSE),VLOOKUP(BN$83,Cuision!$G:$P,9,FALSE),VLOOKUP(BN$83,Cuision!$G:$P,10,FALSE)))</f>
        <v>0</v>
      </c>
      <c r="BO126" s="33">
        <f>IF($A126=BO$83, 0, distance(VLOOKUP($A126,Cuision!$G:$P,9,FALSE),VLOOKUP($A126,Cuision!$G:$P,10,FALSE),VLOOKUP(BO$83,Cuision!$G:$P,9,FALSE),VLOOKUP(BO$83,Cuision!$G:$P,10,FALSE)))</f>
        <v>6744.9428067144308</v>
      </c>
      <c r="BP126" s="33">
        <f>IF($A126=BP$83, 0, distance(VLOOKUP($A126,Cuision!$G:$P,9,FALSE),VLOOKUP($A126,Cuision!$G:$P,10,FALSE),VLOOKUP(BP$83,Cuision!$G:$P,9,FALSE),VLOOKUP(BP$83,Cuision!$G:$P,10,FALSE)))</f>
        <v>800.46477971837828</v>
      </c>
      <c r="BQ126" s="33">
        <f>IF($A126=BQ$83, 0, distance(VLOOKUP($A126,Cuision!$G:$P,9,FALSE),VLOOKUP($A126,Cuision!$G:$P,10,FALSE),VLOOKUP(BQ$83,Cuision!$G:$P,9,FALSE),VLOOKUP(BQ$83,Cuision!$G:$P,10,FALSE)))</f>
        <v>-1</v>
      </c>
      <c r="BR126" s="33">
        <f>IF($A126=BR$83, 0, distance(VLOOKUP($A126,Cuision!$G:$P,9,FALSE),VLOOKUP($A126,Cuision!$G:$P,10,FALSE),VLOOKUP(BR$83,Cuision!$G:$P,9,FALSE),VLOOKUP(BR$83,Cuision!$G:$P,10,FALSE)))</f>
        <v>3664.7380839482948</v>
      </c>
      <c r="BS126" s="33">
        <f>IF($A126=BS$83, 0, distance(VLOOKUP($A126,Cuision!$G:$P,9,FALSE),VLOOKUP($A126,Cuision!$G:$P,10,FALSE),VLOOKUP(BS$83,Cuision!$G:$P,9,FALSE),VLOOKUP(BS$83,Cuision!$G:$P,10,FALSE)))</f>
        <v>5057.7634483185511</v>
      </c>
      <c r="BT126" s="33">
        <f>IF($A126=BT$83, 0, distance(VLOOKUP($A126,Cuision!$G:$P,9,FALSE),VLOOKUP($A126,Cuision!$G:$P,10,FALSE),VLOOKUP(BT$83,Cuision!$G:$P,9,FALSE),VLOOKUP(BT$83,Cuision!$G:$P,10,FALSE)))</f>
        <v>784.90553114647901</v>
      </c>
      <c r="BU126" s="33">
        <f>IF($A126=BU$83, 0, distance(VLOOKUP($A126,Cuision!$G:$P,9,FALSE),VLOOKUP($A126,Cuision!$G:$P,10,FALSE),VLOOKUP(BU$83,Cuision!$G:$P,9,FALSE),VLOOKUP(BU$83,Cuision!$G:$P,10,FALSE)))</f>
        <v>5922.8208662926518</v>
      </c>
      <c r="BV126" s="33">
        <f>IF($A126=BV$83, 0, distance(VLOOKUP($A126,Cuision!$G:$P,9,FALSE),VLOOKUP($A126,Cuision!$G:$P,10,FALSE),VLOOKUP(BV$83,Cuision!$G:$P,9,FALSE),VLOOKUP(BV$83,Cuision!$G:$P,10,FALSE)))</f>
        <v>1760.794163609836</v>
      </c>
      <c r="BW126" s="33">
        <f>IF($A126=BW$83, 0, distance(VLOOKUP($A126,Cuision!$G:$P,9,FALSE),VLOOKUP($A126,Cuision!$G:$P,10,FALSE),VLOOKUP(BW$83,Cuision!$G:$P,9,FALSE),VLOOKUP(BW$83,Cuision!$G:$P,10,FALSE)))</f>
        <v>1325.4637208913487</v>
      </c>
      <c r="BX126" s="33">
        <f>IF($A126=BX$83, 0, distance(VLOOKUP($A126,Cuision!$G:$P,9,FALSE),VLOOKUP($A126,Cuision!$G:$P,10,FALSE),VLOOKUP(BX$83,Cuision!$G:$P,9,FALSE),VLOOKUP(BX$83,Cuision!$G:$P,10,FALSE)))</f>
        <v>3251.6711474408617</v>
      </c>
      <c r="BY126" s="33">
        <f>IF($A126=BY$83, 0, distance(VLOOKUP($A126,Cuision!$G:$P,9,FALSE),VLOOKUP($A126,Cuision!$G:$P,10,FALSE),VLOOKUP(BY$83,Cuision!$G:$P,9,FALSE),VLOOKUP(BY$83,Cuision!$G:$P,10,FALSE)))</f>
        <v>-1</v>
      </c>
      <c r="BZ126" s="33">
        <f>IF($A126=BZ$83, 0, distance(VLOOKUP($A126,Cuision!$G:$P,9,FALSE),VLOOKUP($A126,Cuision!$G:$P,10,FALSE),VLOOKUP(BZ$83,Cuision!$G:$P,9,FALSE),VLOOKUP(BZ$83,Cuision!$G:$P,10,FALSE)))</f>
        <v>-1</v>
      </c>
      <c r="CA126" s="33">
        <f>IF($A126=CA$83, 0, distance(VLOOKUP($A126,Cuision!$G:$P,9,FALSE),VLOOKUP($A126,Cuision!$G:$P,10,FALSE),VLOOKUP(CA$83,Cuision!$G:$P,9,FALSE),VLOOKUP(CA$83,Cuision!$G:$P,10,FALSE)))</f>
        <v>5738.2829531316083</v>
      </c>
    </row>
    <row r="127" spans="1:79" ht="14.25" x14ac:dyDescent="0.2">
      <c r="A127" s="30" t="s">
        <v>97</v>
      </c>
      <c r="B127" s="33">
        <f>IF($A127=B$83, 0, distance(VLOOKUP($A127,Cuision!$G:$P,9,FALSE),VLOOKUP($A127,Cuision!$G:$P,10,FALSE),VLOOKUP(B$83,Cuision!$G:$P,9,FALSE),VLOOKUP(B$83,Cuision!$G:$P,10,FALSE)))</f>
        <v>3063.0585802632713</v>
      </c>
      <c r="C127" s="33">
        <f>IF($A127=C$83, 0, distance(VLOOKUP($A127,Cuision!$G:$P,9,FALSE),VLOOKUP($A127,Cuision!$G:$P,10,FALSE),VLOOKUP(C$83,Cuision!$G:$P,9,FALSE),VLOOKUP(C$83,Cuision!$G:$P,10,FALSE)))</f>
        <v>3768.6527369555938</v>
      </c>
      <c r="D127" s="33">
        <f>IF($A127=D$83, 0, distance(VLOOKUP($A127,Cuision!$G:$P,9,FALSE),VLOOKUP($A127,Cuision!$G:$P,10,FALSE),VLOOKUP(D$83,Cuision!$G:$P,9,FALSE),VLOOKUP(D$83,Cuision!$G:$P,10,FALSE)))</f>
        <v>4484.1742999085373</v>
      </c>
      <c r="E127" s="33">
        <f>IF($A127=E$83, 0, distance(VLOOKUP($A127,Cuision!$G:$P,9,FALSE),VLOOKUP($A127,Cuision!$G:$P,10,FALSE),VLOOKUP(E$83,Cuision!$G:$P,9,FALSE),VLOOKUP(E$83,Cuision!$G:$P,10,FALSE)))</f>
        <v>4484.1742999085373</v>
      </c>
      <c r="F127" s="33">
        <f>IF($A127=F$83, 0, distance(VLOOKUP($A127,Cuision!$G:$P,9,FALSE),VLOOKUP($A127,Cuision!$G:$P,10,FALSE),VLOOKUP(F$83,Cuision!$G:$P,9,FALSE),VLOOKUP(F$83,Cuision!$G:$P,10,FALSE)))</f>
        <v>1886.5651214829372</v>
      </c>
      <c r="G127" s="33">
        <f>IF($A127=G$83, 0, distance(VLOOKUP($A127,Cuision!$G:$P,9,FALSE),VLOOKUP($A127,Cuision!$G:$P,10,FALSE),VLOOKUP(G$83,Cuision!$G:$P,9,FALSE),VLOOKUP(G$83,Cuision!$G:$P,10,FALSE)))</f>
        <v>6927.9427840472435</v>
      </c>
      <c r="H127" s="33">
        <f>IF($A127=H$83, 0, distance(VLOOKUP($A127,Cuision!$G:$P,9,FALSE),VLOOKUP($A127,Cuision!$G:$P,10,FALSE),VLOOKUP(H$83,Cuision!$G:$P,9,FALSE),VLOOKUP(H$83,Cuision!$G:$P,10,FALSE)))</f>
        <v>1663.7246983624052</v>
      </c>
      <c r="I127" s="33">
        <f>IF($A127=I$83, 0, distance(VLOOKUP($A127,Cuision!$G:$P,9,FALSE),VLOOKUP($A127,Cuision!$G:$P,10,FALSE),VLOOKUP(I$83,Cuision!$G:$P,9,FALSE),VLOOKUP(I$83,Cuision!$G:$P,10,FALSE)))</f>
        <v>4615.5639702902399</v>
      </c>
      <c r="J127" s="33">
        <f>IF($A127=J$83, 0, distance(VLOOKUP($A127,Cuision!$G:$P,9,FALSE),VLOOKUP($A127,Cuision!$G:$P,10,FALSE),VLOOKUP(J$83,Cuision!$G:$P,9,FALSE),VLOOKUP(J$83,Cuision!$G:$P,10,FALSE)))</f>
        <v>10076.66334306046</v>
      </c>
      <c r="K127" s="33">
        <f>IF($A127=K$83, 0, distance(VLOOKUP($A127,Cuision!$G:$P,9,FALSE),VLOOKUP($A127,Cuision!$G:$P,10,FALSE),VLOOKUP(K$83,Cuision!$G:$P,9,FALSE),VLOOKUP(K$83,Cuision!$G:$P,10,FALSE)))</f>
        <v>475.98474865301415</v>
      </c>
      <c r="L127" s="33">
        <f>IF($A127=L$83, 0, distance(VLOOKUP($A127,Cuision!$G:$P,9,FALSE),VLOOKUP($A127,Cuision!$G:$P,10,FALSE),VLOOKUP(L$83,Cuision!$G:$P,9,FALSE),VLOOKUP(L$83,Cuision!$G:$P,10,FALSE)))</f>
        <v>4541.3868001108895</v>
      </c>
      <c r="M127" s="33">
        <f>IF($A127=M$83, 0, distance(VLOOKUP($A127,Cuision!$G:$P,9,FALSE),VLOOKUP($A127,Cuision!$G:$P,10,FALSE),VLOOKUP(M$83,Cuision!$G:$P,9,FALSE),VLOOKUP(M$83,Cuision!$G:$P,10,FALSE)))</f>
        <v>-1</v>
      </c>
      <c r="N127" s="33">
        <f>IF($A127=N$83, 0, distance(VLOOKUP($A127,Cuision!$G:$P,9,FALSE),VLOOKUP($A127,Cuision!$G:$P,10,FALSE),VLOOKUP(N$83,Cuision!$G:$P,9,FALSE),VLOOKUP(N$83,Cuision!$G:$P,10,FALSE)))</f>
        <v>846.50716821574338</v>
      </c>
      <c r="O127" s="33">
        <f>IF($A127=O$83, 0, distance(VLOOKUP($A127,Cuision!$G:$P,9,FALSE),VLOOKUP($A127,Cuision!$G:$P,10,FALSE),VLOOKUP(O$83,Cuision!$G:$P,9,FALSE),VLOOKUP(O$83,Cuision!$G:$P,10,FALSE)))</f>
        <v>729.37019135486184</v>
      </c>
      <c r="P127" s="33">
        <f>IF($A127=P$83, 0, distance(VLOOKUP($A127,Cuision!$G:$P,9,FALSE),VLOOKUP($A127,Cuision!$G:$P,10,FALSE),VLOOKUP(P$83,Cuision!$G:$P,9,FALSE),VLOOKUP(P$83,Cuision!$G:$P,10,FALSE)))</f>
        <v>5533.1817556068936</v>
      </c>
      <c r="Q127" s="33">
        <f>IF($A127=Q$83, 0, distance(VLOOKUP($A127,Cuision!$G:$P,9,FALSE),VLOOKUP($A127,Cuision!$G:$P,10,FALSE),VLOOKUP(Q$83,Cuision!$G:$P,9,FALSE),VLOOKUP(Q$83,Cuision!$G:$P,10,FALSE)))</f>
        <v>-1</v>
      </c>
      <c r="R127" s="33">
        <f>IF($A127=R$83, 0, distance(VLOOKUP($A127,Cuision!$G:$P,9,FALSE),VLOOKUP($A127,Cuision!$G:$P,10,FALSE),VLOOKUP(R$83,Cuision!$G:$P,9,FALSE),VLOOKUP(R$83,Cuision!$G:$P,10,FALSE)))</f>
        <v>891.24715926506883</v>
      </c>
      <c r="S127" s="33">
        <f>IF($A127=S$83, 0, distance(VLOOKUP($A127,Cuision!$G:$P,9,FALSE),VLOOKUP($A127,Cuision!$G:$P,10,FALSE),VLOOKUP(S$83,Cuision!$G:$P,9,FALSE),VLOOKUP(S$83,Cuision!$G:$P,10,FALSE)))</f>
        <v>-1</v>
      </c>
      <c r="T127" s="33">
        <f>IF($A127=T$83, 0, distance(VLOOKUP($A127,Cuision!$G:$P,9,FALSE),VLOOKUP($A127,Cuision!$G:$P,10,FALSE),VLOOKUP(T$83,Cuision!$G:$P,9,FALSE),VLOOKUP(T$83,Cuision!$G:$P,10,FALSE)))</f>
        <v>4999.0021050544101</v>
      </c>
      <c r="U127" s="33">
        <f>IF($A127=U$83, 0, distance(VLOOKUP($A127,Cuision!$G:$P,9,FALSE),VLOOKUP($A127,Cuision!$G:$P,10,FALSE),VLOOKUP(U$83,Cuision!$G:$P,9,FALSE),VLOOKUP(U$83,Cuision!$G:$P,10,FALSE)))</f>
        <v>-1</v>
      </c>
      <c r="V127" s="33">
        <f>IF($A127=V$83, 0, distance(VLOOKUP($A127,Cuision!$G:$P,9,FALSE),VLOOKUP($A127,Cuision!$G:$P,10,FALSE),VLOOKUP(V$83,Cuision!$G:$P,9,FALSE),VLOOKUP(V$83,Cuision!$G:$P,10,FALSE)))</f>
        <v>4484.1742999085373</v>
      </c>
      <c r="W127" s="33">
        <f>IF($A127=W$83, 0, distance(VLOOKUP($A127,Cuision!$G:$P,9,FALSE),VLOOKUP($A127,Cuision!$G:$P,10,FALSE),VLOOKUP(W$83,Cuision!$G:$P,9,FALSE),VLOOKUP(W$83,Cuision!$G:$P,10,FALSE)))</f>
        <v>5810.6230903120859</v>
      </c>
      <c r="X127" s="33">
        <f>IF($A127=X$83, 0, distance(VLOOKUP($A127,Cuision!$G:$P,9,FALSE),VLOOKUP($A127,Cuision!$G:$P,10,FALSE),VLOOKUP(X$83,Cuision!$G:$P,9,FALSE),VLOOKUP(X$83,Cuision!$G:$P,10,FALSE)))</f>
        <v>846.50716821574338</v>
      </c>
      <c r="Y127" s="33">
        <f>IF($A127=Y$83, 0, distance(VLOOKUP($A127,Cuision!$G:$P,9,FALSE),VLOOKUP($A127,Cuision!$G:$P,10,FALSE),VLOOKUP(Y$83,Cuision!$G:$P,9,FALSE),VLOOKUP(Y$83,Cuision!$G:$P,10,FALSE)))</f>
        <v>5049.1662087804625</v>
      </c>
      <c r="Z127" s="33">
        <f>IF($A127=Z$83, 0, distance(VLOOKUP($A127,Cuision!$G:$P,9,FALSE),VLOOKUP($A127,Cuision!$G:$P,10,FALSE),VLOOKUP(Z$83,Cuision!$G:$P,9,FALSE),VLOOKUP(Z$83,Cuision!$G:$P,10,FALSE)))</f>
        <v>-1</v>
      </c>
      <c r="AA127" s="33">
        <f>IF($A127=AA$83, 0, distance(VLOOKUP($A127,Cuision!$G:$P,9,FALSE),VLOOKUP($A127,Cuision!$G:$P,10,FALSE),VLOOKUP(AA$83,Cuision!$G:$P,9,FALSE),VLOOKUP(AA$83,Cuision!$G:$P,10,FALSE)))</f>
        <v>5403.6839040149925</v>
      </c>
      <c r="AB127" s="33">
        <f>IF($A127=AB$83, 0, distance(VLOOKUP($A127,Cuision!$G:$P,9,FALSE),VLOOKUP($A127,Cuision!$G:$P,10,FALSE),VLOOKUP(AB$83,Cuision!$G:$P,9,FALSE),VLOOKUP(AB$83,Cuision!$G:$P,10,FALSE)))</f>
        <v>574.08595518662787</v>
      </c>
      <c r="AC127" s="33">
        <f>IF($A127=AC$83, 0, distance(VLOOKUP($A127,Cuision!$G:$P,9,FALSE),VLOOKUP($A127,Cuision!$G:$P,10,FALSE),VLOOKUP(AC$83,Cuision!$G:$P,9,FALSE),VLOOKUP(AC$83,Cuision!$G:$P,10,FALSE)))</f>
        <v>2776.3560854896082</v>
      </c>
      <c r="AD127" s="33">
        <f>IF($A127=AD$83, 0, distance(VLOOKUP($A127,Cuision!$G:$P,9,FALSE),VLOOKUP($A127,Cuision!$G:$P,10,FALSE),VLOOKUP(AD$83,Cuision!$G:$P,9,FALSE),VLOOKUP(AD$83,Cuision!$G:$P,10,FALSE)))</f>
        <v>6456.849987398371</v>
      </c>
      <c r="AE127" s="33">
        <f>IF($A127=AE$83, 0, distance(VLOOKUP($A127,Cuision!$G:$P,9,FALSE),VLOOKUP($A127,Cuision!$G:$P,10,FALSE),VLOOKUP(AE$83,Cuision!$G:$P,9,FALSE),VLOOKUP(AE$83,Cuision!$G:$P,10,FALSE)))</f>
        <v>1408.6634076941423</v>
      </c>
      <c r="AF127" s="33">
        <f>IF($A127=AF$83, 0, distance(VLOOKUP($A127,Cuision!$G:$P,9,FALSE),VLOOKUP($A127,Cuision!$G:$P,10,FALSE),VLOOKUP(AF$83,Cuision!$G:$P,9,FALSE),VLOOKUP(AF$83,Cuision!$G:$P,10,FALSE)))</f>
        <v>686.62507959142101</v>
      </c>
      <c r="AG127" s="33">
        <f>IF($A127=AG$83, 0, distance(VLOOKUP($A127,Cuision!$G:$P,9,FALSE),VLOOKUP($A127,Cuision!$G:$P,10,FALSE),VLOOKUP(AG$83,Cuision!$G:$P,9,FALSE),VLOOKUP(AG$83,Cuision!$G:$P,10,FALSE)))</f>
        <v>735.70608457763501</v>
      </c>
      <c r="AH127" s="33">
        <f>IF($A127=AH$83, 0, distance(VLOOKUP($A127,Cuision!$G:$P,9,FALSE),VLOOKUP($A127,Cuision!$G:$P,10,FALSE),VLOOKUP(AH$83,Cuision!$G:$P,9,FALSE),VLOOKUP(AH$83,Cuision!$G:$P,10,FALSE)))</f>
        <v>-1</v>
      </c>
      <c r="AI127" s="33">
        <f>IF($A127=AI$83, 0, distance(VLOOKUP($A127,Cuision!$G:$P,9,FALSE),VLOOKUP($A127,Cuision!$G:$P,10,FALSE),VLOOKUP(AI$83,Cuision!$G:$P,9,FALSE),VLOOKUP(AI$83,Cuision!$G:$P,10,FALSE)))</f>
        <v>653.18143675522992</v>
      </c>
      <c r="AJ127" s="33">
        <f>IF($A127=AJ$83, 0, distance(VLOOKUP($A127,Cuision!$G:$P,9,FALSE),VLOOKUP($A127,Cuision!$G:$P,10,FALSE),VLOOKUP(AJ$83,Cuision!$G:$P,9,FALSE),VLOOKUP(AJ$83,Cuision!$G:$P,10,FALSE)))</f>
        <v>1886.5651214829372</v>
      </c>
      <c r="AK127" s="33">
        <f>IF($A127=AK$83, 0, distance(VLOOKUP($A127,Cuision!$G:$P,9,FALSE),VLOOKUP($A127,Cuision!$G:$P,10,FALSE),VLOOKUP(AK$83,Cuision!$G:$P,9,FALSE),VLOOKUP(AK$83,Cuision!$G:$P,10,FALSE)))</f>
        <v>8099.6581029777381</v>
      </c>
      <c r="AL127" s="33">
        <f>IF($A127=AL$83, 0, distance(VLOOKUP($A127,Cuision!$G:$P,9,FALSE),VLOOKUP($A127,Cuision!$G:$P,10,FALSE),VLOOKUP(AL$83,Cuision!$G:$P,9,FALSE),VLOOKUP(AL$83,Cuision!$G:$P,10,FALSE)))</f>
        <v>4123.2345144290375</v>
      </c>
      <c r="AM127" s="33">
        <f>IF($A127=AM$83, 0, distance(VLOOKUP($A127,Cuision!$G:$P,9,FALSE),VLOOKUP($A127,Cuision!$G:$P,10,FALSE),VLOOKUP(AM$83,Cuision!$G:$P,9,FALSE),VLOOKUP(AM$83,Cuision!$G:$P,10,FALSE)))</f>
        <v>-1</v>
      </c>
      <c r="AN127" s="33">
        <f>IF($A127=AN$83, 0, distance(VLOOKUP($A127,Cuision!$G:$P,9,FALSE),VLOOKUP($A127,Cuision!$G:$P,10,FALSE),VLOOKUP(AN$83,Cuision!$G:$P,9,FALSE),VLOOKUP(AN$83,Cuision!$G:$P,10,FALSE)))</f>
        <v>503.63618549999444</v>
      </c>
      <c r="AO127" s="33">
        <f>IF($A127=AO$83, 0, distance(VLOOKUP($A127,Cuision!$G:$P,9,FALSE),VLOOKUP($A127,Cuision!$G:$P,10,FALSE),VLOOKUP(AO$83,Cuision!$G:$P,9,FALSE),VLOOKUP(AO$83,Cuision!$G:$P,10,FALSE)))</f>
        <v>846.50716821574338</v>
      </c>
      <c r="AP127" s="33">
        <f>IF($A127=AP$83, 0, distance(VLOOKUP($A127,Cuision!$G:$P,9,FALSE),VLOOKUP($A127,Cuision!$G:$P,10,FALSE),VLOOKUP(AP$83,Cuision!$G:$P,9,FALSE),VLOOKUP(AP$83,Cuision!$G:$P,10,FALSE)))</f>
        <v>3676.5290660046767</v>
      </c>
      <c r="AQ127" s="33">
        <f>IF($A127=AQ$83, 0, distance(VLOOKUP($A127,Cuision!$G:$P,9,FALSE),VLOOKUP($A127,Cuision!$G:$P,10,FALSE),VLOOKUP(AQ$83,Cuision!$G:$P,9,FALSE),VLOOKUP(AQ$83,Cuision!$G:$P,10,FALSE)))</f>
        <v>6728.6555649442007</v>
      </c>
      <c r="AR127" s="33">
        <f>IF($A127=AR$83, 0, distance(VLOOKUP($A127,Cuision!$G:$P,9,FALSE),VLOOKUP($A127,Cuision!$G:$P,10,FALSE),VLOOKUP(AR$83,Cuision!$G:$P,9,FALSE),VLOOKUP(AR$83,Cuision!$G:$P,10,FALSE)))</f>
        <v>891.24715926506883</v>
      </c>
      <c r="AS127" s="33">
        <f>IF($A127=AS$83, 0, distance(VLOOKUP($A127,Cuision!$G:$P,9,FALSE),VLOOKUP($A127,Cuision!$G:$P,10,FALSE),VLOOKUP(AS$83,Cuision!$G:$P,9,FALSE),VLOOKUP(AS$83,Cuision!$G:$P,10,FALSE)))</f>
        <v>0</v>
      </c>
      <c r="AT127" s="33">
        <f>IF($A127=AT$83, 0, distance(VLOOKUP($A127,Cuision!$G:$P,9,FALSE),VLOOKUP($A127,Cuision!$G:$P,10,FALSE),VLOOKUP(AT$83,Cuision!$G:$P,9,FALSE),VLOOKUP(AT$83,Cuision!$G:$P,10,FALSE)))</f>
        <v>6123.4635873263669</v>
      </c>
      <c r="AU127" s="33">
        <f>IF($A127=AU$83, 0, distance(VLOOKUP($A127,Cuision!$G:$P,9,FALSE),VLOOKUP($A127,Cuision!$G:$P,10,FALSE),VLOOKUP(AU$83,Cuision!$G:$P,9,FALSE),VLOOKUP(AU$83,Cuision!$G:$P,10,FALSE)))</f>
        <v>5572.2378266021142</v>
      </c>
      <c r="AV127" s="33">
        <f>IF($A127=AV$83, 0, distance(VLOOKUP($A127,Cuision!$G:$P,9,FALSE),VLOOKUP($A127,Cuision!$G:$P,10,FALSE),VLOOKUP(AV$83,Cuision!$G:$P,9,FALSE),VLOOKUP(AV$83,Cuision!$G:$P,10,FALSE)))</f>
        <v>1135.8852915678592</v>
      </c>
      <c r="AW127" s="33">
        <f>IF($A127=AW$83, 0, distance(VLOOKUP($A127,Cuision!$G:$P,9,FALSE),VLOOKUP($A127,Cuision!$G:$P,10,FALSE),VLOOKUP(AW$83,Cuision!$G:$P,9,FALSE),VLOOKUP(AW$83,Cuision!$G:$P,10,FALSE)))</f>
        <v>5402.7578607060022</v>
      </c>
      <c r="AX127" s="33">
        <f>IF($A127=AX$83, 0, distance(VLOOKUP($A127,Cuision!$G:$P,9,FALSE),VLOOKUP($A127,Cuision!$G:$P,10,FALSE),VLOOKUP(AX$83,Cuision!$G:$P,9,FALSE),VLOOKUP(AX$83,Cuision!$G:$P,10,FALSE)))</f>
        <v>5600.9736043074599</v>
      </c>
      <c r="AY127" s="33">
        <f>IF($A127=AY$83, 0, distance(VLOOKUP($A127,Cuision!$G:$P,9,FALSE),VLOOKUP($A127,Cuision!$G:$P,10,FALSE),VLOOKUP(AY$83,Cuision!$G:$P,9,FALSE),VLOOKUP(AY$83,Cuision!$G:$P,10,FALSE)))</f>
        <v>-1</v>
      </c>
      <c r="AZ127" s="33">
        <f>IF($A127=AZ$83, 0, distance(VLOOKUP($A127,Cuision!$G:$P,9,FALSE),VLOOKUP($A127,Cuision!$G:$P,10,FALSE),VLOOKUP(AZ$83,Cuision!$G:$P,9,FALSE),VLOOKUP(AZ$83,Cuision!$G:$P,10,FALSE)))</f>
        <v>6032.6821419795324</v>
      </c>
      <c r="BA127" s="33">
        <f>IF($A127=BA$83, 0, distance(VLOOKUP($A127,Cuision!$G:$P,9,FALSE),VLOOKUP($A127,Cuision!$G:$P,10,FALSE),VLOOKUP(BA$83,Cuision!$G:$P,9,FALSE),VLOOKUP(BA$83,Cuision!$G:$P,10,FALSE)))</f>
        <v>589.83645057786612</v>
      </c>
      <c r="BB127" s="33">
        <f>IF($A127=BB$83, 0, distance(VLOOKUP($A127,Cuision!$G:$P,9,FALSE),VLOOKUP($A127,Cuision!$G:$P,10,FALSE),VLOOKUP(BB$83,Cuision!$G:$P,9,FALSE),VLOOKUP(BB$83,Cuision!$G:$P,10,FALSE)))</f>
        <v>6362.36027437542</v>
      </c>
      <c r="BC127" s="33">
        <f>IF($A127=BC$83, 0, distance(VLOOKUP($A127,Cuision!$G:$P,9,FALSE),VLOOKUP($A127,Cuision!$G:$P,10,FALSE),VLOOKUP(BC$83,Cuision!$G:$P,9,FALSE),VLOOKUP(BC$83,Cuision!$G:$P,10,FALSE)))</f>
        <v>1886.5651214829372</v>
      </c>
      <c r="BD127" s="33">
        <f>IF($A127=BD$83, 0, distance(VLOOKUP($A127,Cuision!$G:$P,9,FALSE),VLOOKUP($A127,Cuision!$G:$P,10,FALSE),VLOOKUP(BD$83,Cuision!$G:$P,9,FALSE),VLOOKUP(BD$83,Cuision!$G:$P,10,FALSE)))</f>
        <v>4338.3288122925924</v>
      </c>
      <c r="BE127" s="33">
        <f>IF($A127=BE$83, 0, distance(VLOOKUP($A127,Cuision!$G:$P,9,FALSE),VLOOKUP($A127,Cuision!$G:$P,10,FALSE),VLOOKUP(BE$83,Cuision!$G:$P,9,FALSE),VLOOKUP(BE$83,Cuision!$G:$P,10,FALSE)))</f>
        <v>1180.7777714430811</v>
      </c>
      <c r="BF127" s="33">
        <f>IF($A127=BF$83, 0, distance(VLOOKUP($A127,Cuision!$G:$P,9,FALSE),VLOOKUP($A127,Cuision!$G:$P,10,FALSE),VLOOKUP(BF$83,Cuision!$G:$P,9,FALSE),VLOOKUP(BF$83,Cuision!$G:$P,10,FALSE)))</f>
        <v>3284.9313080380311</v>
      </c>
      <c r="BG127" s="33">
        <f>IF($A127=BG$83, 0, distance(VLOOKUP($A127,Cuision!$G:$P,9,FALSE),VLOOKUP($A127,Cuision!$G:$P,10,FALSE),VLOOKUP(BG$83,Cuision!$G:$P,9,FALSE),VLOOKUP(BG$83,Cuision!$G:$P,10,FALSE)))</f>
        <v>2121.4017617746563</v>
      </c>
      <c r="BH127" s="33">
        <f>IF($A127=BH$83, 0, distance(VLOOKUP($A127,Cuision!$G:$P,9,FALSE),VLOOKUP($A127,Cuision!$G:$P,10,FALSE),VLOOKUP(BH$83,Cuision!$G:$P,9,FALSE),VLOOKUP(BH$83,Cuision!$G:$P,10,FALSE)))</f>
        <v>6746.3647448987876</v>
      </c>
      <c r="BI127" s="33">
        <f>IF($A127=BI$83, 0, distance(VLOOKUP($A127,Cuision!$G:$P,9,FALSE),VLOOKUP($A127,Cuision!$G:$P,10,FALSE),VLOOKUP(BI$83,Cuision!$G:$P,9,FALSE),VLOOKUP(BI$83,Cuision!$G:$P,10,FALSE)))</f>
        <v>818.18108770577578</v>
      </c>
      <c r="BJ127" s="33">
        <f>IF($A127=BJ$83, 0, distance(VLOOKUP($A127,Cuision!$G:$P,9,FALSE),VLOOKUP($A127,Cuision!$G:$P,10,FALSE),VLOOKUP(BJ$83,Cuision!$G:$P,9,FALSE),VLOOKUP(BJ$83,Cuision!$G:$P,10,FALSE)))</f>
        <v>1156.233440946429</v>
      </c>
      <c r="BK127" s="33">
        <f>IF($A127=BK$83, 0, distance(VLOOKUP($A127,Cuision!$G:$P,9,FALSE),VLOOKUP($A127,Cuision!$G:$P,10,FALSE),VLOOKUP(BK$83,Cuision!$G:$P,9,FALSE),VLOOKUP(BK$83,Cuision!$G:$P,10,FALSE)))</f>
        <v>1477.0027082353272</v>
      </c>
      <c r="BL127" s="33">
        <f>IF($A127=BL$83, 0, distance(VLOOKUP($A127,Cuision!$G:$P,9,FALSE),VLOOKUP($A127,Cuision!$G:$P,10,FALSE),VLOOKUP(BL$83,Cuision!$G:$P,9,FALSE),VLOOKUP(BL$83,Cuision!$G:$P,10,FALSE)))</f>
        <v>-1</v>
      </c>
      <c r="BM127" s="33">
        <f>IF($A127=BM$83, 0, distance(VLOOKUP($A127,Cuision!$G:$P,9,FALSE),VLOOKUP($A127,Cuision!$G:$P,10,FALSE),VLOOKUP(BM$83,Cuision!$G:$P,9,FALSE),VLOOKUP(BM$83,Cuision!$G:$P,10,FALSE)))</f>
        <v>-1</v>
      </c>
      <c r="BN127" s="33">
        <f>IF($A127=BN$83, 0, distance(VLOOKUP($A127,Cuision!$G:$P,9,FALSE),VLOOKUP($A127,Cuision!$G:$P,10,FALSE),VLOOKUP(BN$83,Cuision!$G:$P,9,FALSE),VLOOKUP(BN$83,Cuision!$G:$P,10,FALSE)))</f>
        <v>891.24715926506883</v>
      </c>
      <c r="BO127" s="33">
        <f>IF($A127=BO$83, 0, distance(VLOOKUP($A127,Cuision!$G:$P,9,FALSE),VLOOKUP($A127,Cuision!$G:$P,10,FALSE),VLOOKUP(BO$83,Cuision!$G:$P,9,FALSE),VLOOKUP(BO$83,Cuision!$G:$P,10,FALSE)))</f>
        <v>6229.0333141293559</v>
      </c>
      <c r="BP127" s="33">
        <f>IF($A127=BP$83, 0, distance(VLOOKUP($A127,Cuision!$G:$P,9,FALSE),VLOOKUP($A127,Cuision!$G:$P,10,FALSE),VLOOKUP(BP$83,Cuision!$G:$P,9,FALSE),VLOOKUP(BP$83,Cuision!$G:$P,10,FALSE)))</f>
        <v>487.82116804731248</v>
      </c>
      <c r="BQ127" s="33">
        <f>IF($A127=BQ$83, 0, distance(VLOOKUP($A127,Cuision!$G:$P,9,FALSE),VLOOKUP($A127,Cuision!$G:$P,10,FALSE),VLOOKUP(BQ$83,Cuision!$G:$P,9,FALSE),VLOOKUP(BQ$83,Cuision!$G:$P,10,FALSE)))</f>
        <v>-1</v>
      </c>
      <c r="BR127" s="33">
        <f>IF($A127=BR$83, 0, distance(VLOOKUP($A127,Cuision!$G:$P,9,FALSE),VLOOKUP($A127,Cuision!$G:$P,10,FALSE),VLOOKUP(BR$83,Cuision!$G:$P,9,FALSE),VLOOKUP(BR$83,Cuision!$G:$P,10,FALSE)))</f>
        <v>4484.1742999085373</v>
      </c>
      <c r="BS127" s="33">
        <f>IF($A127=BS$83, 0, distance(VLOOKUP($A127,Cuision!$G:$P,9,FALSE),VLOOKUP($A127,Cuision!$G:$P,10,FALSE),VLOOKUP(BS$83,Cuision!$G:$P,9,FALSE),VLOOKUP(BS$83,Cuision!$G:$P,10,FALSE)))</f>
        <v>5049.1662087804625</v>
      </c>
      <c r="BT127" s="33">
        <f>IF($A127=BT$83, 0, distance(VLOOKUP($A127,Cuision!$G:$P,9,FALSE),VLOOKUP($A127,Cuision!$G:$P,10,FALSE),VLOOKUP(BT$83,Cuision!$G:$P,9,FALSE),VLOOKUP(BT$83,Cuision!$G:$P,10,FALSE)))</f>
        <v>846.50716821574338</v>
      </c>
      <c r="BU127" s="33">
        <f>IF($A127=BU$83, 0, distance(VLOOKUP($A127,Cuision!$G:$P,9,FALSE),VLOOKUP($A127,Cuision!$G:$P,10,FALSE),VLOOKUP(BU$83,Cuision!$G:$P,9,FALSE),VLOOKUP(BU$83,Cuision!$G:$P,10,FALSE)))</f>
        <v>5486.8111126890453</v>
      </c>
      <c r="BV127" s="33">
        <f>IF($A127=BV$83, 0, distance(VLOOKUP($A127,Cuision!$G:$P,9,FALSE),VLOOKUP($A127,Cuision!$G:$P,10,FALSE),VLOOKUP(BV$83,Cuision!$G:$P,9,FALSE),VLOOKUP(BV$83,Cuision!$G:$P,10,FALSE)))</f>
        <v>1069.7851977298208</v>
      </c>
      <c r="BW127" s="33">
        <f>IF($A127=BW$83, 0, distance(VLOOKUP($A127,Cuision!$G:$P,9,FALSE),VLOOKUP($A127,Cuision!$G:$P,10,FALSE),VLOOKUP(BW$83,Cuision!$G:$P,9,FALSE),VLOOKUP(BW$83,Cuision!$G:$P,10,FALSE)))</f>
        <v>1041.9580765584212</v>
      </c>
      <c r="BX127" s="33">
        <f>IF($A127=BX$83, 0, distance(VLOOKUP($A127,Cuision!$G:$P,9,FALSE),VLOOKUP($A127,Cuision!$G:$P,10,FALSE),VLOOKUP(BX$83,Cuision!$G:$P,9,FALSE),VLOOKUP(BX$83,Cuision!$G:$P,10,FALSE)))</f>
        <v>2877.4469844436835</v>
      </c>
      <c r="BY127" s="33">
        <f>IF($A127=BY$83, 0, distance(VLOOKUP($A127,Cuision!$G:$P,9,FALSE),VLOOKUP($A127,Cuision!$G:$P,10,FALSE),VLOOKUP(BY$83,Cuision!$G:$P,9,FALSE),VLOOKUP(BY$83,Cuision!$G:$P,10,FALSE)))</f>
        <v>-1</v>
      </c>
      <c r="BZ127" s="33">
        <f>IF($A127=BZ$83, 0, distance(VLOOKUP($A127,Cuision!$G:$P,9,FALSE),VLOOKUP($A127,Cuision!$G:$P,10,FALSE),VLOOKUP(BZ$83,Cuision!$G:$P,9,FALSE),VLOOKUP(BZ$83,Cuision!$G:$P,10,FALSE)))</f>
        <v>-1</v>
      </c>
      <c r="CA127" s="33">
        <f>IF($A127=CA$83, 0, distance(VLOOKUP($A127,Cuision!$G:$P,9,FALSE),VLOOKUP($A127,Cuision!$G:$P,10,FALSE),VLOOKUP(CA$83,Cuision!$G:$P,9,FALSE),VLOOKUP(CA$83,Cuision!$G:$P,10,FALSE)))</f>
        <v>5425.9655285165791</v>
      </c>
    </row>
    <row r="128" spans="1:79" ht="14.25" x14ac:dyDescent="0.2">
      <c r="A128" s="30" t="s">
        <v>98</v>
      </c>
      <c r="B128" s="33">
        <f>IF($A128=B$83, 0, distance(VLOOKUP($A128,Cuision!$G:$P,9,FALSE),VLOOKUP($A128,Cuision!$G:$P,10,FALSE),VLOOKUP(B$83,Cuision!$G:$P,9,FALSE),VLOOKUP(B$83,Cuision!$G:$P,10,FALSE)))</f>
        <v>3894.6225396117247</v>
      </c>
      <c r="C128" s="33">
        <f>IF($A128=C$83, 0, distance(VLOOKUP($A128,Cuision!$G:$P,9,FALSE),VLOOKUP($A128,Cuision!$G:$P,10,FALSE),VLOOKUP(C$83,Cuision!$G:$P,9,FALSE),VLOOKUP(C$83,Cuision!$G:$P,10,FALSE)))</f>
        <v>7421.2640398501426</v>
      </c>
      <c r="D128" s="33">
        <f>IF($A128=D$83, 0, distance(VLOOKUP($A128,Cuision!$G:$P,9,FALSE),VLOOKUP($A128,Cuision!$G:$P,10,FALSE),VLOOKUP(D$83,Cuision!$G:$P,9,FALSE),VLOOKUP(D$83,Cuision!$G:$P,10,FALSE)))</f>
        <v>6775.0585510427936</v>
      </c>
      <c r="E128" s="33">
        <f>IF($A128=E$83, 0, distance(VLOOKUP($A128,Cuision!$G:$P,9,FALSE),VLOOKUP($A128,Cuision!$G:$P,10,FALSE),VLOOKUP(E$83,Cuision!$G:$P,9,FALSE),VLOOKUP(E$83,Cuision!$G:$P,10,FALSE)))</f>
        <v>6775.0585510427936</v>
      </c>
      <c r="F128" s="33">
        <f>IF($A128=F$83, 0, distance(VLOOKUP($A128,Cuision!$G:$P,9,FALSE),VLOOKUP($A128,Cuision!$G:$P,10,FALSE),VLOOKUP(F$83,Cuision!$G:$P,9,FALSE),VLOOKUP(F$83,Cuision!$G:$P,10,FALSE)))</f>
        <v>5431.2384318717377</v>
      </c>
      <c r="G128" s="33">
        <f>IF($A128=G$83, 0, distance(VLOOKUP($A128,Cuision!$G:$P,9,FALSE),VLOOKUP($A128,Cuision!$G:$P,10,FALSE),VLOOKUP(G$83,Cuision!$G:$P,9,FALSE),VLOOKUP(G$83,Cuision!$G:$P,10,FALSE)))</f>
        <v>11414.124009302497</v>
      </c>
      <c r="H128" s="33">
        <f>IF($A128=H$83, 0, distance(VLOOKUP($A128,Cuision!$G:$P,9,FALSE),VLOOKUP($A128,Cuision!$G:$P,10,FALSE),VLOOKUP(H$83,Cuision!$G:$P,9,FALSE),VLOOKUP(H$83,Cuision!$G:$P,10,FALSE)))</f>
        <v>4927.0912253371271</v>
      </c>
      <c r="I128" s="33">
        <f>IF($A128=I$83, 0, distance(VLOOKUP($A128,Cuision!$G:$P,9,FALSE),VLOOKUP($A128,Cuision!$G:$P,10,FALSE),VLOOKUP(I$83,Cuision!$G:$P,9,FALSE),VLOOKUP(I$83,Cuision!$G:$P,10,FALSE)))</f>
        <v>2203.0163615976403</v>
      </c>
      <c r="J128" s="33">
        <f>IF($A128=J$83, 0, distance(VLOOKUP($A128,Cuision!$G:$P,9,FALSE),VLOOKUP($A128,Cuision!$G:$P,10,FALSE),VLOOKUP(J$83,Cuision!$G:$P,9,FALSE),VLOOKUP(J$83,Cuision!$G:$P,10,FALSE)))</f>
        <v>4940.8538987907032</v>
      </c>
      <c r="K128" s="33">
        <f>IF($A128=K$83, 0, distance(VLOOKUP($A128,Cuision!$G:$P,9,FALSE),VLOOKUP($A128,Cuision!$G:$P,10,FALSE),VLOOKUP(K$83,Cuision!$G:$P,9,FALSE),VLOOKUP(K$83,Cuision!$G:$P,10,FALSE)))</f>
        <v>5671.4042038187908</v>
      </c>
      <c r="L128" s="33">
        <f>IF($A128=L$83, 0, distance(VLOOKUP($A128,Cuision!$G:$P,9,FALSE),VLOOKUP($A128,Cuision!$G:$P,10,FALSE),VLOOKUP(L$83,Cuision!$G:$P,9,FALSE),VLOOKUP(L$83,Cuision!$G:$P,10,FALSE)))</f>
        <v>3037.8694786824231</v>
      </c>
      <c r="M128" s="33">
        <f>IF($A128=M$83, 0, distance(VLOOKUP($A128,Cuision!$G:$P,9,FALSE),VLOOKUP($A128,Cuision!$G:$P,10,FALSE),VLOOKUP(M$83,Cuision!$G:$P,9,FALSE),VLOOKUP(M$83,Cuision!$G:$P,10,FALSE)))</f>
        <v>-1</v>
      </c>
      <c r="N128" s="33">
        <f>IF($A128=N$83, 0, distance(VLOOKUP($A128,Cuision!$G:$P,9,FALSE),VLOOKUP($A128,Cuision!$G:$P,10,FALSE),VLOOKUP(N$83,Cuision!$G:$P,9,FALSE),VLOOKUP(N$83,Cuision!$G:$P,10,FALSE)))</f>
        <v>6686.58496596028</v>
      </c>
      <c r="O128" s="33">
        <f>IF($A128=O$83, 0, distance(VLOOKUP($A128,Cuision!$G:$P,9,FALSE),VLOOKUP($A128,Cuision!$G:$P,10,FALSE),VLOOKUP(O$83,Cuision!$G:$P,9,FALSE),VLOOKUP(O$83,Cuision!$G:$P,10,FALSE)))</f>
        <v>5870.5208873402262</v>
      </c>
      <c r="P128" s="33">
        <f>IF($A128=P$83, 0, distance(VLOOKUP($A128,Cuision!$G:$P,9,FALSE),VLOOKUP($A128,Cuision!$G:$P,10,FALSE),VLOOKUP(P$83,Cuision!$G:$P,9,FALSE),VLOOKUP(P$83,Cuision!$G:$P,10,FALSE)))</f>
        <v>10982.511527538807</v>
      </c>
      <c r="Q128" s="33">
        <f>IF($A128=Q$83, 0, distance(VLOOKUP($A128,Cuision!$G:$P,9,FALSE),VLOOKUP($A128,Cuision!$G:$P,10,FALSE),VLOOKUP(Q$83,Cuision!$G:$P,9,FALSE),VLOOKUP(Q$83,Cuision!$G:$P,10,FALSE)))</f>
        <v>-1</v>
      </c>
      <c r="R128" s="33">
        <f>IF($A128=R$83, 0, distance(VLOOKUP($A128,Cuision!$G:$P,9,FALSE),VLOOKUP($A128,Cuision!$G:$P,10,FALSE),VLOOKUP(R$83,Cuision!$G:$P,9,FALSE),VLOOKUP(R$83,Cuision!$G:$P,10,FALSE)))</f>
        <v>5939.0503914372766</v>
      </c>
      <c r="S128" s="33">
        <f>IF($A128=S$83, 0, distance(VLOOKUP($A128,Cuision!$G:$P,9,FALSE),VLOOKUP($A128,Cuision!$G:$P,10,FALSE),VLOOKUP(S$83,Cuision!$G:$P,9,FALSE),VLOOKUP(S$83,Cuision!$G:$P,10,FALSE)))</f>
        <v>-1</v>
      </c>
      <c r="T128" s="33">
        <f>IF($A128=T$83, 0, distance(VLOOKUP($A128,Cuision!$G:$P,9,FALSE),VLOOKUP($A128,Cuision!$G:$P,10,FALSE),VLOOKUP(T$83,Cuision!$G:$P,9,FALSE),VLOOKUP(T$83,Cuision!$G:$P,10,FALSE)))</f>
        <v>2854.5686806327576</v>
      </c>
      <c r="U128" s="33">
        <f>IF($A128=U$83, 0, distance(VLOOKUP($A128,Cuision!$G:$P,9,FALSE),VLOOKUP($A128,Cuision!$G:$P,10,FALSE),VLOOKUP(U$83,Cuision!$G:$P,9,FALSE),VLOOKUP(U$83,Cuision!$G:$P,10,FALSE)))</f>
        <v>-1</v>
      </c>
      <c r="V128" s="33">
        <f>IF($A128=V$83, 0, distance(VLOOKUP($A128,Cuision!$G:$P,9,FALSE),VLOOKUP($A128,Cuision!$G:$P,10,FALSE),VLOOKUP(V$83,Cuision!$G:$P,9,FALSE),VLOOKUP(V$83,Cuision!$G:$P,10,FALSE)))</f>
        <v>6775.0585510427936</v>
      </c>
      <c r="W128" s="33">
        <f>IF($A128=W$83, 0, distance(VLOOKUP($A128,Cuision!$G:$P,9,FALSE),VLOOKUP($A128,Cuision!$G:$P,10,FALSE),VLOOKUP(W$83,Cuision!$G:$P,9,FALSE),VLOOKUP(W$83,Cuision!$G:$P,10,FALSE)))</f>
        <v>2735.7699569175657</v>
      </c>
      <c r="X128" s="33">
        <f>IF($A128=X$83, 0, distance(VLOOKUP($A128,Cuision!$G:$P,9,FALSE),VLOOKUP($A128,Cuision!$G:$P,10,FALSE),VLOOKUP(X$83,Cuision!$G:$P,9,FALSE),VLOOKUP(X$83,Cuision!$G:$P,10,FALSE)))</f>
        <v>6686.58496596028</v>
      </c>
      <c r="Y128" s="33">
        <f>IF($A128=Y$83, 0, distance(VLOOKUP($A128,Cuision!$G:$P,9,FALSE),VLOOKUP($A128,Cuision!$G:$P,10,FALSE),VLOOKUP(Y$83,Cuision!$G:$P,9,FALSE),VLOOKUP(Y$83,Cuision!$G:$P,10,FALSE)))</f>
        <v>1300.4197753212788</v>
      </c>
      <c r="Z128" s="33">
        <f>IF($A128=Z$83, 0, distance(VLOOKUP($A128,Cuision!$G:$P,9,FALSE),VLOOKUP($A128,Cuision!$G:$P,10,FALSE),VLOOKUP(Z$83,Cuision!$G:$P,9,FALSE),VLOOKUP(Z$83,Cuision!$G:$P,10,FALSE)))</f>
        <v>-1</v>
      </c>
      <c r="AA128" s="33">
        <f>IF($A128=AA$83, 0, distance(VLOOKUP($A128,Cuision!$G:$P,9,FALSE),VLOOKUP($A128,Cuision!$G:$P,10,FALSE),VLOOKUP(AA$83,Cuision!$G:$P,9,FALSE),VLOOKUP(AA$83,Cuision!$G:$P,10,FALSE)))</f>
        <v>7529.5727866022735</v>
      </c>
      <c r="AB128" s="33">
        <f>IF($A128=AB$83, 0, distance(VLOOKUP($A128,Cuision!$G:$P,9,FALSE),VLOOKUP($A128,Cuision!$G:$P,10,FALSE),VLOOKUP(AB$83,Cuision!$G:$P,9,FALSE),VLOOKUP(AB$83,Cuision!$G:$P,10,FALSE)))</f>
        <v>5635.64186741716</v>
      </c>
      <c r="AC128" s="33">
        <f>IF($A128=AC$83, 0, distance(VLOOKUP($A128,Cuision!$G:$P,9,FALSE),VLOOKUP($A128,Cuision!$G:$P,10,FALSE),VLOOKUP(AC$83,Cuision!$G:$P,9,FALSE),VLOOKUP(AC$83,Cuision!$G:$P,10,FALSE)))</f>
        <v>6458.7955329231763</v>
      </c>
      <c r="AD128" s="33">
        <f>IF($A128=AD$83, 0, distance(VLOOKUP($A128,Cuision!$G:$P,9,FALSE),VLOOKUP($A128,Cuision!$G:$P,10,FALSE),VLOOKUP(AD$83,Cuision!$G:$P,9,FALSE),VLOOKUP(AD$83,Cuision!$G:$P,10,FALSE)))</f>
        <v>1861.2816477533845</v>
      </c>
      <c r="AE128" s="33">
        <f>IF($A128=AE$83, 0, distance(VLOOKUP($A128,Cuision!$G:$P,9,FALSE),VLOOKUP($A128,Cuision!$G:$P,10,FALSE),VLOOKUP(AE$83,Cuision!$G:$P,9,FALSE),VLOOKUP(AE$83,Cuision!$G:$P,10,FALSE)))</f>
        <v>5064.8371576031368</v>
      </c>
      <c r="AF128" s="33">
        <f>IF($A128=AF$83, 0, distance(VLOOKUP($A128,Cuision!$G:$P,9,FALSE),VLOOKUP($A128,Cuision!$G:$P,10,FALSE),VLOOKUP(AF$83,Cuision!$G:$P,9,FALSE),VLOOKUP(AF$83,Cuision!$G:$P,10,FALSE)))</f>
        <v>6034.8730391560157</v>
      </c>
      <c r="AG128" s="33">
        <f>IF($A128=AG$83, 0, distance(VLOOKUP($A128,Cuision!$G:$P,9,FALSE),VLOOKUP($A128,Cuision!$G:$P,10,FALSE),VLOOKUP(AG$83,Cuision!$G:$P,9,FALSE),VLOOKUP(AG$83,Cuision!$G:$P,10,FALSE)))</f>
        <v>5539.7276058834277</v>
      </c>
      <c r="AH128" s="33">
        <f>IF($A128=AH$83, 0, distance(VLOOKUP($A128,Cuision!$G:$P,9,FALSE),VLOOKUP($A128,Cuision!$G:$P,10,FALSE),VLOOKUP(AH$83,Cuision!$G:$P,9,FALSE),VLOOKUP(AH$83,Cuision!$G:$P,10,FALSE)))</f>
        <v>-1</v>
      </c>
      <c r="AI128" s="33">
        <f>IF($A128=AI$83, 0, distance(VLOOKUP($A128,Cuision!$G:$P,9,FALSE),VLOOKUP($A128,Cuision!$G:$P,10,FALSE),VLOOKUP(AI$83,Cuision!$G:$P,9,FALSE),VLOOKUP(AI$83,Cuision!$G:$P,10,FALSE)))</f>
        <v>5906.3232678784998</v>
      </c>
      <c r="AJ128" s="33">
        <f>IF($A128=AJ$83, 0, distance(VLOOKUP($A128,Cuision!$G:$P,9,FALSE),VLOOKUP($A128,Cuision!$G:$P,10,FALSE),VLOOKUP(AJ$83,Cuision!$G:$P,9,FALSE),VLOOKUP(AJ$83,Cuision!$G:$P,10,FALSE)))</f>
        <v>5431.2384318717377</v>
      </c>
      <c r="AK128" s="33">
        <f>IF($A128=AK$83, 0, distance(VLOOKUP($A128,Cuision!$G:$P,9,FALSE),VLOOKUP($A128,Cuision!$G:$P,10,FALSE),VLOOKUP(AK$83,Cuision!$G:$P,9,FALSE),VLOOKUP(AK$83,Cuision!$G:$P,10,FALSE)))</f>
        <v>4032.0333230985293</v>
      </c>
      <c r="AL128" s="33">
        <f>IF($A128=AL$83, 0, distance(VLOOKUP($A128,Cuision!$G:$P,9,FALSE),VLOOKUP($A128,Cuision!$G:$P,10,FALSE),VLOOKUP(AL$83,Cuision!$G:$P,9,FALSE),VLOOKUP(AL$83,Cuision!$G:$P,10,FALSE)))</f>
        <v>3203.1406259206879</v>
      </c>
      <c r="AM128" s="33">
        <f>IF($A128=AM$83, 0, distance(VLOOKUP($A128,Cuision!$G:$P,9,FALSE),VLOOKUP($A128,Cuision!$G:$P,10,FALSE),VLOOKUP(AM$83,Cuision!$G:$P,9,FALSE),VLOOKUP(AM$83,Cuision!$G:$P,10,FALSE)))</f>
        <v>-1</v>
      </c>
      <c r="AN128" s="33">
        <f>IF($A128=AN$83, 0, distance(VLOOKUP($A128,Cuision!$G:$P,9,FALSE),VLOOKUP($A128,Cuision!$G:$P,10,FALSE),VLOOKUP(AN$83,Cuision!$G:$P,9,FALSE),VLOOKUP(AN$83,Cuision!$G:$P,10,FALSE)))</f>
        <v>5620.4566228176518</v>
      </c>
      <c r="AO128" s="33">
        <f>IF($A128=AO$83, 0, distance(VLOOKUP($A128,Cuision!$G:$P,9,FALSE),VLOOKUP($A128,Cuision!$G:$P,10,FALSE),VLOOKUP(AO$83,Cuision!$G:$P,9,FALSE),VLOOKUP(AO$83,Cuision!$G:$P,10,FALSE)))</f>
        <v>6686.58496596028</v>
      </c>
      <c r="AP128" s="33">
        <f>IF($A128=AP$83, 0, distance(VLOOKUP($A128,Cuision!$G:$P,9,FALSE),VLOOKUP($A128,Cuision!$G:$P,10,FALSE),VLOOKUP(AP$83,Cuision!$G:$P,9,FALSE),VLOOKUP(AP$83,Cuision!$G:$P,10,FALSE)))</f>
        <v>3625.5469699099899</v>
      </c>
      <c r="AQ128" s="33">
        <f>IF($A128=AQ$83, 0, distance(VLOOKUP($A128,Cuision!$G:$P,9,FALSE),VLOOKUP($A128,Cuision!$G:$P,10,FALSE),VLOOKUP(AQ$83,Cuision!$G:$P,9,FALSE),VLOOKUP(AQ$83,Cuision!$G:$P,10,FALSE)))</f>
        <v>3594.6141112741957</v>
      </c>
      <c r="AR128" s="33">
        <f>IF($A128=AR$83, 0, distance(VLOOKUP($A128,Cuision!$G:$P,9,FALSE),VLOOKUP($A128,Cuision!$G:$P,10,FALSE),VLOOKUP(AR$83,Cuision!$G:$P,9,FALSE),VLOOKUP(AR$83,Cuision!$G:$P,10,FALSE)))</f>
        <v>5939.0503914372766</v>
      </c>
      <c r="AS128" s="33">
        <f>IF($A128=AS$83, 0, distance(VLOOKUP($A128,Cuision!$G:$P,9,FALSE),VLOOKUP($A128,Cuision!$G:$P,10,FALSE),VLOOKUP(AS$83,Cuision!$G:$P,9,FALSE),VLOOKUP(AS$83,Cuision!$G:$P,10,FALSE)))</f>
        <v>6123.4635873263669</v>
      </c>
      <c r="AT128" s="33">
        <f>IF($A128=AT$83, 0, distance(VLOOKUP($A128,Cuision!$G:$P,9,FALSE),VLOOKUP($A128,Cuision!$G:$P,10,FALSE),VLOOKUP(AT$83,Cuision!$G:$P,9,FALSE),VLOOKUP(AT$83,Cuision!$G:$P,10,FALSE)))</f>
        <v>0</v>
      </c>
      <c r="AU128" s="33">
        <f>IF($A128=AU$83, 0, distance(VLOOKUP($A128,Cuision!$G:$P,9,FALSE),VLOOKUP($A128,Cuision!$G:$P,10,FALSE),VLOOKUP(AU$83,Cuision!$G:$P,9,FALSE),VLOOKUP(AU$83,Cuision!$G:$P,10,FALSE)))</f>
        <v>715.98731541658276</v>
      </c>
      <c r="AV128" s="33">
        <f>IF($A128=AV$83, 0, distance(VLOOKUP($A128,Cuision!$G:$P,9,FALSE),VLOOKUP($A128,Cuision!$G:$P,10,FALSE),VLOOKUP(AV$83,Cuision!$G:$P,9,FALSE),VLOOKUP(AV$83,Cuision!$G:$P,10,FALSE)))</f>
        <v>5692.4003041090291</v>
      </c>
      <c r="AW128" s="33">
        <f>IF($A128=AW$83, 0, distance(VLOOKUP($A128,Cuision!$G:$P,9,FALSE),VLOOKUP($A128,Cuision!$G:$P,10,FALSE),VLOOKUP(AW$83,Cuision!$G:$P,9,FALSE),VLOOKUP(AW$83,Cuision!$G:$P,10,FALSE)))</f>
        <v>2571.9346986045275</v>
      </c>
      <c r="AX128" s="33">
        <f>IF($A128=AX$83, 0, distance(VLOOKUP($A128,Cuision!$G:$P,9,FALSE),VLOOKUP($A128,Cuision!$G:$P,10,FALSE),VLOOKUP(AX$83,Cuision!$G:$P,9,FALSE),VLOOKUP(AX$83,Cuision!$G:$P,10,FALSE)))</f>
        <v>9895.8734874403617</v>
      </c>
      <c r="AY128" s="33">
        <f>IF($A128=AY$83, 0, distance(VLOOKUP($A128,Cuision!$G:$P,9,FALSE),VLOOKUP($A128,Cuision!$G:$P,10,FALSE),VLOOKUP(AY$83,Cuision!$G:$P,9,FALSE),VLOOKUP(AY$83,Cuision!$G:$P,10,FALSE)))</f>
        <v>-1</v>
      </c>
      <c r="AZ128" s="33">
        <f>IF($A128=AZ$83, 0, distance(VLOOKUP($A128,Cuision!$G:$P,9,FALSE),VLOOKUP($A128,Cuision!$G:$P,10,FALSE),VLOOKUP(AZ$83,Cuision!$G:$P,9,FALSE),VLOOKUP(AZ$83,Cuision!$G:$P,10,FALSE)))</f>
        <v>3306.3179061072674</v>
      </c>
      <c r="BA128" s="33">
        <f>IF($A128=BA$83, 0, distance(VLOOKUP($A128,Cuision!$G:$P,9,FALSE),VLOOKUP($A128,Cuision!$G:$P,10,FALSE),VLOOKUP(BA$83,Cuision!$G:$P,9,FALSE),VLOOKUP(BA$83,Cuision!$G:$P,10,FALSE)))</f>
        <v>6297.408870987023</v>
      </c>
      <c r="BB128" s="33">
        <f>IF($A128=BB$83, 0, distance(VLOOKUP($A128,Cuision!$G:$P,9,FALSE),VLOOKUP($A128,Cuision!$G:$P,10,FALSE),VLOOKUP(BB$83,Cuision!$G:$P,9,FALSE),VLOOKUP(BB$83,Cuision!$G:$P,10,FALSE)))</f>
        <v>7025.1830160594045</v>
      </c>
      <c r="BC128" s="33">
        <f>IF($A128=BC$83, 0, distance(VLOOKUP($A128,Cuision!$G:$P,9,FALSE),VLOOKUP($A128,Cuision!$G:$P,10,FALSE),VLOOKUP(BC$83,Cuision!$G:$P,9,FALSE),VLOOKUP(BC$83,Cuision!$G:$P,10,FALSE)))</f>
        <v>5431.2384318717377</v>
      </c>
      <c r="BD128" s="33">
        <f>IF($A128=BD$83, 0, distance(VLOOKUP($A128,Cuision!$G:$P,9,FALSE),VLOOKUP($A128,Cuision!$G:$P,10,FALSE),VLOOKUP(BD$83,Cuision!$G:$P,9,FALSE),VLOOKUP(BD$83,Cuision!$G:$P,10,FALSE)))</f>
        <v>1869.8925122768987</v>
      </c>
      <c r="BE128" s="33">
        <f>IF($A128=BE$83, 0, distance(VLOOKUP($A128,Cuision!$G:$P,9,FALSE),VLOOKUP($A128,Cuision!$G:$P,10,FALSE),VLOOKUP(BE$83,Cuision!$G:$P,9,FALSE),VLOOKUP(BE$83,Cuision!$G:$P,10,FALSE)))</f>
        <v>7158.0757364630626</v>
      </c>
      <c r="BF128" s="33">
        <f>IF($A128=BF$83, 0, distance(VLOOKUP($A128,Cuision!$G:$P,9,FALSE),VLOOKUP($A128,Cuision!$G:$P,10,FALSE),VLOOKUP(BF$83,Cuision!$G:$P,9,FALSE),VLOOKUP(BF$83,Cuision!$G:$P,10,FALSE)))</f>
        <v>3712.088769198328</v>
      </c>
      <c r="BG128" s="33">
        <f>IF($A128=BG$83, 0, distance(VLOOKUP($A128,Cuision!$G:$P,9,FALSE),VLOOKUP($A128,Cuision!$G:$P,10,FALSE),VLOOKUP(BG$83,Cuision!$G:$P,9,FALSE),VLOOKUP(BG$83,Cuision!$G:$P,10,FALSE)))</f>
        <v>4759.1444661248515</v>
      </c>
      <c r="BH128" s="33">
        <f>IF($A128=BH$83, 0, distance(VLOOKUP($A128,Cuision!$G:$P,9,FALSE),VLOOKUP($A128,Cuision!$G:$P,10,FALSE),VLOOKUP(BH$83,Cuision!$G:$P,9,FALSE),VLOOKUP(BH$83,Cuision!$G:$P,10,FALSE)))</f>
        <v>9625.8129266165888</v>
      </c>
      <c r="BI128" s="33">
        <f>IF($A128=BI$83, 0, distance(VLOOKUP($A128,Cuision!$G:$P,9,FALSE),VLOOKUP($A128,Cuision!$G:$P,10,FALSE),VLOOKUP(BI$83,Cuision!$G:$P,9,FALSE),VLOOKUP(BI$83,Cuision!$G:$P,10,FALSE)))</f>
        <v>5330.1917295835356</v>
      </c>
      <c r="BJ128" s="33">
        <f>IF($A128=BJ$83, 0, distance(VLOOKUP($A128,Cuision!$G:$P,9,FALSE),VLOOKUP($A128,Cuision!$G:$P,10,FALSE),VLOOKUP(BJ$83,Cuision!$G:$P,9,FALSE),VLOOKUP(BJ$83,Cuision!$G:$P,10,FALSE)))</f>
        <v>6923.3376816774917</v>
      </c>
      <c r="BK128" s="33">
        <f>IF($A128=BK$83, 0, distance(VLOOKUP($A128,Cuision!$G:$P,9,FALSE),VLOOKUP($A128,Cuision!$G:$P,10,FALSE),VLOOKUP(BK$83,Cuision!$G:$P,9,FALSE),VLOOKUP(BK$83,Cuision!$G:$P,10,FALSE)))</f>
        <v>4646.5684477915047</v>
      </c>
      <c r="BL128" s="33">
        <f>IF($A128=BL$83, 0, distance(VLOOKUP($A128,Cuision!$G:$P,9,FALSE),VLOOKUP($A128,Cuision!$G:$P,10,FALSE),VLOOKUP(BL$83,Cuision!$G:$P,9,FALSE),VLOOKUP(BL$83,Cuision!$G:$P,10,FALSE)))</f>
        <v>-1</v>
      </c>
      <c r="BM128" s="33">
        <f>IF($A128=BM$83, 0, distance(VLOOKUP($A128,Cuision!$G:$P,9,FALSE),VLOOKUP($A128,Cuision!$G:$P,10,FALSE),VLOOKUP(BM$83,Cuision!$G:$P,9,FALSE),VLOOKUP(BM$83,Cuision!$G:$P,10,FALSE)))</f>
        <v>-1</v>
      </c>
      <c r="BN128" s="33">
        <f>IF($A128=BN$83, 0, distance(VLOOKUP($A128,Cuision!$G:$P,9,FALSE),VLOOKUP($A128,Cuision!$G:$P,10,FALSE),VLOOKUP(BN$83,Cuision!$G:$P,9,FALSE),VLOOKUP(BN$83,Cuision!$G:$P,10,FALSE)))</f>
        <v>5939.0503914372766</v>
      </c>
      <c r="BO128" s="33">
        <f>IF($A128=BO$83, 0, distance(VLOOKUP($A128,Cuision!$G:$P,9,FALSE),VLOOKUP($A128,Cuision!$G:$P,10,FALSE),VLOOKUP(BO$83,Cuision!$G:$P,9,FALSE),VLOOKUP(BO$83,Cuision!$G:$P,10,FALSE)))</f>
        <v>3304.378027373737</v>
      </c>
      <c r="BP128" s="33">
        <f>IF($A128=BP$83, 0, distance(VLOOKUP($A128,Cuision!$G:$P,9,FALSE),VLOOKUP($A128,Cuision!$G:$P,10,FALSE),VLOOKUP(BP$83,Cuision!$G:$P,9,FALSE),VLOOKUP(BP$83,Cuision!$G:$P,10,FALSE)))</f>
        <v>5650.9451542635934</v>
      </c>
      <c r="BQ128" s="33">
        <f>IF($A128=BQ$83, 0, distance(VLOOKUP($A128,Cuision!$G:$P,9,FALSE),VLOOKUP($A128,Cuision!$G:$P,10,FALSE),VLOOKUP(BQ$83,Cuision!$G:$P,9,FALSE),VLOOKUP(BQ$83,Cuision!$G:$P,10,FALSE)))</f>
        <v>-1</v>
      </c>
      <c r="BR128" s="33">
        <f>IF($A128=BR$83, 0, distance(VLOOKUP($A128,Cuision!$G:$P,9,FALSE),VLOOKUP($A128,Cuision!$G:$P,10,FALSE),VLOOKUP(BR$83,Cuision!$G:$P,9,FALSE),VLOOKUP(BR$83,Cuision!$G:$P,10,FALSE)))</f>
        <v>6775.0585510427936</v>
      </c>
      <c r="BS128" s="33">
        <f>IF($A128=BS$83, 0, distance(VLOOKUP($A128,Cuision!$G:$P,9,FALSE),VLOOKUP($A128,Cuision!$G:$P,10,FALSE),VLOOKUP(BS$83,Cuision!$G:$P,9,FALSE),VLOOKUP(BS$83,Cuision!$G:$P,10,FALSE)))</f>
        <v>1300.4197753212788</v>
      </c>
      <c r="BT128" s="33">
        <f>IF($A128=BT$83, 0, distance(VLOOKUP($A128,Cuision!$G:$P,9,FALSE),VLOOKUP($A128,Cuision!$G:$P,10,FALSE),VLOOKUP(BT$83,Cuision!$G:$P,9,FALSE),VLOOKUP(BT$83,Cuision!$G:$P,10,FALSE)))</f>
        <v>6686.58496596028</v>
      </c>
      <c r="BU128" s="33">
        <f>IF($A128=BU$83, 0, distance(VLOOKUP($A128,Cuision!$G:$P,9,FALSE),VLOOKUP($A128,Cuision!$G:$P,10,FALSE),VLOOKUP(BU$83,Cuision!$G:$P,9,FALSE),VLOOKUP(BU$83,Cuision!$G:$P,10,FALSE)))</f>
        <v>2860.3075744541284</v>
      </c>
      <c r="BV128" s="33">
        <f>IF($A128=BV$83, 0, distance(VLOOKUP($A128,Cuision!$G:$P,9,FALSE),VLOOKUP($A128,Cuision!$G:$P,10,FALSE),VLOOKUP(BV$83,Cuision!$G:$P,9,FALSE),VLOOKUP(BV$83,Cuision!$G:$P,10,FALSE)))</f>
        <v>5445.5448787242321</v>
      </c>
      <c r="BW128" s="33">
        <f>IF($A128=BW$83, 0, distance(VLOOKUP($A128,Cuision!$G:$P,9,FALSE),VLOOKUP($A128,Cuision!$G:$P,10,FALSE),VLOOKUP(BW$83,Cuision!$G:$P,9,FALSE),VLOOKUP(BW$83,Cuision!$G:$P,10,FALSE)))</f>
        <v>5094.5983600474419</v>
      </c>
      <c r="BX128" s="33">
        <f>IF($A128=BX$83, 0, distance(VLOOKUP($A128,Cuision!$G:$P,9,FALSE),VLOOKUP($A128,Cuision!$G:$P,10,FALSE),VLOOKUP(BX$83,Cuision!$G:$P,9,FALSE),VLOOKUP(BX$83,Cuision!$G:$P,10,FALSE)))</f>
        <v>3725.6856592417521</v>
      </c>
      <c r="BY128" s="33">
        <f>IF($A128=BY$83, 0, distance(VLOOKUP($A128,Cuision!$G:$P,9,FALSE),VLOOKUP($A128,Cuision!$G:$P,10,FALSE),VLOOKUP(BY$83,Cuision!$G:$P,9,FALSE),VLOOKUP(BY$83,Cuision!$G:$P,10,FALSE)))</f>
        <v>-1</v>
      </c>
      <c r="BZ128" s="33">
        <f>IF($A128=BZ$83, 0, distance(VLOOKUP($A128,Cuision!$G:$P,9,FALSE),VLOOKUP($A128,Cuision!$G:$P,10,FALSE),VLOOKUP(BZ$83,Cuision!$G:$P,9,FALSE),VLOOKUP(BZ$83,Cuision!$G:$P,10,FALSE)))</f>
        <v>-1</v>
      </c>
      <c r="CA128" s="33">
        <f>IF($A128=CA$83, 0, distance(VLOOKUP($A128,Cuision!$G:$P,9,FALSE),VLOOKUP($A128,Cuision!$G:$P,10,FALSE),VLOOKUP(CA$83,Cuision!$G:$P,9,FALSE),VLOOKUP(CA$83,Cuision!$G:$P,10,FALSE)))</f>
        <v>2278.3383622276137</v>
      </c>
    </row>
    <row r="129" spans="1:79" ht="14.25" x14ac:dyDescent="0.2">
      <c r="A129" s="30" t="s">
        <v>99</v>
      </c>
      <c r="B129" s="33">
        <f>IF($A129=B$83, 0, distance(VLOOKUP($A129,Cuision!$G:$P,9,FALSE),VLOOKUP($A129,Cuision!$G:$P,10,FALSE),VLOOKUP(B$83,Cuision!$G:$P,9,FALSE),VLOOKUP(B$83,Cuision!$G:$P,10,FALSE)))</f>
        <v>3184.6396000156947</v>
      </c>
      <c r="C129" s="33">
        <f>IF($A129=C$83, 0, distance(VLOOKUP($A129,Cuision!$G:$P,9,FALSE),VLOOKUP($A129,Cuision!$G:$P,10,FALSE),VLOOKUP(C$83,Cuision!$G:$P,9,FALSE),VLOOKUP(C$83,Cuision!$G:$P,10,FALSE)))</f>
        <v>6721.7260820304</v>
      </c>
      <c r="D129" s="33">
        <f>IF($A129=D$83, 0, distance(VLOOKUP($A129,Cuision!$G:$P,9,FALSE),VLOOKUP($A129,Cuision!$G:$P,10,FALSE),VLOOKUP(D$83,Cuision!$G:$P,9,FALSE),VLOOKUP(D$83,Cuision!$G:$P,10,FALSE)))</f>
        <v>6936.711935738972</v>
      </c>
      <c r="E129" s="33">
        <f>IF($A129=E$83, 0, distance(VLOOKUP($A129,Cuision!$G:$P,9,FALSE),VLOOKUP($A129,Cuision!$G:$P,10,FALSE),VLOOKUP(E$83,Cuision!$G:$P,9,FALSE),VLOOKUP(E$83,Cuision!$G:$P,10,FALSE)))</f>
        <v>6936.711935738972</v>
      </c>
      <c r="F129" s="33">
        <f>IF($A129=F$83, 0, distance(VLOOKUP($A129,Cuision!$G:$P,9,FALSE),VLOOKUP($A129,Cuision!$G:$P,10,FALSE),VLOOKUP(F$83,Cuision!$G:$P,9,FALSE),VLOOKUP(F$83,Cuision!$G:$P,10,FALSE)))</f>
        <v>4737.0061527829203</v>
      </c>
      <c r="G129" s="33">
        <f>IF($A129=G$83, 0, distance(VLOOKUP($A129,Cuision!$G:$P,9,FALSE),VLOOKUP($A129,Cuision!$G:$P,10,FALSE),VLOOKUP(G$83,Cuision!$G:$P,9,FALSE),VLOOKUP(G$83,Cuision!$G:$P,10,FALSE)))</f>
        <v>12073.843865295305</v>
      </c>
      <c r="H129" s="33">
        <f>IF($A129=H$83, 0, distance(VLOOKUP($A129,Cuision!$G:$P,9,FALSE),VLOOKUP($A129,Cuision!$G:$P,10,FALSE),VLOOKUP(H$83,Cuision!$G:$P,9,FALSE),VLOOKUP(H$83,Cuision!$G:$P,10,FALSE)))</f>
        <v>4268.8688291791887</v>
      </c>
      <c r="I129" s="33">
        <f>IF($A129=I$83, 0, distance(VLOOKUP($A129,Cuision!$G:$P,9,FALSE),VLOOKUP($A129,Cuision!$G:$P,10,FALSE),VLOOKUP(I$83,Cuision!$G:$P,9,FALSE),VLOOKUP(I$83,Cuision!$G:$P,10,FALSE)))</f>
        <v>1491.8342274911881</v>
      </c>
      <c r="J129" s="33">
        <f>IF($A129=J$83, 0, distance(VLOOKUP($A129,Cuision!$G:$P,9,FALSE),VLOOKUP($A129,Cuision!$G:$P,10,FALSE),VLOOKUP(J$83,Cuision!$G:$P,9,FALSE),VLOOKUP(J$83,Cuision!$G:$P,10,FALSE)))</f>
        <v>5229.6069698934625</v>
      </c>
      <c r="K129" s="33">
        <f>IF($A129=K$83, 0, distance(VLOOKUP($A129,Cuision!$G:$P,9,FALSE),VLOOKUP($A129,Cuision!$G:$P,10,FALSE),VLOOKUP(K$83,Cuision!$G:$P,9,FALSE),VLOOKUP(K$83,Cuision!$G:$P,10,FALSE)))</f>
        <v>5141.2719047021083</v>
      </c>
      <c r="L129" s="33">
        <f>IF($A129=L$83, 0, distance(VLOOKUP($A129,Cuision!$G:$P,9,FALSE),VLOOKUP($A129,Cuision!$G:$P,10,FALSE),VLOOKUP(L$83,Cuision!$G:$P,9,FALSE),VLOOKUP(L$83,Cuision!$G:$P,10,FALSE)))</f>
        <v>2356.2980509247759</v>
      </c>
      <c r="M129" s="33">
        <f>IF($A129=M$83, 0, distance(VLOOKUP($A129,Cuision!$G:$P,9,FALSE),VLOOKUP($A129,Cuision!$G:$P,10,FALSE),VLOOKUP(M$83,Cuision!$G:$P,9,FALSE),VLOOKUP(M$83,Cuision!$G:$P,10,FALSE)))</f>
        <v>-1</v>
      </c>
      <c r="N129" s="33">
        <f>IF($A129=N$83, 0, distance(VLOOKUP($A129,Cuision!$G:$P,9,FALSE),VLOOKUP($A129,Cuision!$G:$P,10,FALSE),VLOOKUP(N$83,Cuision!$G:$P,9,FALSE),VLOOKUP(N$83,Cuision!$G:$P,10,FALSE)))</f>
        <v>6210.1470377376618</v>
      </c>
      <c r="O129" s="33">
        <f>IF($A129=O$83, 0, distance(VLOOKUP($A129,Cuision!$G:$P,9,FALSE),VLOOKUP($A129,Cuision!$G:$P,10,FALSE),VLOOKUP(O$83,Cuision!$G:$P,9,FALSE),VLOOKUP(O$83,Cuision!$G:$P,10,FALSE)))</f>
        <v>5408.8344294832923</v>
      </c>
      <c r="P129" s="33">
        <f>IF($A129=P$83, 0, distance(VLOOKUP($A129,Cuision!$G:$P,9,FALSE),VLOOKUP($A129,Cuision!$G:$P,10,FALSE),VLOOKUP(P$83,Cuision!$G:$P,9,FALSE),VLOOKUP(P$83,Cuision!$G:$P,10,FALSE)))</f>
        <v>10898.971726737744</v>
      </c>
      <c r="Q129" s="33">
        <f>IF($A129=Q$83, 0, distance(VLOOKUP($A129,Cuision!$G:$P,9,FALSE),VLOOKUP($A129,Cuision!$G:$P,10,FALSE),VLOOKUP(Q$83,Cuision!$G:$P,9,FALSE),VLOOKUP(Q$83,Cuision!$G:$P,10,FALSE)))</f>
        <v>-1</v>
      </c>
      <c r="R129" s="33">
        <f>IF($A129=R$83, 0, distance(VLOOKUP($A129,Cuision!$G:$P,9,FALSE),VLOOKUP($A129,Cuision!$G:$P,10,FALSE),VLOOKUP(R$83,Cuision!$G:$P,9,FALSE),VLOOKUP(R$83,Cuision!$G:$P,10,FALSE)))</f>
        <v>5503.2087828027024</v>
      </c>
      <c r="S129" s="33">
        <f>IF($A129=S$83, 0, distance(VLOOKUP($A129,Cuision!$G:$P,9,FALSE),VLOOKUP($A129,Cuision!$G:$P,10,FALSE),VLOOKUP(S$83,Cuision!$G:$P,9,FALSE),VLOOKUP(S$83,Cuision!$G:$P,10,FALSE)))</f>
        <v>-1</v>
      </c>
      <c r="T129" s="33">
        <f>IF($A129=T$83, 0, distance(VLOOKUP($A129,Cuision!$G:$P,9,FALSE),VLOOKUP($A129,Cuision!$G:$P,10,FALSE),VLOOKUP(T$83,Cuision!$G:$P,9,FALSE),VLOOKUP(T$83,Cuision!$G:$P,10,FALSE)))</f>
        <v>2222.6012138304941</v>
      </c>
      <c r="U129" s="33">
        <f>IF($A129=U$83, 0, distance(VLOOKUP($A129,Cuision!$G:$P,9,FALSE),VLOOKUP($A129,Cuision!$G:$P,10,FALSE),VLOOKUP(U$83,Cuision!$G:$P,9,FALSE),VLOOKUP(U$83,Cuision!$G:$P,10,FALSE)))</f>
        <v>-1</v>
      </c>
      <c r="V129" s="33">
        <f>IF($A129=V$83, 0, distance(VLOOKUP($A129,Cuision!$G:$P,9,FALSE),VLOOKUP($A129,Cuision!$G:$P,10,FALSE),VLOOKUP(V$83,Cuision!$G:$P,9,FALSE),VLOOKUP(V$83,Cuision!$G:$P,10,FALSE)))</f>
        <v>6936.711935738972</v>
      </c>
      <c r="W129" s="33">
        <f>IF($A129=W$83, 0, distance(VLOOKUP($A129,Cuision!$G:$P,9,FALSE),VLOOKUP($A129,Cuision!$G:$P,10,FALSE),VLOOKUP(W$83,Cuision!$G:$P,9,FALSE),VLOOKUP(W$83,Cuision!$G:$P,10,FALSE)))</f>
        <v>2256.6205513315758</v>
      </c>
      <c r="X129" s="33">
        <f>IF($A129=X$83, 0, distance(VLOOKUP($A129,Cuision!$G:$P,9,FALSE),VLOOKUP($A129,Cuision!$G:$P,10,FALSE),VLOOKUP(X$83,Cuision!$G:$P,9,FALSE),VLOOKUP(X$83,Cuision!$G:$P,10,FALSE)))</f>
        <v>6210.1470377376618</v>
      </c>
      <c r="Y129" s="33">
        <f>IF($A129=Y$83, 0, distance(VLOOKUP($A129,Cuision!$G:$P,9,FALSE),VLOOKUP($A129,Cuision!$G:$P,10,FALSE),VLOOKUP(Y$83,Cuision!$G:$P,9,FALSE),VLOOKUP(Y$83,Cuision!$G:$P,10,FALSE)))</f>
        <v>592.21437154410091</v>
      </c>
      <c r="Z129" s="33">
        <f>IF($A129=Z$83, 0, distance(VLOOKUP($A129,Cuision!$G:$P,9,FALSE),VLOOKUP($A129,Cuision!$G:$P,10,FALSE),VLOOKUP(Z$83,Cuision!$G:$P,9,FALSE),VLOOKUP(Z$83,Cuision!$G:$P,10,FALSE)))</f>
        <v>-1</v>
      </c>
      <c r="AA129" s="33">
        <f>IF($A129=AA$83, 0, distance(VLOOKUP($A129,Cuision!$G:$P,9,FALSE),VLOOKUP($A129,Cuision!$G:$P,10,FALSE),VLOOKUP(AA$83,Cuision!$G:$P,9,FALSE),VLOOKUP(AA$83,Cuision!$G:$P,10,FALSE)))</f>
        <v>7828.8231763048007</v>
      </c>
      <c r="AB129" s="33">
        <f>IF($A129=AB$83, 0, distance(VLOOKUP($A129,Cuision!$G:$P,9,FALSE),VLOOKUP($A129,Cuision!$G:$P,10,FALSE),VLOOKUP(AB$83,Cuision!$G:$P,9,FALSE),VLOOKUP(AB$83,Cuision!$G:$P,10,FALSE)))</f>
        <v>5125.1641418242225</v>
      </c>
      <c r="AC129" s="33">
        <f>IF($A129=AC$83, 0, distance(VLOOKUP($A129,Cuision!$G:$P,9,FALSE),VLOOKUP($A129,Cuision!$G:$P,10,FALSE),VLOOKUP(AC$83,Cuision!$G:$P,9,FALSE),VLOOKUP(AC$83,Cuision!$G:$P,10,FALSE)))</f>
        <v>5742.8340282541449</v>
      </c>
      <c r="AD129" s="33">
        <f>IF($A129=AD$83, 0, distance(VLOOKUP($A129,Cuision!$G:$P,9,FALSE),VLOOKUP($A129,Cuision!$G:$P,10,FALSE),VLOOKUP(AD$83,Cuision!$G:$P,9,FALSE),VLOOKUP(AD$83,Cuision!$G:$P,10,FALSE)))</f>
        <v>1629.0916990541855</v>
      </c>
      <c r="AE129" s="33">
        <f>IF($A129=AE$83, 0, distance(VLOOKUP($A129,Cuision!$G:$P,9,FALSE),VLOOKUP($A129,Cuision!$G:$P,10,FALSE),VLOOKUP(AE$83,Cuision!$G:$P,9,FALSE),VLOOKUP(AE$83,Cuision!$G:$P,10,FALSE)))</f>
        <v>4649.2247044696314</v>
      </c>
      <c r="AF129" s="33">
        <f>IF($A129=AF$83, 0, distance(VLOOKUP($A129,Cuision!$G:$P,9,FALSE),VLOOKUP($A129,Cuision!$G:$P,10,FALSE),VLOOKUP(AF$83,Cuision!$G:$P,9,FALSE),VLOOKUP(AF$83,Cuision!$G:$P,10,FALSE)))</f>
        <v>5571.0465978087186</v>
      </c>
      <c r="AG129" s="33">
        <f>IF($A129=AG$83, 0, distance(VLOOKUP($A129,Cuision!$G:$P,9,FALSE),VLOOKUP($A129,Cuision!$G:$P,10,FALSE),VLOOKUP(AG$83,Cuision!$G:$P,9,FALSE),VLOOKUP(AG$83,Cuision!$G:$P,10,FALSE)))</f>
        <v>5049.2135353796548</v>
      </c>
      <c r="AH129" s="33">
        <f>IF($A129=AH$83, 0, distance(VLOOKUP($A129,Cuision!$G:$P,9,FALSE),VLOOKUP($A129,Cuision!$G:$P,10,FALSE),VLOOKUP(AH$83,Cuision!$G:$P,9,FALSE),VLOOKUP(AH$83,Cuision!$G:$P,10,FALSE)))</f>
        <v>-1</v>
      </c>
      <c r="AI129" s="33">
        <f>IF($A129=AI$83, 0, distance(VLOOKUP($A129,Cuision!$G:$P,9,FALSE),VLOOKUP($A129,Cuision!$G:$P,10,FALSE),VLOOKUP(AI$83,Cuision!$G:$P,9,FALSE),VLOOKUP(AI$83,Cuision!$G:$P,10,FALSE)))</f>
        <v>5291.5956296915056</v>
      </c>
      <c r="AJ129" s="33">
        <f>IF($A129=AJ$83, 0, distance(VLOOKUP($A129,Cuision!$G:$P,9,FALSE),VLOOKUP($A129,Cuision!$G:$P,10,FALSE),VLOOKUP(AJ$83,Cuision!$G:$P,9,FALSE),VLOOKUP(AJ$83,Cuision!$G:$P,10,FALSE)))</f>
        <v>4737.0061527829203</v>
      </c>
      <c r="AK129" s="33">
        <f>IF($A129=AK$83, 0, distance(VLOOKUP($A129,Cuision!$G:$P,9,FALSE),VLOOKUP($A129,Cuision!$G:$P,10,FALSE),VLOOKUP(AK$83,Cuision!$G:$P,9,FALSE),VLOOKUP(AK$83,Cuision!$G:$P,10,FALSE)))</f>
        <v>4719.4034751397712</v>
      </c>
      <c r="AL129" s="33">
        <f>IF($A129=AL$83, 0, distance(VLOOKUP($A129,Cuision!$G:$P,9,FALSE),VLOOKUP($A129,Cuision!$G:$P,10,FALSE),VLOOKUP(AL$83,Cuision!$G:$P,9,FALSE),VLOOKUP(AL$83,Cuision!$G:$P,10,FALSE)))</f>
        <v>2495.9412961412809</v>
      </c>
      <c r="AM129" s="33">
        <f>IF($A129=AM$83, 0, distance(VLOOKUP($A129,Cuision!$G:$P,9,FALSE),VLOOKUP($A129,Cuision!$G:$P,10,FALSE),VLOOKUP(AM$83,Cuision!$G:$P,9,FALSE),VLOOKUP(AM$83,Cuision!$G:$P,10,FALSE)))</f>
        <v>-1</v>
      </c>
      <c r="AN129" s="33">
        <f>IF($A129=AN$83, 0, distance(VLOOKUP($A129,Cuision!$G:$P,9,FALSE),VLOOKUP($A129,Cuision!$G:$P,10,FALSE),VLOOKUP(AN$83,Cuision!$G:$P,9,FALSE),VLOOKUP(AN$83,Cuision!$G:$P,10,FALSE)))</f>
        <v>5075.694340578767</v>
      </c>
      <c r="AO129" s="33">
        <f>IF($A129=AO$83, 0, distance(VLOOKUP($A129,Cuision!$G:$P,9,FALSE),VLOOKUP($A129,Cuision!$G:$P,10,FALSE),VLOOKUP(AO$83,Cuision!$G:$P,9,FALSE),VLOOKUP(AO$83,Cuision!$G:$P,10,FALSE)))</f>
        <v>6210.1470377376618</v>
      </c>
      <c r="AP129" s="33">
        <f>IF($A129=AP$83, 0, distance(VLOOKUP($A129,Cuision!$G:$P,9,FALSE),VLOOKUP($A129,Cuision!$G:$P,10,FALSE),VLOOKUP(AP$83,Cuision!$G:$P,9,FALSE),VLOOKUP(AP$83,Cuision!$G:$P,10,FALSE)))</f>
        <v>2910.7982459744508</v>
      </c>
      <c r="AQ129" s="33">
        <f>IF($A129=AQ$83, 0, distance(VLOOKUP($A129,Cuision!$G:$P,9,FALSE),VLOOKUP($A129,Cuision!$G:$P,10,FALSE),VLOOKUP(AQ$83,Cuision!$G:$P,9,FALSE),VLOOKUP(AQ$83,Cuision!$G:$P,10,FALSE)))</f>
        <v>3291.0080614428252</v>
      </c>
      <c r="AR129" s="33">
        <f>IF($A129=AR$83, 0, distance(VLOOKUP($A129,Cuision!$G:$P,9,FALSE),VLOOKUP($A129,Cuision!$G:$P,10,FALSE),VLOOKUP(AR$83,Cuision!$G:$P,9,FALSE),VLOOKUP(AR$83,Cuision!$G:$P,10,FALSE)))</f>
        <v>5503.2087828027024</v>
      </c>
      <c r="AS129" s="33">
        <f>IF($A129=AS$83, 0, distance(VLOOKUP($A129,Cuision!$G:$P,9,FALSE),VLOOKUP($A129,Cuision!$G:$P,10,FALSE),VLOOKUP(AS$83,Cuision!$G:$P,9,FALSE),VLOOKUP(AS$83,Cuision!$G:$P,10,FALSE)))</f>
        <v>5572.2378266021142</v>
      </c>
      <c r="AT129" s="33">
        <f>IF($A129=AT$83, 0, distance(VLOOKUP($A129,Cuision!$G:$P,9,FALSE),VLOOKUP($A129,Cuision!$G:$P,10,FALSE),VLOOKUP(AT$83,Cuision!$G:$P,9,FALSE),VLOOKUP(AT$83,Cuision!$G:$P,10,FALSE)))</f>
        <v>715.98731541658276</v>
      </c>
      <c r="AU129" s="33">
        <f>IF($A129=AU$83, 0, distance(VLOOKUP($A129,Cuision!$G:$P,9,FALSE),VLOOKUP($A129,Cuision!$G:$P,10,FALSE),VLOOKUP(AU$83,Cuision!$G:$P,9,FALSE),VLOOKUP(AU$83,Cuision!$G:$P,10,FALSE)))</f>
        <v>0</v>
      </c>
      <c r="AV129" s="33">
        <f>IF($A129=AV$83, 0, distance(VLOOKUP($A129,Cuision!$G:$P,9,FALSE),VLOOKUP($A129,Cuision!$G:$P,10,FALSE),VLOOKUP(AV$83,Cuision!$G:$P,9,FALSE),VLOOKUP(AV$83,Cuision!$G:$P,10,FALSE)))</f>
        <v>5041.2272374188206</v>
      </c>
      <c r="AW129" s="33">
        <f>IF($A129=AW$83, 0, distance(VLOOKUP($A129,Cuision!$G:$P,9,FALSE),VLOOKUP($A129,Cuision!$G:$P,10,FALSE),VLOOKUP(AW$83,Cuision!$G:$P,9,FALSE),VLOOKUP(AW$83,Cuision!$G:$P,10,FALSE)))</f>
        <v>2001.9200033400234</v>
      </c>
      <c r="AX129" s="33">
        <f>IF($A129=AX$83, 0, distance(VLOOKUP($A129,Cuision!$G:$P,9,FALSE),VLOOKUP($A129,Cuision!$G:$P,10,FALSE),VLOOKUP(AX$83,Cuision!$G:$P,9,FALSE),VLOOKUP(AX$83,Cuision!$G:$P,10,FALSE)))</f>
        <v>10088.016975651164</v>
      </c>
      <c r="AY129" s="33">
        <f>IF($A129=AY$83, 0, distance(VLOOKUP($A129,Cuision!$G:$P,9,FALSE),VLOOKUP($A129,Cuision!$G:$P,10,FALSE),VLOOKUP(AY$83,Cuision!$G:$P,9,FALSE),VLOOKUP(AY$83,Cuision!$G:$P,10,FALSE)))</f>
        <v>-1</v>
      </c>
      <c r="AZ129" s="33">
        <f>IF($A129=AZ$83, 0, distance(VLOOKUP($A129,Cuision!$G:$P,9,FALSE),VLOOKUP($A129,Cuision!$G:$P,10,FALSE),VLOOKUP(AZ$83,Cuision!$G:$P,9,FALSE),VLOOKUP(AZ$83,Cuision!$G:$P,10,FALSE)))</f>
        <v>2867.1754297032498</v>
      </c>
      <c r="BA129" s="33">
        <f>IF($A129=BA$83, 0, distance(VLOOKUP($A129,Cuision!$G:$P,9,FALSE),VLOOKUP($A129,Cuision!$G:$P,10,FALSE),VLOOKUP(BA$83,Cuision!$G:$P,9,FALSE),VLOOKUP(BA$83,Cuision!$G:$P,10,FALSE)))</f>
        <v>5685.9523077903923</v>
      </c>
      <c r="BB129" s="33">
        <f>IF($A129=BB$83, 0, distance(VLOOKUP($A129,Cuision!$G:$P,9,FALSE),VLOOKUP($A129,Cuision!$G:$P,10,FALSE),VLOOKUP(BB$83,Cuision!$G:$P,9,FALSE),VLOOKUP(BB$83,Cuision!$G:$P,10,FALSE)))</f>
        <v>7488.202184162943</v>
      </c>
      <c r="BC129" s="33">
        <f>IF($A129=BC$83, 0, distance(VLOOKUP($A129,Cuision!$G:$P,9,FALSE),VLOOKUP($A129,Cuision!$G:$P,10,FALSE),VLOOKUP(BC$83,Cuision!$G:$P,9,FALSE),VLOOKUP(BC$83,Cuision!$G:$P,10,FALSE)))</f>
        <v>4737.0061527829203</v>
      </c>
      <c r="BD129" s="33">
        <f>IF($A129=BD$83, 0, distance(VLOOKUP($A129,Cuision!$G:$P,9,FALSE),VLOOKUP($A129,Cuision!$G:$P,10,FALSE),VLOOKUP(BD$83,Cuision!$G:$P,9,FALSE),VLOOKUP(BD$83,Cuision!$G:$P,10,FALSE)))</f>
        <v>1239.1898588776862</v>
      </c>
      <c r="BE129" s="33">
        <f>IF($A129=BE$83, 0, distance(VLOOKUP($A129,Cuision!$G:$P,9,FALSE),VLOOKUP($A129,Cuision!$G:$P,10,FALSE),VLOOKUP(BE$83,Cuision!$G:$P,9,FALSE),VLOOKUP(BE$83,Cuision!$G:$P,10,FALSE)))</f>
        <v>6669.5360068183354</v>
      </c>
      <c r="BF129" s="33">
        <f>IF($A129=BF$83, 0, distance(VLOOKUP($A129,Cuision!$G:$P,9,FALSE),VLOOKUP($A129,Cuision!$G:$P,10,FALSE),VLOOKUP(BF$83,Cuision!$G:$P,9,FALSE),VLOOKUP(BF$83,Cuision!$G:$P,10,FALSE)))</f>
        <v>2998.6795269208915</v>
      </c>
      <c r="BG129" s="33">
        <f>IF($A129=BG$83, 0, distance(VLOOKUP($A129,Cuision!$G:$P,9,FALSE),VLOOKUP($A129,Cuision!$G:$P,10,FALSE),VLOOKUP(BG$83,Cuision!$G:$P,9,FALSE),VLOOKUP(BG$83,Cuision!$G:$P,10,FALSE)))</f>
        <v>4070.735968960857</v>
      </c>
      <c r="BH129" s="33">
        <f>IF($A129=BH$83, 0, distance(VLOOKUP($A129,Cuision!$G:$P,9,FALSE),VLOOKUP($A129,Cuision!$G:$P,10,FALSE),VLOOKUP(BH$83,Cuision!$G:$P,9,FALSE),VLOOKUP(BH$83,Cuision!$G:$P,10,FALSE)))</f>
        <v>10131.757015900102</v>
      </c>
      <c r="BI129" s="33">
        <f>IF($A129=BI$83, 0, distance(VLOOKUP($A129,Cuision!$G:$P,9,FALSE),VLOOKUP($A129,Cuision!$G:$P,10,FALSE),VLOOKUP(BI$83,Cuision!$G:$P,9,FALSE),VLOOKUP(BI$83,Cuision!$G:$P,10,FALSE)))</f>
        <v>4809.3553455859537</v>
      </c>
      <c r="BJ129" s="33">
        <f>IF($A129=BJ$83, 0, distance(VLOOKUP($A129,Cuision!$G:$P,9,FALSE),VLOOKUP($A129,Cuision!$G:$P,10,FALSE),VLOOKUP(BJ$83,Cuision!$G:$P,9,FALSE),VLOOKUP(BJ$83,Cuision!$G:$P,10,FALSE)))</f>
        <v>6472.6943473632464</v>
      </c>
      <c r="BK129" s="33">
        <f>IF($A129=BK$83, 0, distance(VLOOKUP($A129,Cuision!$G:$P,9,FALSE),VLOOKUP($A129,Cuision!$G:$P,10,FALSE),VLOOKUP(BK$83,Cuision!$G:$P,9,FALSE),VLOOKUP(BK$83,Cuision!$G:$P,10,FALSE)))</f>
        <v>4104.2308828178066</v>
      </c>
      <c r="BL129" s="33">
        <f>IF($A129=BL$83, 0, distance(VLOOKUP($A129,Cuision!$G:$P,9,FALSE),VLOOKUP($A129,Cuision!$G:$P,10,FALSE),VLOOKUP(BL$83,Cuision!$G:$P,9,FALSE),VLOOKUP(BL$83,Cuision!$G:$P,10,FALSE)))</f>
        <v>-1</v>
      </c>
      <c r="BM129" s="33">
        <f>IF($A129=BM$83, 0, distance(VLOOKUP($A129,Cuision!$G:$P,9,FALSE),VLOOKUP($A129,Cuision!$G:$P,10,FALSE),VLOOKUP(BM$83,Cuision!$G:$P,9,FALSE),VLOOKUP(BM$83,Cuision!$G:$P,10,FALSE)))</f>
        <v>-1</v>
      </c>
      <c r="BN129" s="33">
        <f>IF($A129=BN$83, 0, distance(VLOOKUP($A129,Cuision!$G:$P,9,FALSE),VLOOKUP($A129,Cuision!$G:$P,10,FALSE),VLOOKUP(BN$83,Cuision!$G:$P,9,FALSE),VLOOKUP(BN$83,Cuision!$G:$P,10,FALSE)))</f>
        <v>5503.2087828027024</v>
      </c>
      <c r="BO129" s="33">
        <f>IF($A129=BO$83, 0, distance(VLOOKUP($A129,Cuision!$G:$P,9,FALSE),VLOOKUP($A129,Cuision!$G:$P,10,FALSE),VLOOKUP(BO$83,Cuision!$G:$P,9,FALSE),VLOOKUP(BO$83,Cuision!$G:$P,10,FALSE)))</f>
        <v>2905.9596746781376</v>
      </c>
      <c r="BP129" s="33">
        <f>IF($A129=BP$83, 0, distance(VLOOKUP($A129,Cuision!$G:$P,9,FALSE),VLOOKUP($A129,Cuision!$G:$P,10,FALSE),VLOOKUP(BP$83,Cuision!$G:$P,9,FALSE),VLOOKUP(BP$83,Cuision!$G:$P,10,FALSE)))</f>
        <v>5117.5612376110685</v>
      </c>
      <c r="BQ129" s="33">
        <f>IF($A129=BQ$83, 0, distance(VLOOKUP($A129,Cuision!$G:$P,9,FALSE),VLOOKUP($A129,Cuision!$G:$P,10,FALSE),VLOOKUP(BQ$83,Cuision!$G:$P,9,FALSE),VLOOKUP(BQ$83,Cuision!$G:$P,10,FALSE)))</f>
        <v>-1</v>
      </c>
      <c r="BR129" s="33">
        <f>IF($A129=BR$83, 0, distance(VLOOKUP($A129,Cuision!$G:$P,9,FALSE),VLOOKUP($A129,Cuision!$G:$P,10,FALSE),VLOOKUP(BR$83,Cuision!$G:$P,9,FALSE),VLOOKUP(BR$83,Cuision!$G:$P,10,FALSE)))</f>
        <v>6936.711935738972</v>
      </c>
      <c r="BS129" s="33">
        <f>IF($A129=BS$83, 0, distance(VLOOKUP($A129,Cuision!$G:$P,9,FALSE),VLOOKUP($A129,Cuision!$G:$P,10,FALSE),VLOOKUP(BS$83,Cuision!$G:$P,9,FALSE),VLOOKUP(BS$83,Cuision!$G:$P,10,FALSE)))</f>
        <v>592.21437154410091</v>
      </c>
      <c r="BT129" s="33">
        <f>IF($A129=BT$83, 0, distance(VLOOKUP($A129,Cuision!$G:$P,9,FALSE),VLOOKUP($A129,Cuision!$G:$P,10,FALSE),VLOOKUP(BT$83,Cuision!$G:$P,9,FALSE),VLOOKUP(BT$83,Cuision!$G:$P,10,FALSE)))</f>
        <v>6210.1470377376618</v>
      </c>
      <c r="BU129" s="33">
        <f>IF($A129=BU$83, 0, distance(VLOOKUP($A129,Cuision!$G:$P,9,FALSE),VLOOKUP($A129,Cuision!$G:$P,10,FALSE),VLOOKUP(BU$83,Cuision!$G:$P,9,FALSE),VLOOKUP(BU$83,Cuision!$G:$P,10,FALSE)))</f>
        <v>2313.3432212403304</v>
      </c>
      <c r="BV129" s="33">
        <f>IF($A129=BV$83, 0, distance(VLOOKUP($A129,Cuision!$G:$P,9,FALSE),VLOOKUP($A129,Cuision!$G:$P,10,FALSE),VLOOKUP(BV$83,Cuision!$G:$P,9,FALSE),VLOOKUP(BV$83,Cuision!$G:$P,10,FALSE)))</f>
        <v>4813.2125705342851</v>
      </c>
      <c r="BW129" s="33">
        <f>IF($A129=BW$83, 0, distance(VLOOKUP($A129,Cuision!$G:$P,9,FALSE),VLOOKUP($A129,Cuision!$G:$P,10,FALSE),VLOOKUP(BW$83,Cuision!$G:$P,9,FALSE),VLOOKUP(BW$83,Cuision!$G:$P,10,FALSE)))</f>
        <v>4531.1876924077815</v>
      </c>
      <c r="BX129" s="33">
        <f>IF($A129=BX$83, 0, distance(VLOOKUP($A129,Cuision!$G:$P,9,FALSE),VLOOKUP($A129,Cuision!$G:$P,10,FALSE),VLOOKUP(BX$83,Cuision!$G:$P,9,FALSE),VLOOKUP(BX$83,Cuision!$G:$P,10,FALSE)))</f>
        <v>3036.4506286346514</v>
      </c>
      <c r="BY129" s="33">
        <f>IF($A129=BY$83, 0, distance(VLOOKUP($A129,Cuision!$G:$P,9,FALSE),VLOOKUP($A129,Cuision!$G:$P,10,FALSE),VLOOKUP(BY$83,Cuision!$G:$P,9,FALSE),VLOOKUP(BY$83,Cuision!$G:$P,10,FALSE)))</f>
        <v>-1</v>
      </c>
      <c r="BZ129" s="33">
        <f>IF($A129=BZ$83, 0, distance(VLOOKUP($A129,Cuision!$G:$P,9,FALSE),VLOOKUP($A129,Cuision!$G:$P,10,FALSE),VLOOKUP(BZ$83,Cuision!$G:$P,9,FALSE),VLOOKUP(BZ$83,Cuision!$G:$P,10,FALSE)))</f>
        <v>-1</v>
      </c>
      <c r="CA129" s="33">
        <f>IF($A129=CA$83, 0, distance(VLOOKUP($A129,Cuision!$G:$P,9,FALSE),VLOOKUP($A129,Cuision!$G:$P,10,FALSE),VLOOKUP(CA$83,Cuision!$G:$P,9,FALSE),VLOOKUP(CA$83,Cuision!$G:$P,10,FALSE)))</f>
        <v>1703.9454860103749</v>
      </c>
    </row>
    <row r="130" spans="1:79" ht="14.25" x14ac:dyDescent="0.2">
      <c r="A130" s="30" t="s">
        <v>100</v>
      </c>
      <c r="B130" s="33">
        <f>IF($A130=B$83, 0, distance(VLOOKUP($A130,Cuision!$G:$P,9,FALSE),VLOOKUP($A130,Cuision!$G:$P,10,FALSE),VLOOKUP(B$83,Cuision!$G:$P,9,FALSE),VLOOKUP(B$83,Cuision!$G:$P,10,FALSE)))</f>
        <v>2107.6371275519468</v>
      </c>
      <c r="C130" s="33">
        <f>IF($A130=C$83, 0, distance(VLOOKUP($A130,Cuision!$G:$P,9,FALSE),VLOOKUP($A130,Cuision!$G:$P,10,FALSE),VLOOKUP(C$83,Cuision!$G:$P,9,FALSE),VLOOKUP(C$83,Cuision!$G:$P,10,FALSE)))</f>
        <v>3046.1203898562262</v>
      </c>
      <c r="D130" s="33">
        <f>IF($A130=D$83, 0, distance(VLOOKUP($A130,Cuision!$G:$P,9,FALSE),VLOOKUP($A130,Cuision!$G:$P,10,FALSE),VLOOKUP(D$83,Cuision!$G:$P,9,FALSE),VLOOKUP(D$83,Cuision!$G:$P,10,FALSE)))</f>
        <v>5592.9141309463548</v>
      </c>
      <c r="E130" s="33">
        <f>IF($A130=E$83, 0, distance(VLOOKUP($A130,Cuision!$G:$P,9,FALSE),VLOOKUP($A130,Cuision!$G:$P,10,FALSE),VLOOKUP(E$83,Cuision!$G:$P,9,FALSE),VLOOKUP(E$83,Cuision!$G:$P,10,FALSE)))</f>
        <v>5592.9141309463548</v>
      </c>
      <c r="F130" s="33">
        <f>IF($A130=F$83, 0, distance(VLOOKUP($A130,Cuision!$G:$P,9,FALSE),VLOOKUP($A130,Cuision!$G:$P,10,FALSE),VLOOKUP(F$83,Cuision!$G:$P,9,FALSE),VLOOKUP(F$83,Cuision!$G:$P,10,FALSE)))</f>
        <v>750.69136448203346</v>
      </c>
      <c r="G130" s="33">
        <f>IF($A130=G$83, 0, distance(VLOOKUP($A130,Cuision!$G:$P,9,FALSE),VLOOKUP($A130,Cuision!$G:$P,10,FALSE),VLOOKUP(G$83,Cuision!$G:$P,9,FALSE),VLOOKUP(G$83,Cuision!$G:$P,10,FALSE)))</f>
        <v>7546.9029635868119</v>
      </c>
      <c r="H130" s="33">
        <f>IF($A130=H$83, 0, distance(VLOOKUP($A130,Cuision!$G:$P,9,FALSE),VLOOKUP($A130,Cuision!$G:$P,10,FALSE),VLOOKUP(H$83,Cuision!$G:$P,9,FALSE),VLOOKUP(H$83,Cuision!$G:$P,10,FALSE)))</f>
        <v>774.81103345195777</v>
      </c>
      <c r="I130" s="33">
        <f>IF($A130=I$83, 0, distance(VLOOKUP($A130,Cuision!$G:$P,9,FALSE),VLOOKUP($A130,Cuision!$G:$P,10,FALSE),VLOOKUP(I$83,Cuision!$G:$P,9,FALSE),VLOOKUP(I$83,Cuision!$G:$P,10,FALSE)))</f>
        <v>3830.7783134555043</v>
      </c>
      <c r="J130" s="33">
        <f>IF($A130=J$83, 0, distance(VLOOKUP($A130,Cuision!$G:$P,9,FALSE),VLOOKUP($A130,Cuision!$G:$P,10,FALSE),VLOOKUP(J$83,Cuision!$G:$P,9,FALSE),VLOOKUP(J$83,Cuision!$G:$P,10,FALSE)))</f>
        <v>8965.4425925253599</v>
      </c>
      <c r="K130" s="33">
        <f>IF($A130=K$83, 0, distance(VLOOKUP($A130,Cuision!$G:$P,9,FALSE),VLOOKUP($A130,Cuision!$G:$P,10,FALSE),VLOOKUP(K$83,Cuision!$G:$P,9,FALSE),VLOOKUP(K$83,Cuision!$G:$P,10,FALSE)))</f>
        <v>1193.3492491717286</v>
      </c>
      <c r="L130" s="33">
        <f>IF($A130=L$83, 0, distance(VLOOKUP($A130,Cuision!$G:$P,9,FALSE),VLOOKUP($A130,Cuision!$G:$P,10,FALSE),VLOOKUP(L$83,Cuision!$G:$P,9,FALSE),VLOOKUP(L$83,Cuision!$G:$P,10,FALSE)))</f>
        <v>3564.9081232635494</v>
      </c>
      <c r="M130" s="33">
        <f>IF($A130=M$83, 0, distance(VLOOKUP($A130,Cuision!$G:$P,9,FALSE),VLOOKUP($A130,Cuision!$G:$P,10,FALSE),VLOOKUP(M$83,Cuision!$G:$P,9,FALSE),VLOOKUP(M$83,Cuision!$G:$P,10,FALSE)))</f>
        <v>-1</v>
      </c>
      <c r="N130" s="33">
        <f>IF($A130=N$83, 0, distance(VLOOKUP($A130,Cuision!$G:$P,9,FALSE),VLOOKUP($A130,Cuision!$G:$P,10,FALSE),VLOOKUP(N$83,Cuision!$G:$P,9,FALSE),VLOOKUP(N$83,Cuision!$G:$P,10,FALSE)))</f>
        <v>1955.1180843530524</v>
      </c>
      <c r="O130" s="33">
        <f>IF($A130=O$83, 0, distance(VLOOKUP($A130,Cuision!$G:$P,9,FALSE),VLOOKUP($A130,Cuision!$G:$P,10,FALSE),VLOOKUP(O$83,Cuision!$G:$P,9,FALSE),VLOOKUP(O$83,Cuision!$G:$P,10,FALSE)))</f>
        <v>1738.2460013891666</v>
      </c>
      <c r="P130" s="33">
        <f>IF($A130=P$83, 0, distance(VLOOKUP($A130,Cuision!$G:$P,9,FALSE),VLOOKUP($A130,Cuision!$G:$P,10,FALSE),VLOOKUP(P$83,Cuision!$G:$P,9,FALSE),VLOOKUP(P$83,Cuision!$G:$P,10,FALSE)))</f>
        <v>6282.7257698699468</v>
      </c>
      <c r="Q130" s="33">
        <f>IF($A130=Q$83, 0, distance(VLOOKUP($A130,Cuision!$G:$P,9,FALSE),VLOOKUP($A130,Cuision!$G:$P,10,FALSE),VLOOKUP(Q$83,Cuision!$G:$P,9,FALSE),VLOOKUP(Q$83,Cuision!$G:$P,10,FALSE)))</f>
        <v>-1</v>
      </c>
      <c r="R130" s="33">
        <f>IF($A130=R$83, 0, distance(VLOOKUP($A130,Cuision!$G:$P,9,FALSE),VLOOKUP($A130,Cuision!$G:$P,10,FALSE),VLOOKUP(R$83,Cuision!$G:$P,9,FALSE),VLOOKUP(R$83,Cuision!$G:$P,10,FALSE)))</f>
        <v>1933.043342393614</v>
      </c>
      <c r="S130" s="33">
        <f>IF($A130=S$83, 0, distance(VLOOKUP($A130,Cuision!$G:$P,9,FALSE),VLOOKUP($A130,Cuision!$G:$P,10,FALSE),VLOOKUP(S$83,Cuision!$G:$P,9,FALSE),VLOOKUP(S$83,Cuision!$G:$P,10,FALSE)))</f>
        <v>-1</v>
      </c>
      <c r="T130" s="33">
        <f>IF($A130=T$83, 0, distance(VLOOKUP($A130,Cuision!$G:$P,9,FALSE),VLOOKUP($A130,Cuision!$G:$P,10,FALSE),VLOOKUP(T$83,Cuision!$G:$P,9,FALSE),VLOOKUP(T$83,Cuision!$G:$P,10,FALSE)))</f>
        <v>4018.0408600131586</v>
      </c>
      <c r="U130" s="33">
        <f>IF($A130=U$83, 0, distance(VLOOKUP($A130,Cuision!$G:$P,9,FALSE),VLOOKUP($A130,Cuision!$G:$P,10,FALSE),VLOOKUP(U$83,Cuision!$G:$P,9,FALSE),VLOOKUP(U$83,Cuision!$G:$P,10,FALSE)))</f>
        <v>-1</v>
      </c>
      <c r="V130" s="33">
        <f>IF($A130=V$83, 0, distance(VLOOKUP($A130,Cuision!$G:$P,9,FALSE),VLOOKUP($A130,Cuision!$G:$P,10,FALSE),VLOOKUP(V$83,Cuision!$G:$P,9,FALSE),VLOOKUP(V$83,Cuision!$G:$P,10,FALSE)))</f>
        <v>5592.9141309463548</v>
      </c>
      <c r="W130" s="33">
        <f>IF($A130=W$83, 0, distance(VLOOKUP($A130,Cuision!$G:$P,9,FALSE),VLOOKUP($A130,Cuision!$G:$P,10,FALSE),VLOOKUP(W$83,Cuision!$G:$P,9,FALSE),VLOOKUP(W$83,Cuision!$G:$P,10,FALSE)))</f>
        <v>4812.8855442838731</v>
      </c>
      <c r="X130" s="33">
        <f>IF($A130=X$83, 0, distance(VLOOKUP($A130,Cuision!$G:$P,9,FALSE),VLOOKUP($A130,Cuision!$G:$P,10,FALSE),VLOOKUP(X$83,Cuision!$G:$P,9,FALSE),VLOOKUP(X$83,Cuision!$G:$P,10,FALSE)))</f>
        <v>1955.1180843530524</v>
      </c>
      <c r="Y130" s="33">
        <f>IF($A130=Y$83, 0, distance(VLOOKUP($A130,Cuision!$G:$P,9,FALSE),VLOOKUP($A130,Cuision!$G:$P,10,FALSE),VLOOKUP(Y$83,Cuision!$G:$P,9,FALSE),VLOOKUP(Y$83,Cuision!$G:$P,10,FALSE)))</f>
        <v>4464.0602932069742</v>
      </c>
      <c r="Z130" s="33">
        <f>IF($A130=Z$83, 0, distance(VLOOKUP($A130,Cuision!$G:$P,9,FALSE),VLOOKUP($A130,Cuision!$G:$P,10,FALSE),VLOOKUP(Z$83,Cuision!$G:$P,9,FALSE),VLOOKUP(Z$83,Cuision!$G:$P,10,FALSE)))</f>
        <v>-1</v>
      </c>
      <c r="AA130" s="33">
        <f>IF($A130=AA$83, 0, distance(VLOOKUP($A130,Cuision!$G:$P,9,FALSE),VLOOKUP($A130,Cuision!$G:$P,10,FALSE),VLOOKUP(AA$83,Cuision!$G:$P,9,FALSE),VLOOKUP(AA$83,Cuision!$G:$P,10,FALSE)))</f>
        <v>6538.0122925826317</v>
      </c>
      <c r="AB130" s="33">
        <f>IF($A130=AB$83, 0, distance(VLOOKUP($A130,Cuision!$G:$P,9,FALSE),VLOOKUP($A130,Cuision!$G:$P,10,FALSE),VLOOKUP(AB$83,Cuision!$G:$P,9,FALSE),VLOOKUP(AB$83,Cuision!$G:$P,10,FALSE)))</f>
        <v>1346.4361378614292</v>
      </c>
      <c r="AC130" s="33">
        <f>IF($A130=AC$83, 0, distance(VLOOKUP($A130,Cuision!$G:$P,9,FALSE),VLOOKUP($A130,Cuision!$G:$P,10,FALSE),VLOOKUP(AC$83,Cuision!$G:$P,9,FALSE),VLOOKUP(AC$83,Cuision!$G:$P,10,FALSE)))</f>
        <v>1863.7227411783297</v>
      </c>
      <c r="AD130" s="33">
        <f>IF($A130=AD$83, 0, distance(VLOOKUP($A130,Cuision!$G:$P,9,FALSE),VLOOKUP($A130,Cuision!$G:$P,10,FALSE),VLOOKUP(AD$83,Cuision!$G:$P,9,FALSE),VLOOKUP(AD$83,Cuision!$G:$P,10,FALSE)))</f>
        <v>5596.7991028748938</v>
      </c>
      <c r="AE130" s="33">
        <f>IF($A130=AE$83, 0, distance(VLOOKUP($A130,Cuision!$G:$P,9,FALSE),VLOOKUP($A130,Cuision!$G:$P,10,FALSE),VLOOKUP(AE$83,Cuision!$G:$P,9,FALSE),VLOOKUP(AE$83,Cuision!$G:$P,10,FALSE)))</f>
        <v>2049.1777688145739</v>
      </c>
      <c r="AF130" s="33">
        <f>IF($A130=AF$83, 0, distance(VLOOKUP($A130,Cuision!$G:$P,9,FALSE),VLOOKUP($A130,Cuision!$G:$P,10,FALSE),VLOOKUP(AF$83,Cuision!$G:$P,9,FALSE),VLOOKUP(AF$83,Cuision!$G:$P,10,FALSE)))</f>
        <v>1762.0003393785764</v>
      </c>
      <c r="AG130" s="33">
        <f>IF($A130=AG$83, 0, distance(VLOOKUP($A130,Cuision!$G:$P,9,FALSE),VLOOKUP($A130,Cuision!$G:$P,10,FALSE),VLOOKUP(AG$83,Cuision!$G:$P,9,FALSE),VLOOKUP(AG$83,Cuision!$G:$P,10,FALSE)))</f>
        <v>1495.1895497652306</v>
      </c>
      <c r="AH130" s="33">
        <f>IF($A130=AH$83, 0, distance(VLOOKUP($A130,Cuision!$G:$P,9,FALSE),VLOOKUP($A130,Cuision!$G:$P,10,FALSE),VLOOKUP(AH$83,Cuision!$G:$P,9,FALSE),VLOOKUP(AH$83,Cuision!$G:$P,10,FALSE)))</f>
        <v>-1</v>
      </c>
      <c r="AI130" s="33">
        <f>IF($A130=AI$83, 0, distance(VLOOKUP($A130,Cuision!$G:$P,9,FALSE),VLOOKUP($A130,Cuision!$G:$P,10,FALSE),VLOOKUP(AI$83,Cuision!$G:$P,9,FALSE),VLOOKUP(AI$83,Cuision!$G:$P,10,FALSE)))</f>
        <v>484.99793678304911</v>
      </c>
      <c r="AJ130" s="33">
        <f>IF($A130=AJ$83, 0, distance(VLOOKUP($A130,Cuision!$G:$P,9,FALSE),VLOOKUP($A130,Cuision!$G:$P,10,FALSE),VLOOKUP(AJ$83,Cuision!$G:$P,9,FALSE),VLOOKUP(AJ$83,Cuision!$G:$P,10,FALSE)))</f>
        <v>750.69136448203346</v>
      </c>
      <c r="AK130" s="33">
        <f>IF($A130=AK$83, 0, distance(VLOOKUP($A130,Cuision!$G:$P,9,FALSE),VLOOKUP($A130,Cuision!$G:$P,10,FALSE),VLOOKUP(AK$83,Cuision!$G:$P,9,FALSE),VLOOKUP(AK$83,Cuision!$G:$P,10,FALSE)))</f>
        <v>8597.0978411684537</v>
      </c>
      <c r="AL130" s="33">
        <f>IF($A130=AL$83, 0, distance(VLOOKUP($A130,Cuision!$G:$P,9,FALSE),VLOOKUP($A130,Cuision!$G:$P,10,FALSE),VLOOKUP(AL$83,Cuision!$G:$P,9,FALSE),VLOOKUP(AL$83,Cuision!$G:$P,10,FALSE)))</f>
        <v>3160.6293583199863</v>
      </c>
      <c r="AM130" s="33">
        <f>IF($A130=AM$83, 0, distance(VLOOKUP($A130,Cuision!$G:$P,9,FALSE),VLOOKUP($A130,Cuision!$G:$P,10,FALSE),VLOOKUP(AM$83,Cuision!$G:$P,9,FALSE),VLOOKUP(AM$83,Cuision!$G:$P,10,FALSE)))</f>
        <v>-1</v>
      </c>
      <c r="AN130" s="33">
        <f>IF($A130=AN$83, 0, distance(VLOOKUP($A130,Cuision!$G:$P,9,FALSE),VLOOKUP($A130,Cuision!$G:$P,10,FALSE),VLOOKUP(AN$83,Cuision!$G:$P,9,FALSE),VLOOKUP(AN$83,Cuision!$G:$P,10,FALSE)))</f>
        <v>1071.4630355315232</v>
      </c>
      <c r="AO130" s="33">
        <f>IF($A130=AO$83, 0, distance(VLOOKUP($A130,Cuision!$G:$P,9,FALSE),VLOOKUP($A130,Cuision!$G:$P,10,FALSE),VLOOKUP(AO$83,Cuision!$G:$P,9,FALSE),VLOOKUP(AO$83,Cuision!$G:$P,10,FALSE)))</f>
        <v>1955.1180843530524</v>
      </c>
      <c r="AP130" s="33">
        <f>IF($A130=AP$83, 0, distance(VLOOKUP($A130,Cuision!$G:$P,9,FALSE),VLOOKUP($A130,Cuision!$G:$P,10,FALSE),VLOOKUP(AP$83,Cuision!$G:$P,9,FALSE),VLOOKUP(AP$83,Cuision!$G:$P,10,FALSE)))</f>
        <v>2680.1713476259629</v>
      </c>
      <c r="AQ130" s="33">
        <f>IF($A130=AQ$83, 0, distance(VLOOKUP($A130,Cuision!$G:$P,9,FALSE),VLOOKUP($A130,Cuision!$G:$P,10,FALSE),VLOOKUP(AQ$83,Cuision!$G:$P,9,FALSE),VLOOKUP(AQ$83,Cuision!$G:$P,10,FALSE)))</f>
        <v>5635.3633516228456</v>
      </c>
      <c r="AR130" s="33">
        <f>IF($A130=AR$83, 0, distance(VLOOKUP($A130,Cuision!$G:$P,9,FALSE),VLOOKUP($A130,Cuision!$G:$P,10,FALSE),VLOOKUP(AR$83,Cuision!$G:$P,9,FALSE),VLOOKUP(AR$83,Cuision!$G:$P,10,FALSE)))</f>
        <v>1933.043342393614</v>
      </c>
      <c r="AS130" s="33">
        <f>IF($A130=AS$83, 0, distance(VLOOKUP($A130,Cuision!$G:$P,9,FALSE),VLOOKUP($A130,Cuision!$G:$P,10,FALSE),VLOOKUP(AS$83,Cuision!$G:$P,9,FALSE),VLOOKUP(AS$83,Cuision!$G:$P,10,FALSE)))</f>
        <v>1135.8852915678592</v>
      </c>
      <c r="AT130" s="33">
        <f>IF($A130=AT$83, 0, distance(VLOOKUP($A130,Cuision!$G:$P,9,FALSE),VLOOKUP($A130,Cuision!$G:$P,10,FALSE),VLOOKUP(AT$83,Cuision!$G:$P,9,FALSE),VLOOKUP(AT$83,Cuision!$G:$P,10,FALSE)))</f>
        <v>5692.4003041090291</v>
      </c>
      <c r="AU130" s="33">
        <f>IF($A130=AU$83, 0, distance(VLOOKUP($A130,Cuision!$G:$P,9,FALSE),VLOOKUP($A130,Cuision!$G:$P,10,FALSE),VLOOKUP(AU$83,Cuision!$G:$P,9,FALSE),VLOOKUP(AU$83,Cuision!$G:$P,10,FALSE)))</f>
        <v>5041.2272374188206</v>
      </c>
      <c r="AV130" s="33">
        <f>IF($A130=AV$83, 0, distance(VLOOKUP($A130,Cuision!$G:$P,9,FALSE),VLOOKUP($A130,Cuision!$G:$P,10,FALSE),VLOOKUP(AV$83,Cuision!$G:$P,9,FALSE),VLOOKUP(AV$83,Cuision!$G:$P,10,FALSE)))</f>
        <v>0</v>
      </c>
      <c r="AW130" s="33">
        <f>IF($A130=AW$83, 0, distance(VLOOKUP($A130,Cuision!$G:$P,9,FALSE),VLOOKUP($A130,Cuision!$G:$P,10,FALSE),VLOOKUP(AW$83,Cuision!$G:$P,9,FALSE),VLOOKUP(AW$83,Cuision!$G:$P,10,FALSE)))</f>
        <v>4444.8721558693078</v>
      </c>
      <c r="AX130" s="33">
        <f>IF($A130=AX$83, 0, distance(VLOOKUP($A130,Cuision!$G:$P,9,FALSE),VLOOKUP($A130,Cuision!$G:$P,10,FALSE),VLOOKUP(AX$83,Cuision!$G:$P,9,FALSE),VLOOKUP(AX$83,Cuision!$G:$P,10,FALSE)))</f>
        <v>6569.5862116153003</v>
      </c>
      <c r="AY130" s="33">
        <f>IF($A130=AY$83, 0, distance(VLOOKUP($A130,Cuision!$G:$P,9,FALSE),VLOOKUP($A130,Cuision!$G:$P,10,FALSE),VLOOKUP(AY$83,Cuision!$G:$P,9,FALSE),VLOOKUP(AY$83,Cuision!$G:$P,10,FALSE)))</f>
        <v>-1</v>
      </c>
      <c r="AZ130" s="33">
        <f>IF($A130=AZ$83, 0, distance(VLOOKUP($A130,Cuision!$G:$P,9,FALSE),VLOOKUP($A130,Cuision!$G:$P,10,FALSE),VLOOKUP(AZ$83,Cuision!$G:$P,9,FALSE),VLOOKUP(AZ$83,Cuision!$G:$P,10,FALSE)))</f>
        <v>4963.6190012408551</v>
      </c>
      <c r="BA130" s="33">
        <f>IF($A130=BA$83, 0, distance(VLOOKUP($A130,Cuision!$G:$P,9,FALSE),VLOOKUP($A130,Cuision!$G:$P,10,FALSE),VLOOKUP(BA$83,Cuision!$G:$P,9,FALSE),VLOOKUP(BA$83,Cuision!$G:$P,10,FALSE)))</f>
        <v>778.41124851718416</v>
      </c>
      <c r="BB130" s="33">
        <f>IF($A130=BB$83, 0, distance(VLOOKUP($A130,Cuision!$G:$P,9,FALSE),VLOOKUP($A130,Cuision!$G:$P,10,FALSE),VLOOKUP(BB$83,Cuision!$G:$P,9,FALSE),VLOOKUP(BB$83,Cuision!$G:$P,10,FALSE)))</f>
        <v>7476.0854526992207</v>
      </c>
      <c r="BC130" s="33">
        <f>IF($A130=BC$83, 0, distance(VLOOKUP($A130,Cuision!$G:$P,9,FALSE),VLOOKUP($A130,Cuision!$G:$P,10,FALSE),VLOOKUP(BC$83,Cuision!$G:$P,9,FALSE),VLOOKUP(BC$83,Cuision!$G:$P,10,FALSE)))</f>
        <v>750.69136448203346</v>
      </c>
      <c r="BD130" s="33">
        <f>IF($A130=BD$83, 0, distance(VLOOKUP($A130,Cuision!$G:$P,9,FALSE),VLOOKUP($A130,Cuision!$G:$P,10,FALSE),VLOOKUP(BD$83,Cuision!$G:$P,9,FALSE),VLOOKUP(BD$83,Cuision!$G:$P,10,FALSE)))</f>
        <v>3823.0880887745511</v>
      </c>
      <c r="BE130" s="33">
        <f>IF($A130=BE$83, 0, distance(VLOOKUP($A130,Cuision!$G:$P,9,FALSE),VLOOKUP($A130,Cuision!$G:$P,10,FALSE),VLOOKUP(BE$83,Cuision!$G:$P,9,FALSE),VLOOKUP(BE$83,Cuision!$G:$P,10,FALSE)))</f>
        <v>2182.4061909499342</v>
      </c>
      <c r="BF130" s="33">
        <f>IF($A130=BF$83, 0, distance(VLOOKUP($A130,Cuision!$G:$P,9,FALSE),VLOOKUP($A130,Cuision!$G:$P,10,FALSE),VLOOKUP(BF$83,Cuision!$G:$P,9,FALSE),VLOOKUP(BF$83,Cuision!$G:$P,10,FALSE)))</f>
        <v>2335.9004290138782</v>
      </c>
      <c r="BG130" s="33">
        <f>IF($A130=BG$83, 0, distance(VLOOKUP($A130,Cuision!$G:$P,9,FALSE),VLOOKUP($A130,Cuision!$G:$P,10,FALSE),VLOOKUP(BG$83,Cuision!$G:$P,9,FALSE),VLOOKUP(BG$83,Cuision!$G:$P,10,FALSE)))</f>
        <v>1104.4209447212893</v>
      </c>
      <c r="BH130" s="33">
        <f>IF($A130=BH$83, 0, distance(VLOOKUP($A130,Cuision!$G:$P,9,FALSE),VLOOKUP($A130,Cuision!$G:$P,10,FALSE),VLOOKUP(BH$83,Cuision!$G:$P,9,FALSE),VLOOKUP(BH$83,Cuision!$G:$P,10,FALSE)))</f>
        <v>7751.6364449845378</v>
      </c>
      <c r="BI130" s="33">
        <f>IF($A130=BI$83, 0, distance(VLOOKUP($A130,Cuision!$G:$P,9,FALSE),VLOOKUP($A130,Cuision!$G:$P,10,FALSE),VLOOKUP(BI$83,Cuision!$G:$P,9,FALSE),VLOOKUP(BI$83,Cuision!$G:$P,10,FALSE)))</f>
        <v>1288.299462227174</v>
      </c>
      <c r="BJ130" s="33">
        <f>IF($A130=BJ$83, 0, distance(VLOOKUP($A130,Cuision!$G:$P,9,FALSE),VLOOKUP($A130,Cuision!$G:$P,10,FALSE),VLOOKUP(BJ$83,Cuision!$G:$P,9,FALSE),VLOOKUP(BJ$83,Cuision!$G:$P,10,FALSE)))</f>
        <v>2251.6298251363155</v>
      </c>
      <c r="BK130" s="33">
        <f>IF($A130=BK$83, 0, distance(VLOOKUP($A130,Cuision!$G:$P,9,FALSE),VLOOKUP($A130,Cuision!$G:$P,10,FALSE),VLOOKUP(BK$83,Cuision!$G:$P,9,FALSE),VLOOKUP(BK$83,Cuision!$G:$P,10,FALSE)))</f>
        <v>1444.5219834694026</v>
      </c>
      <c r="BL130" s="33">
        <f>IF($A130=BL$83, 0, distance(VLOOKUP($A130,Cuision!$G:$P,9,FALSE),VLOOKUP($A130,Cuision!$G:$P,10,FALSE),VLOOKUP(BL$83,Cuision!$G:$P,9,FALSE),VLOOKUP(BL$83,Cuision!$G:$P,10,FALSE)))</f>
        <v>-1</v>
      </c>
      <c r="BM130" s="33">
        <f>IF($A130=BM$83, 0, distance(VLOOKUP($A130,Cuision!$G:$P,9,FALSE),VLOOKUP($A130,Cuision!$G:$P,10,FALSE),VLOOKUP(BM$83,Cuision!$G:$P,9,FALSE),VLOOKUP(BM$83,Cuision!$G:$P,10,FALSE)))</f>
        <v>-1</v>
      </c>
      <c r="BN130" s="33">
        <f>IF($A130=BN$83, 0, distance(VLOOKUP($A130,Cuision!$G:$P,9,FALSE),VLOOKUP($A130,Cuision!$G:$P,10,FALSE),VLOOKUP(BN$83,Cuision!$G:$P,9,FALSE),VLOOKUP(BN$83,Cuision!$G:$P,10,FALSE)))</f>
        <v>1933.043342393614</v>
      </c>
      <c r="BO130" s="33">
        <f>IF($A130=BO$83, 0, distance(VLOOKUP($A130,Cuision!$G:$P,9,FALSE),VLOOKUP($A130,Cuision!$G:$P,10,FALSE),VLOOKUP(BO$83,Cuision!$G:$P,9,FALSE),VLOOKUP(BO$83,Cuision!$G:$P,10,FALSE)))</f>
        <v>5159.4493547193561</v>
      </c>
      <c r="BP130" s="33">
        <f>IF($A130=BP$83, 0, distance(VLOOKUP($A130,Cuision!$G:$P,9,FALSE),VLOOKUP($A130,Cuision!$G:$P,10,FALSE),VLOOKUP(BP$83,Cuision!$G:$P,9,FALSE),VLOOKUP(BP$83,Cuision!$G:$P,10,FALSE)))</f>
        <v>1165.883486167404</v>
      </c>
      <c r="BQ130" s="33">
        <f>IF($A130=BQ$83, 0, distance(VLOOKUP($A130,Cuision!$G:$P,9,FALSE),VLOOKUP($A130,Cuision!$G:$P,10,FALSE),VLOOKUP(BQ$83,Cuision!$G:$P,9,FALSE),VLOOKUP(BQ$83,Cuision!$G:$P,10,FALSE)))</f>
        <v>-1</v>
      </c>
      <c r="BR130" s="33">
        <f>IF($A130=BR$83, 0, distance(VLOOKUP($A130,Cuision!$G:$P,9,FALSE),VLOOKUP($A130,Cuision!$G:$P,10,FALSE),VLOOKUP(BR$83,Cuision!$G:$P,9,FALSE),VLOOKUP(BR$83,Cuision!$G:$P,10,FALSE)))</f>
        <v>5592.9141309463548</v>
      </c>
      <c r="BS130" s="33">
        <f>IF($A130=BS$83, 0, distance(VLOOKUP($A130,Cuision!$G:$P,9,FALSE),VLOOKUP($A130,Cuision!$G:$P,10,FALSE),VLOOKUP(BS$83,Cuision!$G:$P,9,FALSE),VLOOKUP(BS$83,Cuision!$G:$P,10,FALSE)))</f>
        <v>4464.0602932069742</v>
      </c>
      <c r="BT130" s="33">
        <f>IF($A130=BT$83, 0, distance(VLOOKUP($A130,Cuision!$G:$P,9,FALSE),VLOOKUP($A130,Cuision!$G:$P,10,FALSE),VLOOKUP(BT$83,Cuision!$G:$P,9,FALSE),VLOOKUP(BT$83,Cuision!$G:$P,10,FALSE)))</f>
        <v>1955.1180843530524</v>
      </c>
      <c r="BU130" s="33">
        <f>IF($A130=BU$83, 0, distance(VLOOKUP($A130,Cuision!$G:$P,9,FALSE),VLOOKUP($A130,Cuision!$G:$P,10,FALSE),VLOOKUP(BU$83,Cuision!$G:$P,9,FALSE),VLOOKUP(BU$83,Cuision!$G:$P,10,FALSE)))</f>
        <v>4480.7019221302717</v>
      </c>
      <c r="BV130" s="33">
        <f>IF($A130=BV$83, 0, distance(VLOOKUP($A130,Cuision!$G:$P,9,FALSE),VLOOKUP($A130,Cuision!$G:$P,10,FALSE),VLOOKUP(BV$83,Cuision!$G:$P,9,FALSE),VLOOKUP(BV$83,Cuision!$G:$P,10,FALSE)))</f>
        <v>329.37619539682817</v>
      </c>
      <c r="BW130" s="33">
        <f>IF($A130=BW$83, 0, distance(VLOOKUP($A130,Cuision!$G:$P,9,FALSE),VLOOKUP($A130,Cuision!$G:$P,10,FALSE),VLOOKUP(BW$83,Cuision!$G:$P,9,FALSE),VLOOKUP(BW$83,Cuision!$G:$P,10,FALSE)))</f>
        <v>1053.4145716675571</v>
      </c>
      <c r="BX130" s="33">
        <f>IF($A130=BX$83, 0, distance(VLOOKUP($A130,Cuision!$G:$P,9,FALSE),VLOOKUP($A130,Cuision!$G:$P,10,FALSE),VLOOKUP(BX$83,Cuision!$G:$P,9,FALSE),VLOOKUP(BX$83,Cuision!$G:$P,10,FALSE)))</f>
        <v>2057.7820120229776</v>
      </c>
      <c r="BY130" s="33">
        <f>IF($A130=BY$83, 0, distance(VLOOKUP($A130,Cuision!$G:$P,9,FALSE),VLOOKUP($A130,Cuision!$G:$P,10,FALSE),VLOOKUP(BY$83,Cuision!$G:$P,9,FALSE),VLOOKUP(BY$83,Cuision!$G:$P,10,FALSE)))</f>
        <v>-1</v>
      </c>
      <c r="BZ130" s="33">
        <f>IF($A130=BZ$83, 0, distance(VLOOKUP($A130,Cuision!$G:$P,9,FALSE),VLOOKUP($A130,Cuision!$G:$P,10,FALSE),VLOOKUP(BZ$83,Cuision!$G:$P,9,FALSE),VLOOKUP(BZ$83,Cuision!$G:$P,10,FALSE)))</f>
        <v>-1</v>
      </c>
      <c r="CA130" s="33">
        <f>IF($A130=CA$83, 0, distance(VLOOKUP($A130,Cuision!$G:$P,9,FALSE),VLOOKUP($A130,Cuision!$G:$P,10,FALSE),VLOOKUP(CA$83,Cuision!$G:$P,9,FALSE),VLOOKUP(CA$83,Cuision!$G:$P,10,FALSE)))</f>
        <v>4518.8801870675716</v>
      </c>
    </row>
    <row r="131" spans="1:79" ht="14.25" x14ac:dyDescent="0.2">
      <c r="A131" s="30" t="s">
        <v>101</v>
      </c>
      <c r="B131" s="33">
        <f>IF($A131=B$83, 0, distance(VLOOKUP($A131,Cuision!$G:$P,9,FALSE),VLOOKUP($A131,Cuision!$G:$P,10,FALSE),VLOOKUP(B$83,Cuision!$G:$P,9,FALSE),VLOOKUP(B$83,Cuision!$G:$P,10,FALSE)))</f>
        <v>2350.2053545656568</v>
      </c>
      <c r="C131" s="33">
        <f>IF($A131=C$83, 0, distance(VLOOKUP($A131,Cuision!$G:$P,9,FALSE),VLOOKUP($A131,Cuision!$G:$P,10,FALSE),VLOOKUP(C$83,Cuision!$G:$P,9,FALSE),VLOOKUP(C$83,Cuision!$G:$P,10,FALSE)))</f>
        <v>4996.7889905142601</v>
      </c>
      <c r="D131" s="33">
        <f>IF($A131=D$83, 0, distance(VLOOKUP($A131,Cuision!$G:$P,9,FALSE),VLOOKUP($A131,Cuision!$G:$P,10,FALSE),VLOOKUP(D$83,Cuision!$G:$P,9,FALSE),VLOOKUP(D$83,Cuision!$G:$P,10,FALSE)))</f>
        <v>8506.9826268567722</v>
      </c>
      <c r="E131" s="33">
        <f>IF($A131=E$83, 0, distance(VLOOKUP($A131,Cuision!$G:$P,9,FALSE),VLOOKUP($A131,Cuision!$G:$P,10,FALSE),VLOOKUP(E$83,Cuision!$G:$P,9,FALSE),VLOOKUP(E$83,Cuision!$G:$P,10,FALSE)))</f>
        <v>8506.9826268567722</v>
      </c>
      <c r="F131" s="33">
        <f>IF($A131=F$83, 0, distance(VLOOKUP($A131,Cuision!$G:$P,9,FALSE),VLOOKUP($A131,Cuision!$G:$P,10,FALSE),VLOOKUP(F$83,Cuision!$G:$P,9,FALSE),VLOOKUP(F$83,Cuision!$G:$P,10,FALSE)))</f>
        <v>3840.6105326694137</v>
      </c>
      <c r="G131" s="33">
        <f>IF($A131=G$83, 0, distance(VLOOKUP($A131,Cuision!$G:$P,9,FALSE),VLOOKUP($A131,Cuision!$G:$P,10,FALSE),VLOOKUP(G$83,Cuision!$G:$P,9,FALSE),VLOOKUP(G$83,Cuision!$G:$P,10,FALSE)))</f>
        <v>10795.996178475225</v>
      </c>
      <c r="H131" s="33">
        <f>IF($A131=H$83, 0, distance(VLOOKUP($A131,Cuision!$G:$P,9,FALSE),VLOOKUP($A131,Cuision!$G:$P,10,FALSE),VLOOKUP(H$83,Cuision!$G:$P,9,FALSE),VLOOKUP(H$83,Cuision!$G:$P,10,FALSE)))</f>
        <v>3753.2284798108935</v>
      </c>
      <c r="I131" s="33">
        <f>IF($A131=I$83, 0, distance(VLOOKUP($A131,Cuision!$G:$P,9,FALSE),VLOOKUP($A131,Cuision!$G:$P,10,FALSE),VLOOKUP(I$83,Cuision!$G:$P,9,FALSE),VLOOKUP(I$83,Cuision!$G:$P,10,FALSE)))</f>
        <v>1117.5280475397178</v>
      </c>
      <c r="J131" s="33">
        <f>IF($A131=J$83, 0, distance(VLOOKUP($A131,Cuision!$G:$P,9,FALSE),VLOOKUP($A131,Cuision!$G:$P,10,FALSE),VLOOKUP(J$83,Cuision!$G:$P,9,FALSE),VLOOKUP(J$83,Cuision!$G:$P,10,FALSE)))</f>
        <v>4777.1113624170621</v>
      </c>
      <c r="K131" s="33">
        <f>IF($A131=K$83, 0, distance(VLOOKUP($A131,Cuision!$G:$P,9,FALSE),VLOOKUP($A131,Cuision!$G:$P,10,FALSE),VLOOKUP(K$83,Cuision!$G:$P,9,FALSE),VLOOKUP(K$83,Cuision!$G:$P,10,FALSE)))</f>
        <v>5128.8286123118178</v>
      </c>
      <c r="L131" s="33">
        <f>IF($A131=L$83, 0, distance(VLOOKUP($A131,Cuision!$G:$P,9,FALSE),VLOOKUP($A131,Cuision!$G:$P,10,FALSE),VLOOKUP(L$83,Cuision!$G:$P,9,FALSE),VLOOKUP(L$83,Cuision!$G:$P,10,FALSE)))</f>
        <v>880.77831234835969</v>
      </c>
      <c r="M131" s="33">
        <f>IF($A131=M$83, 0, distance(VLOOKUP($A131,Cuision!$G:$P,9,FALSE),VLOOKUP($A131,Cuision!$G:$P,10,FALSE),VLOOKUP(M$83,Cuision!$G:$P,9,FALSE),VLOOKUP(M$83,Cuision!$G:$P,10,FALSE)))</f>
        <v>-1</v>
      </c>
      <c r="N131" s="33">
        <f>IF($A131=N$83, 0, distance(VLOOKUP($A131,Cuision!$G:$P,9,FALSE),VLOOKUP($A131,Cuision!$G:$P,10,FALSE),VLOOKUP(N$83,Cuision!$G:$P,9,FALSE),VLOOKUP(N$83,Cuision!$G:$P,10,FALSE)))</f>
        <v>6230.8157181243596</v>
      </c>
      <c r="O131" s="33">
        <f>IF($A131=O$83, 0, distance(VLOOKUP($A131,Cuision!$G:$P,9,FALSE),VLOOKUP($A131,Cuision!$G:$P,10,FALSE),VLOOKUP(O$83,Cuision!$G:$P,9,FALSE),VLOOKUP(O$83,Cuision!$G:$P,10,FALSE)))</f>
        <v>5609.7306032098786</v>
      </c>
      <c r="P131" s="33">
        <f>IF($A131=P$83, 0, distance(VLOOKUP($A131,Cuision!$G:$P,9,FALSE),VLOOKUP($A131,Cuision!$G:$P,10,FALSE),VLOOKUP(P$83,Cuision!$G:$P,9,FALSE),VLOOKUP(P$83,Cuision!$G:$P,10,FALSE)))</f>
        <v>10483.92506970791</v>
      </c>
      <c r="Q131" s="33">
        <f>IF($A131=Q$83, 0, distance(VLOOKUP($A131,Cuision!$G:$P,9,FALSE),VLOOKUP($A131,Cuision!$G:$P,10,FALSE),VLOOKUP(Q$83,Cuision!$G:$P,9,FALSE),VLOOKUP(Q$83,Cuision!$G:$P,10,FALSE)))</f>
        <v>-1</v>
      </c>
      <c r="R131" s="33">
        <f>IF($A131=R$83, 0, distance(VLOOKUP($A131,Cuision!$G:$P,9,FALSE),VLOOKUP($A131,Cuision!$G:$P,10,FALSE),VLOOKUP(R$83,Cuision!$G:$P,9,FALSE),VLOOKUP(R$83,Cuision!$G:$P,10,FALSE)))</f>
        <v>5777.680954062439</v>
      </c>
      <c r="S131" s="33">
        <f>IF($A131=S$83, 0, distance(VLOOKUP($A131,Cuision!$G:$P,9,FALSE),VLOOKUP($A131,Cuision!$G:$P,10,FALSE),VLOOKUP(S$83,Cuision!$G:$P,9,FALSE),VLOOKUP(S$83,Cuision!$G:$P,10,FALSE)))</f>
        <v>-1</v>
      </c>
      <c r="T131" s="33">
        <f>IF($A131=T$83, 0, distance(VLOOKUP($A131,Cuision!$G:$P,9,FALSE),VLOOKUP($A131,Cuision!$G:$P,10,FALSE),VLOOKUP(T$83,Cuision!$G:$P,9,FALSE),VLOOKUP(T$83,Cuision!$G:$P,10,FALSE)))</f>
        <v>440.48224736335879</v>
      </c>
      <c r="U131" s="33">
        <f>IF($A131=U$83, 0, distance(VLOOKUP($A131,Cuision!$G:$P,9,FALSE),VLOOKUP($A131,Cuision!$G:$P,10,FALSE),VLOOKUP(U$83,Cuision!$G:$P,9,FALSE),VLOOKUP(U$83,Cuision!$G:$P,10,FALSE)))</f>
        <v>-1</v>
      </c>
      <c r="V131" s="33">
        <f>IF($A131=V$83, 0, distance(VLOOKUP($A131,Cuision!$G:$P,9,FALSE),VLOOKUP($A131,Cuision!$G:$P,10,FALSE),VLOOKUP(V$83,Cuision!$G:$P,9,FALSE),VLOOKUP(V$83,Cuision!$G:$P,10,FALSE)))</f>
        <v>8506.9826268567722</v>
      </c>
      <c r="W131" s="33">
        <f>IF($A131=W$83, 0, distance(VLOOKUP($A131,Cuision!$G:$P,9,FALSE),VLOOKUP($A131,Cuision!$G:$P,10,FALSE),VLOOKUP(W$83,Cuision!$G:$P,9,FALSE),VLOOKUP(W$83,Cuision!$G:$P,10,FALSE)))</f>
        <v>469.17409358493217</v>
      </c>
      <c r="X131" s="33">
        <f>IF($A131=X$83, 0, distance(VLOOKUP($A131,Cuision!$G:$P,9,FALSE),VLOOKUP($A131,Cuision!$G:$P,10,FALSE),VLOOKUP(X$83,Cuision!$G:$P,9,FALSE),VLOOKUP(X$83,Cuision!$G:$P,10,FALSE)))</f>
        <v>6230.8157181243596</v>
      </c>
      <c r="Y131" s="33">
        <f>IF($A131=Y$83, 0, distance(VLOOKUP($A131,Cuision!$G:$P,9,FALSE),VLOOKUP($A131,Cuision!$G:$P,10,FALSE),VLOOKUP(Y$83,Cuision!$G:$P,9,FALSE),VLOOKUP(Y$83,Cuision!$G:$P,10,FALSE)))</f>
        <v>1725.3156094331791</v>
      </c>
      <c r="Z131" s="33">
        <f>IF($A131=Z$83, 0, distance(VLOOKUP($A131,Cuision!$G:$P,9,FALSE),VLOOKUP($A131,Cuision!$G:$P,10,FALSE),VLOOKUP(Z$83,Cuision!$G:$P,9,FALSE),VLOOKUP(Z$83,Cuision!$G:$P,10,FALSE)))</f>
        <v>-1</v>
      </c>
      <c r="AA131" s="33">
        <f>IF($A131=AA$83, 0, distance(VLOOKUP($A131,Cuision!$G:$P,9,FALSE),VLOOKUP($A131,Cuision!$G:$P,10,FALSE),VLOOKUP(AA$83,Cuision!$G:$P,9,FALSE),VLOOKUP(AA$83,Cuision!$G:$P,10,FALSE)))</f>
        <v>9576.7730460770581</v>
      </c>
      <c r="AB131" s="33">
        <f>IF($A131=AB$83, 0, distance(VLOOKUP($A131,Cuision!$G:$P,9,FALSE),VLOOKUP($A131,Cuision!$G:$P,10,FALSE),VLOOKUP(AB$83,Cuision!$G:$P,9,FALSE),VLOOKUP(AB$83,Cuision!$G:$P,10,FALSE)))</f>
        <v>5193.1636712163499</v>
      </c>
      <c r="AC131" s="33">
        <f>IF($A131=AC$83, 0, distance(VLOOKUP($A131,Cuision!$G:$P,9,FALSE),VLOOKUP($A131,Cuision!$G:$P,10,FALSE),VLOOKUP(AC$83,Cuision!$G:$P,9,FALSE),VLOOKUP(AC$83,Cuision!$G:$P,10,FALSE)))</f>
        <v>4315.1792953869435</v>
      </c>
      <c r="AD131" s="33">
        <f>IF($A131=AD$83, 0, distance(VLOOKUP($A131,Cuision!$G:$P,9,FALSE),VLOOKUP($A131,Cuision!$G:$P,10,FALSE),VLOOKUP(AD$83,Cuision!$G:$P,9,FALSE),VLOOKUP(AD$83,Cuision!$G:$P,10,FALSE)))</f>
        <v>1240.338517978219</v>
      </c>
      <c r="AE131" s="33">
        <f>IF($A131=AE$83, 0, distance(VLOOKUP($A131,Cuision!$G:$P,9,FALSE),VLOOKUP($A131,Cuision!$G:$P,10,FALSE),VLOOKUP(AE$83,Cuision!$G:$P,9,FALSE),VLOOKUP(AE$83,Cuision!$G:$P,10,FALSE)))</f>
        <v>5131.3298516551695</v>
      </c>
      <c r="AF131" s="33">
        <f>IF($A131=AF$83, 0, distance(VLOOKUP($A131,Cuision!$G:$P,9,FALSE),VLOOKUP($A131,Cuision!$G:$P,10,FALSE),VLOOKUP(AF$83,Cuision!$G:$P,9,FALSE),VLOOKUP(AF$83,Cuision!$G:$P,10,FALSE)))</f>
        <v>5738.2126881556214</v>
      </c>
      <c r="AG131" s="33">
        <f>IF($A131=AG$83, 0, distance(VLOOKUP($A131,Cuision!$G:$P,9,FALSE),VLOOKUP($A131,Cuision!$G:$P,10,FALSE),VLOOKUP(AG$83,Cuision!$G:$P,9,FALSE),VLOOKUP(AG$83,Cuision!$G:$P,10,FALSE)))</f>
        <v>5205.5276509559999</v>
      </c>
      <c r="AH131" s="33">
        <f>IF($A131=AH$83, 0, distance(VLOOKUP($A131,Cuision!$G:$P,9,FALSE),VLOOKUP($A131,Cuision!$G:$P,10,FALSE),VLOOKUP(AH$83,Cuision!$G:$P,9,FALSE),VLOOKUP(AH$83,Cuision!$G:$P,10,FALSE)))</f>
        <v>-1</v>
      </c>
      <c r="AI131" s="33">
        <f>IF($A131=AI$83, 0, distance(VLOOKUP($A131,Cuision!$G:$P,9,FALSE),VLOOKUP($A131,Cuision!$G:$P,10,FALSE),VLOOKUP(AI$83,Cuision!$G:$P,9,FALSE),VLOOKUP(AI$83,Cuision!$G:$P,10,FALSE)))</f>
        <v>4868.0881472604515</v>
      </c>
      <c r="AJ131" s="33">
        <f>IF($A131=AJ$83, 0, distance(VLOOKUP($A131,Cuision!$G:$P,9,FALSE),VLOOKUP($A131,Cuision!$G:$P,10,FALSE),VLOOKUP(AJ$83,Cuision!$G:$P,9,FALSE),VLOOKUP(AJ$83,Cuision!$G:$P,10,FALSE)))</f>
        <v>3840.6105326694137</v>
      </c>
      <c r="AK131" s="33">
        <f>IF($A131=AK$83, 0, distance(VLOOKUP($A131,Cuision!$G:$P,9,FALSE),VLOOKUP($A131,Cuision!$G:$P,10,FALSE),VLOOKUP(AK$83,Cuision!$G:$P,9,FALSE),VLOOKUP(AK$83,Cuision!$G:$P,10,FALSE)))</f>
        <v>6527.8763187516315</v>
      </c>
      <c r="AL131" s="33">
        <f>IF($A131=AL$83, 0, distance(VLOOKUP($A131,Cuision!$G:$P,9,FALSE),VLOOKUP($A131,Cuision!$G:$P,10,FALSE),VLOOKUP(AL$83,Cuision!$G:$P,9,FALSE),VLOOKUP(AL$83,Cuision!$G:$P,10,FALSE)))</f>
        <v>1287.1386996960459</v>
      </c>
      <c r="AM131" s="33">
        <f>IF($A131=AM$83, 0, distance(VLOOKUP($A131,Cuision!$G:$P,9,FALSE),VLOOKUP($A131,Cuision!$G:$P,10,FALSE),VLOOKUP(AM$83,Cuision!$G:$P,9,FALSE),VLOOKUP(AM$83,Cuision!$G:$P,10,FALSE)))</f>
        <v>-1</v>
      </c>
      <c r="AN131" s="33">
        <f>IF($A131=AN$83, 0, distance(VLOOKUP($A131,Cuision!$G:$P,9,FALSE),VLOOKUP($A131,Cuision!$G:$P,10,FALSE),VLOOKUP(AN$83,Cuision!$G:$P,9,FALSE),VLOOKUP(AN$83,Cuision!$G:$P,10,FALSE)))</f>
        <v>5013.8480951704159</v>
      </c>
      <c r="AO131" s="33">
        <f>IF($A131=AO$83, 0, distance(VLOOKUP($A131,Cuision!$G:$P,9,FALSE),VLOOKUP($A131,Cuision!$G:$P,10,FALSE),VLOOKUP(AO$83,Cuision!$G:$P,9,FALSE),VLOOKUP(AO$83,Cuision!$G:$P,10,FALSE)))</f>
        <v>6230.8157181243596</v>
      </c>
      <c r="AP131" s="33">
        <f>IF($A131=AP$83, 0, distance(VLOOKUP($A131,Cuision!$G:$P,9,FALSE),VLOOKUP($A131,Cuision!$G:$P,10,FALSE),VLOOKUP(AP$83,Cuision!$G:$P,9,FALSE),VLOOKUP(AP$83,Cuision!$G:$P,10,FALSE)))</f>
        <v>1765.9242496543795</v>
      </c>
      <c r="AQ131" s="33">
        <f>IF($A131=AQ$83, 0, distance(VLOOKUP($A131,Cuision!$G:$P,9,FALSE),VLOOKUP($A131,Cuision!$G:$P,10,FALSE),VLOOKUP(AQ$83,Cuision!$G:$P,9,FALSE),VLOOKUP(AQ$83,Cuision!$G:$P,10,FALSE)))</f>
        <v>1695.5516464679272</v>
      </c>
      <c r="AR131" s="33">
        <f>IF($A131=AR$83, 0, distance(VLOOKUP($A131,Cuision!$G:$P,9,FALSE),VLOOKUP($A131,Cuision!$G:$P,10,FALSE),VLOOKUP(AR$83,Cuision!$G:$P,9,FALSE),VLOOKUP(AR$83,Cuision!$G:$P,10,FALSE)))</f>
        <v>5777.680954062439</v>
      </c>
      <c r="AS131" s="33">
        <f>IF($A131=AS$83, 0, distance(VLOOKUP($A131,Cuision!$G:$P,9,FALSE),VLOOKUP($A131,Cuision!$G:$P,10,FALSE),VLOOKUP(AS$83,Cuision!$G:$P,9,FALSE),VLOOKUP(AS$83,Cuision!$G:$P,10,FALSE)))</f>
        <v>5402.7578607060022</v>
      </c>
      <c r="AT131" s="33">
        <f>IF($A131=AT$83, 0, distance(VLOOKUP($A131,Cuision!$G:$P,9,FALSE),VLOOKUP($A131,Cuision!$G:$P,10,FALSE),VLOOKUP(AT$83,Cuision!$G:$P,9,FALSE),VLOOKUP(AT$83,Cuision!$G:$P,10,FALSE)))</f>
        <v>2571.9346986045275</v>
      </c>
      <c r="AU131" s="33">
        <f>IF($A131=AU$83, 0, distance(VLOOKUP($A131,Cuision!$G:$P,9,FALSE),VLOOKUP($A131,Cuision!$G:$P,10,FALSE),VLOOKUP(AU$83,Cuision!$G:$P,9,FALSE),VLOOKUP(AU$83,Cuision!$G:$P,10,FALSE)))</f>
        <v>2001.9200033400234</v>
      </c>
      <c r="AV131" s="33">
        <f>IF($A131=AV$83, 0, distance(VLOOKUP($A131,Cuision!$G:$P,9,FALSE),VLOOKUP($A131,Cuision!$G:$P,10,FALSE),VLOOKUP(AV$83,Cuision!$G:$P,9,FALSE),VLOOKUP(AV$83,Cuision!$G:$P,10,FALSE)))</f>
        <v>4444.8721558693078</v>
      </c>
      <c r="AW131" s="33">
        <f>IF($A131=AW$83, 0, distance(VLOOKUP($A131,Cuision!$G:$P,9,FALSE),VLOOKUP($A131,Cuision!$G:$P,10,FALSE),VLOOKUP(AW$83,Cuision!$G:$P,9,FALSE),VLOOKUP(AW$83,Cuision!$G:$P,10,FALSE)))</f>
        <v>0</v>
      </c>
      <c r="AX131" s="33">
        <f>IF($A131=AX$83, 0, distance(VLOOKUP($A131,Cuision!$G:$P,9,FALSE),VLOOKUP($A131,Cuision!$G:$P,10,FALSE),VLOOKUP(AX$83,Cuision!$G:$P,9,FALSE),VLOOKUP(AX$83,Cuision!$G:$P,10,FALSE)))</f>
        <v>11003.122403566469</v>
      </c>
      <c r="AY131" s="33">
        <f>IF($A131=AY$83, 0, distance(VLOOKUP($A131,Cuision!$G:$P,9,FALSE),VLOOKUP($A131,Cuision!$G:$P,10,FALSE),VLOOKUP(AY$83,Cuision!$G:$P,9,FALSE),VLOOKUP(AY$83,Cuision!$G:$P,10,FALSE)))</f>
        <v>-1</v>
      </c>
      <c r="AZ131" s="33">
        <f>IF($A131=AZ$83, 0, distance(VLOOKUP($A131,Cuision!$G:$P,9,FALSE),VLOOKUP($A131,Cuision!$G:$P,10,FALSE),VLOOKUP(AZ$83,Cuision!$G:$P,9,FALSE),VLOOKUP(AZ$83,Cuision!$G:$P,10,FALSE)))</f>
        <v>1026.4557668238194</v>
      </c>
      <c r="BA131" s="33">
        <f>IF($A131=BA$83, 0, distance(VLOOKUP($A131,Cuision!$G:$P,9,FALSE),VLOOKUP($A131,Cuision!$G:$P,10,FALSE),VLOOKUP(BA$83,Cuision!$G:$P,9,FALSE),VLOOKUP(BA$83,Cuision!$G:$P,10,FALSE)))</f>
        <v>5220.4527860704429</v>
      </c>
      <c r="BB131" s="33">
        <f>IF($A131=BB$83, 0, distance(VLOOKUP($A131,Cuision!$G:$P,9,FALSE),VLOOKUP($A131,Cuision!$G:$P,10,FALSE),VLOOKUP(BB$83,Cuision!$G:$P,9,FALSE),VLOOKUP(BB$83,Cuision!$G:$P,10,FALSE)))</f>
        <v>9461.3611723575832</v>
      </c>
      <c r="BC131" s="33">
        <f>IF($A131=BC$83, 0, distance(VLOOKUP($A131,Cuision!$G:$P,9,FALSE),VLOOKUP($A131,Cuision!$G:$P,10,FALSE),VLOOKUP(BC$83,Cuision!$G:$P,9,FALSE),VLOOKUP(BC$83,Cuision!$G:$P,10,FALSE)))</f>
        <v>3840.6105326694137</v>
      </c>
      <c r="BD131" s="33">
        <f>IF($A131=BD$83, 0, distance(VLOOKUP($A131,Cuision!$G:$P,9,FALSE),VLOOKUP($A131,Cuision!$G:$P,10,FALSE),VLOOKUP(BD$83,Cuision!$G:$P,9,FALSE),VLOOKUP(BD$83,Cuision!$G:$P,10,FALSE)))</f>
        <v>2082.6143694575244</v>
      </c>
      <c r="BE131" s="33">
        <f>IF($A131=BE$83, 0, distance(VLOOKUP($A131,Cuision!$G:$P,9,FALSE),VLOOKUP($A131,Cuision!$G:$P,10,FALSE),VLOOKUP(BE$83,Cuision!$G:$P,9,FALSE),VLOOKUP(BE$83,Cuision!$G:$P,10,FALSE)))</f>
        <v>6573.792746673892</v>
      </c>
      <c r="BF131" s="33">
        <f>IF($A131=BF$83, 0, distance(VLOOKUP($A131,Cuision!$G:$P,9,FALSE),VLOOKUP($A131,Cuision!$G:$P,10,FALSE),VLOOKUP(BF$83,Cuision!$G:$P,9,FALSE),VLOOKUP(BF$83,Cuision!$G:$P,10,FALSE)))</f>
        <v>2123.9928830894314</v>
      </c>
      <c r="BG131" s="33">
        <f>IF($A131=BG$83, 0, distance(VLOOKUP($A131,Cuision!$G:$P,9,FALSE),VLOOKUP($A131,Cuision!$G:$P,10,FALSE),VLOOKUP(BG$83,Cuision!$G:$P,9,FALSE),VLOOKUP(BG$83,Cuision!$G:$P,10,FALSE)))</f>
        <v>3342.0169769782497</v>
      </c>
      <c r="BH131" s="33">
        <f>IF($A131=BH$83, 0, distance(VLOOKUP($A131,Cuision!$G:$P,9,FALSE),VLOOKUP($A131,Cuision!$G:$P,10,FALSE),VLOOKUP(BH$83,Cuision!$G:$P,9,FALSE),VLOOKUP(BH$83,Cuision!$G:$P,10,FALSE)))</f>
        <v>12025.753732276624</v>
      </c>
      <c r="BI131" s="33">
        <f>IF($A131=BI$83, 0, distance(VLOOKUP($A131,Cuision!$G:$P,9,FALSE),VLOOKUP($A131,Cuision!$G:$P,10,FALSE),VLOOKUP(BI$83,Cuision!$G:$P,9,FALSE),VLOOKUP(BI$83,Cuision!$G:$P,10,FALSE)))</f>
        <v>4890.6461668090669</v>
      </c>
      <c r="BJ131" s="33">
        <f>IF($A131=BJ$83, 0, distance(VLOOKUP($A131,Cuision!$G:$P,9,FALSE),VLOOKUP($A131,Cuision!$G:$P,10,FALSE),VLOOKUP(BJ$83,Cuision!$G:$P,9,FALSE),VLOOKUP(BJ$83,Cuision!$G:$P,10,FALSE)))</f>
        <v>6542.2173619937312</v>
      </c>
      <c r="BK131" s="33">
        <f>IF($A131=BK$83, 0, distance(VLOOKUP($A131,Cuision!$G:$P,9,FALSE),VLOOKUP($A131,Cuision!$G:$P,10,FALSE),VLOOKUP(BK$83,Cuision!$G:$P,9,FALSE),VLOOKUP(BK$83,Cuision!$G:$P,10,FALSE)))</f>
        <v>4229.7393614538587</v>
      </c>
      <c r="BL131" s="33">
        <f>IF($A131=BL$83, 0, distance(VLOOKUP($A131,Cuision!$G:$P,9,FALSE),VLOOKUP($A131,Cuision!$G:$P,10,FALSE),VLOOKUP(BL$83,Cuision!$G:$P,9,FALSE),VLOOKUP(BL$83,Cuision!$G:$P,10,FALSE)))</f>
        <v>-1</v>
      </c>
      <c r="BM131" s="33">
        <f>IF($A131=BM$83, 0, distance(VLOOKUP($A131,Cuision!$G:$P,9,FALSE),VLOOKUP($A131,Cuision!$G:$P,10,FALSE),VLOOKUP(BM$83,Cuision!$G:$P,9,FALSE),VLOOKUP(BM$83,Cuision!$G:$P,10,FALSE)))</f>
        <v>-1</v>
      </c>
      <c r="BN131" s="33">
        <f>IF($A131=BN$83, 0, distance(VLOOKUP($A131,Cuision!$G:$P,9,FALSE),VLOOKUP($A131,Cuision!$G:$P,10,FALSE),VLOOKUP(BN$83,Cuision!$G:$P,9,FALSE),VLOOKUP(BN$83,Cuision!$G:$P,10,FALSE)))</f>
        <v>5777.680954062439</v>
      </c>
      <c r="BO131" s="33">
        <f>IF($A131=BO$83, 0, distance(VLOOKUP($A131,Cuision!$G:$P,9,FALSE),VLOOKUP($A131,Cuision!$G:$P,10,FALSE),VLOOKUP(BO$83,Cuision!$G:$P,9,FALSE),VLOOKUP(BO$83,Cuision!$G:$P,10,FALSE)))</f>
        <v>1155.5382496239677</v>
      </c>
      <c r="BP131" s="33">
        <f>IF($A131=BP$83, 0, distance(VLOOKUP($A131,Cuision!$G:$P,9,FALSE),VLOOKUP($A131,Cuision!$G:$P,10,FALSE),VLOOKUP(BP$83,Cuision!$G:$P,9,FALSE),VLOOKUP(BP$83,Cuision!$G:$P,10,FALSE)))</f>
        <v>5095.8478169061036</v>
      </c>
      <c r="BQ131" s="33">
        <f>IF($A131=BQ$83, 0, distance(VLOOKUP($A131,Cuision!$G:$P,9,FALSE),VLOOKUP($A131,Cuision!$G:$P,10,FALSE),VLOOKUP(BQ$83,Cuision!$G:$P,9,FALSE),VLOOKUP(BQ$83,Cuision!$G:$P,10,FALSE)))</f>
        <v>-1</v>
      </c>
      <c r="BR131" s="33">
        <f>IF($A131=BR$83, 0, distance(VLOOKUP($A131,Cuision!$G:$P,9,FALSE),VLOOKUP($A131,Cuision!$G:$P,10,FALSE),VLOOKUP(BR$83,Cuision!$G:$P,9,FALSE),VLOOKUP(BR$83,Cuision!$G:$P,10,FALSE)))</f>
        <v>8506.9826268567722</v>
      </c>
      <c r="BS131" s="33">
        <f>IF($A131=BS$83, 0, distance(VLOOKUP($A131,Cuision!$G:$P,9,FALSE),VLOOKUP($A131,Cuision!$G:$P,10,FALSE),VLOOKUP(BS$83,Cuision!$G:$P,9,FALSE),VLOOKUP(BS$83,Cuision!$G:$P,10,FALSE)))</f>
        <v>1725.3156094331791</v>
      </c>
      <c r="BT131" s="33">
        <f>IF($A131=BT$83, 0, distance(VLOOKUP($A131,Cuision!$G:$P,9,FALSE),VLOOKUP($A131,Cuision!$G:$P,10,FALSE),VLOOKUP(BT$83,Cuision!$G:$P,9,FALSE),VLOOKUP(BT$83,Cuision!$G:$P,10,FALSE)))</f>
        <v>6230.8157181243596</v>
      </c>
      <c r="BU131" s="33">
        <f>IF($A131=BU$83, 0, distance(VLOOKUP($A131,Cuision!$G:$P,9,FALSE),VLOOKUP($A131,Cuision!$G:$P,10,FALSE),VLOOKUP(BU$83,Cuision!$G:$P,9,FALSE),VLOOKUP(BU$83,Cuision!$G:$P,10,FALSE)))</f>
        <v>323.22535009992504</v>
      </c>
      <c r="BV131" s="33">
        <f>IF($A131=BV$83, 0, distance(VLOOKUP($A131,Cuision!$G:$P,9,FALSE),VLOOKUP($A131,Cuision!$G:$P,10,FALSE),VLOOKUP(BV$83,Cuision!$G:$P,9,FALSE),VLOOKUP(BV$83,Cuision!$G:$P,10,FALSE)))</f>
        <v>4368.2321572376313</v>
      </c>
      <c r="BW131" s="33">
        <f>IF($A131=BW$83, 0, distance(VLOOKUP($A131,Cuision!$G:$P,9,FALSE),VLOOKUP($A131,Cuision!$G:$P,10,FALSE),VLOOKUP(BW$83,Cuision!$G:$P,9,FALSE),VLOOKUP(BW$83,Cuision!$G:$P,10,FALSE)))</f>
        <v>4483.7053501674382</v>
      </c>
      <c r="BX131" s="33">
        <f>IF($A131=BX$83, 0, distance(VLOOKUP($A131,Cuision!$G:$P,9,FALSE),VLOOKUP($A131,Cuision!$G:$P,10,FALSE),VLOOKUP(BX$83,Cuision!$G:$P,9,FALSE),VLOOKUP(BX$83,Cuision!$G:$P,10,FALSE)))</f>
        <v>2543.6440383105391</v>
      </c>
      <c r="BY131" s="33">
        <f>IF($A131=BY$83, 0, distance(VLOOKUP($A131,Cuision!$G:$P,9,FALSE),VLOOKUP($A131,Cuision!$G:$P,10,FALSE),VLOOKUP(BY$83,Cuision!$G:$P,9,FALSE),VLOOKUP(BY$83,Cuision!$G:$P,10,FALSE)))</f>
        <v>-1</v>
      </c>
      <c r="BZ131" s="33">
        <f>IF($A131=BZ$83, 0, distance(VLOOKUP($A131,Cuision!$G:$P,9,FALSE),VLOOKUP($A131,Cuision!$G:$P,10,FALSE),VLOOKUP(BZ$83,Cuision!$G:$P,9,FALSE),VLOOKUP(BZ$83,Cuision!$G:$P,10,FALSE)))</f>
        <v>-1</v>
      </c>
      <c r="CA131" s="33">
        <f>IF($A131=CA$83, 0, distance(VLOOKUP($A131,Cuision!$G:$P,9,FALSE),VLOOKUP($A131,Cuision!$G:$P,10,FALSE),VLOOKUP(CA$83,Cuision!$G:$P,9,FALSE),VLOOKUP(CA$83,Cuision!$G:$P,10,FALSE)))</f>
        <v>298.19080434782813</v>
      </c>
    </row>
    <row r="132" spans="1:79" ht="14.25" x14ac:dyDescent="0.2">
      <c r="A132" s="30" t="s">
        <v>102</v>
      </c>
      <c r="B132" s="33">
        <f>IF($A132=B$83, 0, distance(VLOOKUP($A132,Cuision!$G:$P,9,FALSE),VLOOKUP($A132,Cuision!$G:$P,10,FALSE),VLOOKUP(B$83,Cuision!$G:$P,9,FALSE),VLOOKUP(B$83,Cuision!$G:$P,10,FALSE)))</f>
        <v>8654.2483375393822</v>
      </c>
      <c r="C132" s="33">
        <f>IF($A132=C$83, 0, distance(VLOOKUP($A132,Cuision!$G:$P,9,FALSE),VLOOKUP($A132,Cuision!$G:$P,10,FALSE),VLOOKUP(C$83,Cuision!$G:$P,9,FALSE),VLOOKUP(C$83,Cuision!$G:$P,10,FALSE)))</f>
        <v>6568.2962057268405</v>
      </c>
      <c r="D132" s="33">
        <f>IF($A132=D$83, 0, distance(VLOOKUP($A132,Cuision!$G:$P,9,FALSE),VLOOKUP($A132,Cuision!$G:$P,10,FALSE),VLOOKUP(D$83,Cuision!$G:$P,9,FALSE),VLOOKUP(D$83,Cuision!$G:$P,10,FALSE)))</f>
        <v>3158.1971248225836</v>
      </c>
      <c r="E132" s="33">
        <f>IF($A132=E$83, 0, distance(VLOOKUP($A132,Cuision!$G:$P,9,FALSE),VLOOKUP($A132,Cuision!$G:$P,10,FALSE),VLOOKUP(E$83,Cuision!$G:$P,9,FALSE),VLOOKUP(E$83,Cuision!$G:$P,10,FALSE)))</f>
        <v>3158.1971248225836</v>
      </c>
      <c r="F132" s="33">
        <f>IF($A132=F$83, 0, distance(VLOOKUP($A132,Cuision!$G:$P,9,FALSE),VLOOKUP($A132,Cuision!$G:$P,10,FALSE),VLOOKUP(F$83,Cuision!$G:$P,9,FALSE),VLOOKUP(F$83,Cuision!$G:$P,10,FALSE)))</f>
        <v>7203.8206176159465</v>
      </c>
      <c r="G132" s="33">
        <f>IF($A132=G$83, 0, distance(VLOOKUP($A132,Cuision!$G:$P,9,FALSE),VLOOKUP($A132,Cuision!$G:$P,10,FALSE),VLOOKUP(G$83,Cuision!$G:$P,9,FALSE),VLOOKUP(G$83,Cuision!$G:$P,10,FALSE)))</f>
        <v>2092.835993014593</v>
      </c>
      <c r="H132" s="33">
        <f>IF($A132=H$83, 0, distance(VLOOKUP($A132,Cuision!$G:$P,9,FALSE),VLOOKUP($A132,Cuision!$G:$P,10,FALSE),VLOOKUP(H$83,Cuision!$G:$P,9,FALSE),VLOOKUP(H$83,Cuision!$G:$P,10,FALSE)))</f>
        <v>7250.4580186094754</v>
      </c>
      <c r="I132" s="33">
        <f>IF($A132=I$83, 0, distance(VLOOKUP($A132,Cuision!$G:$P,9,FALSE),VLOOKUP($A132,Cuision!$G:$P,10,FALSE),VLOOKUP(I$83,Cuision!$G:$P,9,FALSE),VLOOKUP(I$83,Cuision!$G:$P,10,FALSE)))</f>
        <v>10085.281518508336</v>
      </c>
      <c r="J132" s="33">
        <f>IF($A132=J$83, 0, distance(VLOOKUP($A132,Cuision!$G:$P,9,FALSE),VLOOKUP($A132,Cuision!$G:$P,10,FALSE),VLOOKUP(J$83,Cuision!$G:$P,9,FALSE),VLOOKUP(J$83,Cuision!$G:$P,10,FALSE)))</f>
        <v>9054.9218923289282</v>
      </c>
      <c r="K132" s="33">
        <f>IF($A132=K$83, 0, distance(VLOOKUP($A132,Cuision!$G:$P,9,FALSE),VLOOKUP($A132,Cuision!$G:$P,10,FALSE),VLOOKUP(K$83,Cuision!$G:$P,9,FALSE),VLOOKUP(K$83,Cuision!$G:$P,10,FALSE)))</f>
        <v>5885.8769469349827</v>
      </c>
      <c r="L132" s="33">
        <f>IF($A132=L$83, 0, distance(VLOOKUP($A132,Cuision!$G:$P,9,FALSE),VLOOKUP($A132,Cuision!$G:$P,10,FALSE),VLOOKUP(L$83,Cuision!$G:$P,9,FALSE),VLOOKUP(L$83,Cuision!$G:$P,10,FALSE)))</f>
        <v>10130.828821824274</v>
      </c>
      <c r="M132" s="33">
        <f>IF($A132=M$83, 0, distance(VLOOKUP($A132,Cuision!$G:$P,9,FALSE),VLOOKUP($A132,Cuision!$G:$P,10,FALSE),VLOOKUP(M$83,Cuision!$G:$P,9,FALSE),VLOOKUP(M$83,Cuision!$G:$P,10,FALSE)))</f>
        <v>-1</v>
      </c>
      <c r="N132" s="33">
        <f>IF($A132=N$83, 0, distance(VLOOKUP($A132,Cuision!$G:$P,9,FALSE),VLOOKUP($A132,Cuision!$G:$P,10,FALSE),VLOOKUP(N$83,Cuision!$G:$P,9,FALSE),VLOOKUP(N$83,Cuision!$G:$P,10,FALSE)))</f>
        <v>4776.4501453331732</v>
      </c>
      <c r="O132" s="33">
        <f>IF($A132=O$83, 0, distance(VLOOKUP($A132,Cuision!$G:$P,9,FALSE),VLOOKUP($A132,Cuision!$G:$P,10,FALSE),VLOOKUP(O$83,Cuision!$G:$P,9,FALSE),VLOOKUP(O$83,Cuision!$G:$P,10,FALSE)))</f>
        <v>5424.2454677366695</v>
      </c>
      <c r="P132" s="33">
        <f>IF($A132=P$83, 0, distance(VLOOKUP($A132,Cuision!$G:$P,9,FALSE),VLOOKUP($A132,Cuision!$G:$P,10,FALSE),VLOOKUP(P$83,Cuision!$G:$P,9,FALSE),VLOOKUP(P$83,Cuision!$G:$P,10,FALSE)))</f>
        <v>1200.3502837047415</v>
      </c>
      <c r="Q132" s="33">
        <f>IF($A132=Q$83, 0, distance(VLOOKUP($A132,Cuision!$G:$P,9,FALSE),VLOOKUP($A132,Cuision!$G:$P,10,FALSE),VLOOKUP(Q$83,Cuision!$G:$P,9,FALSE),VLOOKUP(Q$83,Cuision!$G:$P,10,FALSE)))</f>
        <v>-1</v>
      </c>
      <c r="R132" s="33">
        <f>IF($A132=R$83, 0, distance(VLOOKUP($A132,Cuision!$G:$P,9,FALSE),VLOOKUP($A132,Cuision!$G:$P,10,FALSE),VLOOKUP(R$83,Cuision!$G:$P,9,FALSE),VLOOKUP(R$83,Cuision!$G:$P,10,FALSE)))</f>
        <v>5265.4454220242496</v>
      </c>
      <c r="S132" s="33">
        <f>IF($A132=S$83, 0, distance(VLOOKUP($A132,Cuision!$G:$P,9,FALSE),VLOOKUP($A132,Cuision!$G:$P,10,FALSE),VLOOKUP(S$83,Cuision!$G:$P,9,FALSE),VLOOKUP(S$83,Cuision!$G:$P,10,FALSE)))</f>
        <v>-1</v>
      </c>
      <c r="T132" s="33">
        <f>IF($A132=T$83, 0, distance(VLOOKUP($A132,Cuision!$G:$P,9,FALSE),VLOOKUP($A132,Cuision!$G:$P,10,FALSE),VLOOKUP(T$83,Cuision!$G:$P,9,FALSE),VLOOKUP(T$83,Cuision!$G:$P,10,FALSE)))</f>
        <v>10586.667316682921</v>
      </c>
      <c r="U132" s="33">
        <f>IF($A132=U$83, 0, distance(VLOOKUP($A132,Cuision!$G:$P,9,FALSE),VLOOKUP($A132,Cuision!$G:$P,10,FALSE),VLOOKUP(U$83,Cuision!$G:$P,9,FALSE),VLOOKUP(U$83,Cuision!$G:$P,10,FALSE)))</f>
        <v>-1</v>
      </c>
      <c r="V132" s="33">
        <f>IF($A132=V$83, 0, distance(VLOOKUP($A132,Cuision!$G:$P,9,FALSE),VLOOKUP($A132,Cuision!$G:$P,10,FALSE),VLOOKUP(V$83,Cuision!$G:$P,9,FALSE),VLOOKUP(V$83,Cuision!$G:$P,10,FALSE)))</f>
        <v>3158.1971248225836</v>
      </c>
      <c r="W132" s="33">
        <f>IF($A132=W$83, 0, distance(VLOOKUP($A132,Cuision!$G:$P,9,FALSE),VLOOKUP($A132,Cuision!$G:$P,10,FALSE),VLOOKUP(W$83,Cuision!$G:$P,9,FALSE),VLOOKUP(W$83,Cuision!$G:$P,10,FALSE)))</f>
        <v>11375.09044347897</v>
      </c>
      <c r="X132" s="33">
        <f>IF($A132=X$83, 0, distance(VLOOKUP($A132,Cuision!$G:$P,9,FALSE),VLOOKUP($A132,Cuision!$G:$P,10,FALSE),VLOOKUP(X$83,Cuision!$G:$P,9,FALSE),VLOOKUP(X$83,Cuision!$G:$P,10,FALSE)))</f>
        <v>4776.4501453331732</v>
      </c>
      <c r="Y132" s="33">
        <f>IF($A132=Y$83, 0, distance(VLOOKUP($A132,Cuision!$G:$P,9,FALSE),VLOOKUP($A132,Cuision!$G:$P,10,FALSE),VLOOKUP(Y$83,Cuision!$G:$P,9,FALSE),VLOOKUP(Y$83,Cuision!$G:$P,10,FALSE)))</f>
        <v>9981.6159904222623</v>
      </c>
      <c r="Z132" s="33">
        <f>IF($A132=Z$83, 0, distance(VLOOKUP($A132,Cuision!$G:$P,9,FALSE),VLOOKUP($A132,Cuision!$G:$P,10,FALSE),VLOOKUP(Z$83,Cuision!$G:$P,9,FALSE),VLOOKUP(Z$83,Cuision!$G:$P,10,FALSE)))</f>
        <v>-1</v>
      </c>
      <c r="AA132" s="33">
        <f>IF($A132=AA$83, 0, distance(VLOOKUP($A132,Cuision!$G:$P,9,FALSE),VLOOKUP($A132,Cuision!$G:$P,10,FALSE),VLOOKUP(AA$83,Cuision!$G:$P,9,FALSE),VLOOKUP(AA$83,Cuision!$G:$P,10,FALSE)))</f>
        <v>2375.8977414267388</v>
      </c>
      <c r="AB132" s="33">
        <f>IF($A132=AB$83, 0, distance(VLOOKUP($A132,Cuision!$G:$P,9,FALSE),VLOOKUP($A132,Cuision!$G:$P,10,FALSE),VLOOKUP(AB$83,Cuision!$G:$P,9,FALSE),VLOOKUP(AB$83,Cuision!$G:$P,10,FALSE)))</f>
        <v>5829.2232304158597</v>
      </c>
      <c r="AC132" s="33">
        <f>IF($A132=AC$83, 0, distance(VLOOKUP($A132,Cuision!$G:$P,9,FALSE),VLOOKUP($A132,Cuision!$G:$P,10,FALSE),VLOOKUP(AC$83,Cuision!$G:$P,9,FALSE),VLOOKUP(AC$83,Cuision!$G:$P,10,FALSE)))</f>
        <v>6952.3770668325487</v>
      </c>
      <c r="AD132" s="33">
        <f>IF($A132=AD$83, 0, distance(VLOOKUP($A132,Cuision!$G:$P,9,FALSE),VLOOKUP($A132,Cuision!$G:$P,10,FALSE),VLOOKUP(AD$83,Cuision!$G:$P,9,FALSE),VLOOKUP(AD$83,Cuision!$G:$P,10,FALSE)))</f>
        <v>11717.048312080922</v>
      </c>
      <c r="AE132" s="33">
        <f>IF($A132=AE$83, 0, distance(VLOOKUP($A132,Cuision!$G:$P,9,FALSE),VLOOKUP($A132,Cuision!$G:$P,10,FALSE),VLOOKUP(AE$83,Cuision!$G:$P,9,FALSE),VLOOKUP(AE$83,Cuision!$G:$P,10,FALSE)))</f>
        <v>5973.0608387831562</v>
      </c>
      <c r="AF132" s="33">
        <f>IF($A132=AF$83, 0, distance(VLOOKUP($A132,Cuision!$G:$P,9,FALSE),VLOOKUP($A132,Cuision!$G:$P,10,FALSE),VLOOKUP(AF$83,Cuision!$G:$P,9,FALSE),VLOOKUP(AF$83,Cuision!$G:$P,10,FALSE)))</f>
        <v>5288.8357556198353</v>
      </c>
      <c r="AG132" s="33">
        <f>IF($A132=AG$83, 0, distance(VLOOKUP($A132,Cuision!$G:$P,9,FALSE),VLOOKUP($A132,Cuision!$G:$P,10,FALSE),VLOOKUP(AG$83,Cuision!$G:$P,9,FALSE),VLOOKUP(AG$83,Cuision!$G:$P,10,FALSE)))</f>
        <v>5828.5749940700889</v>
      </c>
      <c r="AH132" s="33">
        <f>IF($A132=AH$83, 0, distance(VLOOKUP($A132,Cuision!$G:$P,9,FALSE),VLOOKUP($A132,Cuision!$G:$P,10,FALSE),VLOOKUP(AH$83,Cuision!$G:$P,9,FALSE),VLOOKUP(AH$83,Cuision!$G:$P,10,FALSE)))</f>
        <v>-1</v>
      </c>
      <c r="AI132" s="33">
        <f>IF($A132=AI$83, 0, distance(VLOOKUP($A132,Cuision!$G:$P,9,FALSE),VLOOKUP($A132,Cuision!$G:$P,10,FALSE),VLOOKUP(AI$83,Cuision!$G:$P,9,FALSE),VLOOKUP(AI$83,Cuision!$G:$P,10,FALSE)))</f>
        <v>6138.1719113876106</v>
      </c>
      <c r="AJ132" s="33">
        <f>IF($A132=AJ$83, 0, distance(VLOOKUP($A132,Cuision!$G:$P,9,FALSE),VLOOKUP($A132,Cuision!$G:$P,10,FALSE),VLOOKUP(AJ$83,Cuision!$G:$P,9,FALSE),VLOOKUP(AJ$83,Cuision!$G:$P,10,FALSE)))</f>
        <v>7203.8206176159465</v>
      </c>
      <c r="AK132" s="33">
        <f>IF($A132=AK$83, 0, distance(VLOOKUP($A132,Cuision!$G:$P,9,FALSE),VLOOKUP($A132,Cuision!$G:$P,10,FALSE),VLOOKUP(AK$83,Cuision!$G:$P,9,FALSE),VLOOKUP(AK$83,Cuision!$G:$P,10,FALSE)))</f>
        <v>6598.4325766178927</v>
      </c>
      <c r="AL132" s="33">
        <f>IF($A132=AL$83, 0, distance(VLOOKUP($A132,Cuision!$G:$P,9,FALSE),VLOOKUP($A132,Cuision!$G:$P,10,FALSE),VLOOKUP(AL$83,Cuision!$G:$P,9,FALSE),VLOOKUP(AL$83,Cuision!$G:$P,10,FALSE)))</f>
        <v>9717.8885236056885</v>
      </c>
      <c r="AM132" s="33">
        <f>IF($A132=AM$83, 0, distance(VLOOKUP($A132,Cuision!$G:$P,9,FALSE),VLOOKUP($A132,Cuision!$G:$P,10,FALSE),VLOOKUP(AM$83,Cuision!$G:$P,9,FALSE),VLOOKUP(AM$83,Cuision!$G:$P,10,FALSE)))</f>
        <v>-1</v>
      </c>
      <c r="AN132" s="33">
        <f>IF($A132=AN$83, 0, distance(VLOOKUP($A132,Cuision!$G:$P,9,FALSE),VLOOKUP($A132,Cuision!$G:$P,10,FALSE),VLOOKUP(AN$83,Cuision!$G:$P,9,FALSE),VLOOKUP(AN$83,Cuision!$G:$P,10,FALSE)))</f>
        <v>5997.8483671609565</v>
      </c>
      <c r="AO132" s="33">
        <f>IF($A132=AO$83, 0, distance(VLOOKUP($A132,Cuision!$G:$P,9,FALSE),VLOOKUP($A132,Cuision!$G:$P,10,FALSE),VLOOKUP(AO$83,Cuision!$G:$P,9,FALSE),VLOOKUP(AO$83,Cuision!$G:$P,10,FALSE)))</f>
        <v>4776.4501453331732</v>
      </c>
      <c r="AP132" s="33">
        <f>IF($A132=AP$83, 0, distance(VLOOKUP($A132,Cuision!$G:$P,9,FALSE),VLOOKUP($A132,Cuision!$G:$P,10,FALSE),VLOOKUP(AP$83,Cuision!$G:$P,9,FALSE),VLOOKUP(AP$83,Cuision!$G:$P,10,FALSE)))</f>
        <v>9248.6243855740522</v>
      </c>
      <c r="AQ132" s="33">
        <f>IF($A132=AQ$83, 0, distance(VLOOKUP($A132,Cuision!$G:$P,9,FALSE),VLOOKUP($A132,Cuision!$G:$P,10,FALSE),VLOOKUP(AQ$83,Cuision!$G:$P,9,FALSE),VLOOKUP(AQ$83,Cuision!$G:$P,10,FALSE)))</f>
        <v>11337.656039779227</v>
      </c>
      <c r="AR132" s="33">
        <f>IF($A132=AR$83, 0, distance(VLOOKUP($A132,Cuision!$G:$P,9,FALSE),VLOOKUP($A132,Cuision!$G:$P,10,FALSE),VLOOKUP(AR$83,Cuision!$G:$P,9,FALSE),VLOOKUP(AR$83,Cuision!$G:$P,10,FALSE)))</f>
        <v>5265.4454220242496</v>
      </c>
      <c r="AS132" s="33">
        <f>IF($A132=AS$83, 0, distance(VLOOKUP($A132,Cuision!$G:$P,9,FALSE),VLOOKUP($A132,Cuision!$G:$P,10,FALSE),VLOOKUP(AS$83,Cuision!$G:$P,9,FALSE),VLOOKUP(AS$83,Cuision!$G:$P,10,FALSE)))</f>
        <v>5600.9736043074599</v>
      </c>
      <c r="AT132" s="33">
        <f>IF($A132=AT$83, 0, distance(VLOOKUP($A132,Cuision!$G:$P,9,FALSE),VLOOKUP($A132,Cuision!$G:$P,10,FALSE),VLOOKUP(AT$83,Cuision!$G:$P,9,FALSE),VLOOKUP(AT$83,Cuision!$G:$P,10,FALSE)))</f>
        <v>9895.8734874403617</v>
      </c>
      <c r="AU132" s="33">
        <f>IF($A132=AU$83, 0, distance(VLOOKUP($A132,Cuision!$G:$P,9,FALSE),VLOOKUP($A132,Cuision!$G:$P,10,FALSE),VLOOKUP(AU$83,Cuision!$G:$P,9,FALSE),VLOOKUP(AU$83,Cuision!$G:$P,10,FALSE)))</f>
        <v>10088.016975651164</v>
      </c>
      <c r="AV132" s="33">
        <f>IF($A132=AV$83, 0, distance(VLOOKUP($A132,Cuision!$G:$P,9,FALSE),VLOOKUP($A132,Cuision!$G:$P,10,FALSE),VLOOKUP(AV$83,Cuision!$G:$P,9,FALSE),VLOOKUP(AV$83,Cuision!$G:$P,10,FALSE)))</f>
        <v>6569.5862116153003</v>
      </c>
      <c r="AW132" s="33">
        <f>IF($A132=AW$83, 0, distance(VLOOKUP($A132,Cuision!$G:$P,9,FALSE),VLOOKUP($A132,Cuision!$G:$P,10,FALSE),VLOOKUP(AW$83,Cuision!$G:$P,9,FALSE),VLOOKUP(AW$83,Cuision!$G:$P,10,FALSE)))</f>
        <v>11003.122403566469</v>
      </c>
      <c r="AX132" s="33">
        <f>IF($A132=AX$83, 0, distance(VLOOKUP($A132,Cuision!$G:$P,9,FALSE),VLOOKUP($A132,Cuision!$G:$P,10,FALSE),VLOOKUP(AX$83,Cuision!$G:$P,9,FALSE),VLOOKUP(AX$83,Cuision!$G:$P,10,FALSE)))</f>
        <v>0</v>
      </c>
      <c r="AY132" s="33">
        <f>IF($A132=AY$83, 0, distance(VLOOKUP($A132,Cuision!$G:$P,9,FALSE),VLOOKUP($A132,Cuision!$G:$P,10,FALSE),VLOOKUP(AY$83,Cuision!$G:$P,9,FALSE),VLOOKUP(AY$83,Cuision!$G:$P,10,FALSE)))</f>
        <v>-1</v>
      </c>
      <c r="AZ132" s="33">
        <f>IF($A132=AZ$83, 0, distance(VLOOKUP($A132,Cuision!$G:$P,9,FALSE),VLOOKUP($A132,Cuision!$G:$P,10,FALSE),VLOOKUP(AZ$83,Cuision!$G:$P,9,FALSE),VLOOKUP(AZ$83,Cuision!$G:$P,10,FALSE)))</f>
        <v>11261.995433842638</v>
      </c>
      <c r="BA132" s="33">
        <f>IF($A132=BA$83, 0, distance(VLOOKUP($A132,Cuision!$G:$P,9,FALSE),VLOOKUP($A132,Cuision!$G:$P,10,FALSE),VLOOKUP(BA$83,Cuision!$G:$P,9,FALSE),VLOOKUP(BA$83,Cuision!$G:$P,10,FALSE)))</f>
        <v>5791.8346990046157</v>
      </c>
      <c r="BB132" s="33">
        <f>IF($A132=BB$83, 0, distance(VLOOKUP($A132,Cuision!$G:$P,9,FALSE),VLOOKUP($A132,Cuision!$G:$P,10,FALSE),VLOOKUP(BB$83,Cuision!$G:$P,9,FALSE),VLOOKUP(BB$83,Cuision!$G:$P,10,FALSE)))</f>
        <v>3052.5869609951142</v>
      </c>
      <c r="BC132" s="33">
        <f>IF($A132=BC$83, 0, distance(VLOOKUP($A132,Cuision!$G:$P,9,FALSE),VLOOKUP($A132,Cuision!$G:$P,10,FALSE),VLOOKUP(BC$83,Cuision!$G:$P,9,FALSE),VLOOKUP(BC$83,Cuision!$G:$P,10,FALSE)))</f>
        <v>7203.8206176159465</v>
      </c>
      <c r="BD132" s="33">
        <f>IF($A132=BD$83, 0, distance(VLOOKUP($A132,Cuision!$G:$P,9,FALSE),VLOOKUP($A132,Cuision!$G:$P,10,FALSE),VLOOKUP(BD$83,Cuision!$G:$P,9,FALSE),VLOOKUP(BD$83,Cuision!$G:$P,10,FALSE)))</f>
        <v>9352.6830211074484</v>
      </c>
      <c r="BE132" s="33">
        <f>IF($A132=BE$83, 0, distance(VLOOKUP($A132,Cuision!$G:$P,9,FALSE),VLOOKUP($A132,Cuision!$G:$P,10,FALSE),VLOOKUP(BE$83,Cuision!$G:$P,9,FALSE),VLOOKUP(BE$83,Cuision!$G:$P,10,FALSE)))</f>
        <v>4429.3902059897155</v>
      </c>
      <c r="BF132" s="33">
        <f>IF($A132=BF$83, 0, distance(VLOOKUP($A132,Cuision!$G:$P,9,FALSE),VLOOKUP($A132,Cuision!$G:$P,10,FALSE),VLOOKUP(BF$83,Cuision!$G:$P,9,FALSE),VLOOKUP(BF$83,Cuision!$G:$P,10,FALSE)))</f>
        <v>8879.7961472442494</v>
      </c>
      <c r="BG132" s="33">
        <f>IF($A132=BG$83, 0, distance(VLOOKUP($A132,Cuision!$G:$P,9,FALSE),VLOOKUP($A132,Cuision!$G:$P,10,FALSE),VLOOKUP(BG$83,Cuision!$G:$P,9,FALSE),VLOOKUP(BG$83,Cuision!$G:$P,10,FALSE)))</f>
        <v>7668.6219543394636</v>
      </c>
      <c r="BH132" s="33">
        <f>IF($A132=BH$83, 0, distance(VLOOKUP($A132,Cuision!$G:$P,9,FALSE),VLOOKUP($A132,Cuision!$G:$P,10,FALSE),VLOOKUP(BH$83,Cuision!$G:$P,9,FALSE),VLOOKUP(BH$83,Cuision!$G:$P,10,FALSE)))</f>
        <v>1194.3647619567323</v>
      </c>
      <c r="BI132" s="33">
        <f>IF($A132=BI$83, 0, distance(VLOOKUP($A132,Cuision!$G:$P,9,FALSE),VLOOKUP($A132,Cuision!$G:$P,10,FALSE),VLOOKUP(BI$83,Cuision!$G:$P,9,FALSE),VLOOKUP(BI$83,Cuision!$G:$P,10,FALSE)))</f>
        <v>6138.1035150702673</v>
      </c>
      <c r="BJ132" s="33">
        <f>IF($A132=BJ$83, 0, distance(VLOOKUP($A132,Cuision!$G:$P,9,FALSE),VLOOKUP($A132,Cuision!$G:$P,10,FALSE),VLOOKUP(BJ$83,Cuision!$G:$P,9,FALSE),VLOOKUP(BJ$83,Cuision!$G:$P,10,FALSE)))</f>
        <v>4465.784946937496</v>
      </c>
      <c r="BK132" s="33">
        <f>IF($A132=BK$83, 0, distance(VLOOKUP($A132,Cuision!$G:$P,9,FALSE),VLOOKUP($A132,Cuision!$G:$P,10,FALSE),VLOOKUP(BK$83,Cuision!$G:$P,9,FALSE),VLOOKUP(BK$83,Cuision!$G:$P,10,FALSE)))</f>
        <v>6819.2732245562775</v>
      </c>
      <c r="BL132" s="33">
        <f>IF($A132=BL$83, 0, distance(VLOOKUP($A132,Cuision!$G:$P,9,FALSE),VLOOKUP($A132,Cuision!$G:$P,10,FALSE),VLOOKUP(BL$83,Cuision!$G:$P,9,FALSE),VLOOKUP(BL$83,Cuision!$G:$P,10,FALSE)))</f>
        <v>-1</v>
      </c>
      <c r="BM132" s="33">
        <f>IF($A132=BM$83, 0, distance(VLOOKUP($A132,Cuision!$G:$P,9,FALSE),VLOOKUP($A132,Cuision!$G:$P,10,FALSE),VLOOKUP(BM$83,Cuision!$G:$P,9,FALSE),VLOOKUP(BM$83,Cuision!$G:$P,10,FALSE)))</f>
        <v>-1</v>
      </c>
      <c r="BN132" s="33">
        <f>IF($A132=BN$83, 0, distance(VLOOKUP($A132,Cuision!$G:$P,9,FALSE),VLOOKUP($A132,Cuision!$G:$P,10,FALSE),VLOOKUP(BN$83,Cuision!$G:$P,9,FALSE),VLOOKUP(BN$83,Cuision!$G:$P,10,FALSE)))</f>
        <v>5265.4454220242496</v>
      </c>
      <c r="BO132" s="33">
        <f>IF($A132=BO$83, 0, distance(VLOOKUP($A132,Cuision!$G:$P,9,FALSE),VLOOKUP($A132,Cuision!$G:$P,10,FALSE),VLOOKUP(BO$83,Cuision!$G:$P,9,FALSE),VLOOKUP(BO$83,Cuision!$G:$P,10,FALSE)))</f>
        <v>11390.557972793817</v>
      </c>
      <c r="BP132" s="33">
        <f>IF($A132=BP$83, 0, distance(VLOOKUP($A132,Cuision!$G:$P,9,FALSE),VLOOKUP($A132,Cuision!$G:$P,10,FALSE),VLOOKUP(BP$83,Cuision!$G:$P,9,FALSE),VLOOKUP(BP$83,Cuision!$G:$P,10,FALSE)))</f>
        <v>5918.3832985217823</v>
      </c>
      <c r="BQ132" s="33">
        <f>IF($A132=BQ$83, 0, distance(VLOOKUP($A132,Cuision!$G:$P,9,FALSE),VLOOKUP($A132,Cuision!$G:$P,10,FALSE),VLOOKUP(BQ$83,Cuision!$G:$P,9,FALSE),VLOOKUP(BQ$83,Cuision!$G:$P,10,FALSE)))</f>
        <v>-1</v>
      </c>
      <c r="BR132" s="33">
        <f>IF($A132=BR$83, 0, distance(VLOOKUP($A132,Cuision!$G:$P,9,FALSE),VLOOKUP($A132,Cuision!$G:$P,10,FALSE),VLOOKUP(BR$83,Cuision!$G:$P,9,FALSE),VLOOKUP(BR$83,Cuision!$G:$P,10,FALSE)))</f>
        <v>3158.1971248225836</v>
      </c>
      <c r="BS132" s="33">
        <f>IF($A132=BS$83, 0, distance(VLOOKUP($A132,Cuision!$G:$P,9,FALSE),VLOOKUP($A132,Cuision!$G:$P,10,FALSE),VLOOKUP(BS$83,Cuision!$G:$P,9,FALSE),VLOOKUP(BS$83,Cuision!$G:$P,10,FALSE)))</f>
        <v>9981.6159904222623</v>
      </c>
      <c r="BT132" s="33">
        <f>IF($A132=BT$83, 0, distance(VLOOKUP($A132,Cuision!$G:$P,9,FALSE),VLOOKUP($A132,Cuision!$G:$P,10,FALSE),VLOOKUP(BT$83,Cuision!$G:$P,9,FALSE),VLOOKUP(BT$83,Cuision!$G:$P,10,FALSE)))</f>
        <v>4776.4501453331732</v>
      </c>
      <c r="BU132" s="33">
        <f>IF($A132=BU$83, 0, distance(VLOOKUP($A132,Cuision!$G:$P,9,FALSE),VLOOKUP($A132,Cuision!$G:$P,10,FALSE),VLOOKUP(BU$83,Cuision!$G:$P,9,FALSE),VLOOKUP(BU$83,Cuision!$G:$P,10,FALSE)))</f>
        <v>11040.967349872066</v>
      </c>
      <c r="BV132" s="33">
        <f>IF($A132=BV$83, 0, distance(VLOOKUP($A132,Cuision!$G:$P,9,FALSE),VLOOKUP($A132,Cuision!$G:$P,10,FALSE),VLOOKUP(BV$83,Cuision!$G:$P,9,FALSE),VLOOKUP(BV$83,Cuision!$G:$P,10,FALSE)))</f>
        <v>6636.0851640156552</v>
      </c>
      <c r="BW132" s="33">
        <f>IF($A132=BW$83, 0, distance(VLOOKUP($A132,Cuision!$G:$P,9,FALSE),VLOOKUP($A132,Cuision!$G:$P,10,FALSE),VLOOKUP(BW$83,Cuision!$G:$P,9,FALSE),VLOOKUP(BW$83,Cuision!$G:$P,10,FALSE)))</f>
        <v>6535.8363690413744</v>
      </c>
      <c r="BX132" s="33">
        <f>IF($A132=BX$83, 0, distance(VLOOKUP($A132,Cuision!$G:$P,9,FALSE),VLOOKUP($A132,Cuision!$G:$P,10,FALSE),VLOOKUP(BX$83,Cuision!$G:$P,9,FALSE),VLOOKUP(BX$83,Cuision!$G:$P,10,FALSE)))</f>
        <v>8468.1396059027575</v>
      </c>
      <c r="BY132" s="33">
        <f>IF($A132=BY$83, 0, distance(VLOOKUP($A132,Cuision!$G:$P,9,FALSE),VLOOKUP($A132,Cuision!$G:$P,10,FALSE),VLOOKUP(BY$83,Cuision!$G:$P,9,FALSE),VLOOKUP(BY$83,Cuision!$G:$P,10,FALSE)))</f>
        <v>-1</v>
      </c>
      <c r="BZ132" s="33">
        <f>IF($A132=BZ$83, 0, distance(VLOOKUP($A132,Cuision!$G:$P,9,FALSE),VLOOKUP($A132,Cuision!$G:$P,10,FALSE),VLOOKUP(BZ$83,Cuision!$G:$P,9,FALSE),VLOOKUP(BZ$83,Cuision!$G:$P,10,FALSE)))</f>
        <v>-1</v>
      </c>
      <c r="CA132" s="33">
        <f>IF($A132=CA$83, 0, distance(VLOOKUP($A132,Cuision!$G:$P,9,FALSE),VLOOKUP($A132,Cuision!$G:$P,10,FALSE),VLOOKUP(CA$83,Cuision!$G:$P,9,FALSE),VLOOKUP(CA$83,Cuision!$G:$P,10,FALSE)))</f>
        <v>11003.146424960711</v>
      </c>
    </row>
    <row r="133" spans="1:79" ht="14.25" x14ac:dyDescent="0.2">
      <c r="A133" s="30" t="s">
        <v>103</v>
      </c>
      <c r="B133" s="33">
        <f>IF($A133=B$83, 0, distance(VLOOKUP($A133,Cuision!$G:$P,9,FALSE),VLOOKUP($A133,Cuision!$G:$P,10,FALSE),VLOOKUP(B$83,Cuision!$G:$P,9,FALSE),VLOOKUP(B$83,Cuision!$G:$P,10,FALSE)))</f>
        <v>-1</v>
      </c>
      <c r="C133" s="33">
        <f>IF($A133=C$83, 0, distance(VLOOKUP($A133,Cuision!$G:$P,9,FALSE),VLOOKUP($A133,Cuision!$G:$P,10,FALSE),VLOOKUP(C$83,Cuision!$G:$P,9,FALSE),VLOOKUP(C$83,Cuision!$G:$P,10,FALSE)))</f>
        <v>-1</v>
      </c>
      <c r="D133" s="33">
        <f>IF($A133=D$83, 0, distance(VLOOKUP($A133,Cuision!$G:$P,9,FALSE),VLOOKUP($A133,Cuision!$G:$P,10,FALSE),VLOOKUP(D$83,Cuision!$G:$P,9,FALSE),VLOOKUP(D$83,Cuision!$G:$P,10,FALSE)))</f>
        <v>-1</v>
      </c>
      <c r="E133" s="33">
        <f>IF($A133=E$83, 0, distance(VLOOKUP($A133,Cuision!$G:$P,9,FALSE),VLOOKUP($A133,Cuision!$G:$P,10,FALSE),VLOOKUP(E$83,Cuision!$G:$P,9,FALSE),VLOOKUP(E$83,Cuision!$G:$P,10,FALSE)))</f>
        <v>-1</v>
      </c>
      <c r="F133" s="33">
        <f>IF($A133=F$83, 0, distance(VLOOKUP($A133,Cuision!$G:$P,9,FALSE),VLOOKUP($A133,Cuision!$G:$P,10,FALSE),VLOOKUP(F$83,Cuision!$G:$P,9,FALSE),VLOOKUP(F$83,Cuision!$G:$P,10,FALSE)))</f>
        <v>-1</v>
      </c>
      <c r="G133" s="33">
        <f>IF($A133=G$83, 0, distance(VLOOKUP($A133,Cuision!$G:$P,9,FALSE),VLOOKUP($A133,Cuision!$G:$P,10,FALSE),VLOOKUP(G$83,Cuision!$G:$P,9,FALSE),VLOOKUP(G$83,Cuision!$G:$P,10,FALSE)))</f>
        <v>-1</v>
      </c>
      <c r="H133" s="33">
        <f>IF($A133=H$83, 0, distance(VLOOKUP($A133,Cuision!$G:$P,9,FALSE),VLOOKUP($A133,Cuision!$G:$P,10,FALSE),VLOOKUP(H$83,Cuision!$G:$P,9,FALSE),VLOOKUP(H$83,Cuision!$G:$P,10,FALSE)))</f>
        <v>-1</v>
      </c>
      <c r="I133" s="33">
        <f>IF($A133=I$83, 0, distance(VLOOKUP($A133,Cuision!$G:$P,9,FALSE),VLOOKUP($A133,Cuision!$G:$P,10,FALSE),VLOOKUP(I$83,Cuision!$G:$P,9,FALSE),VLOOKUP(I$83,Cuision!$G:$P,10,FALSE)))</f>
        <v>-1</v>
      </c>
      <c r="J133" s="33">
        <f>IF($A133=J$83, 0, distance(VLOOKUP($A133,Cuision!$G:$P,9,FALSE),VLOOKUP($A133,Cuision!$G:$P,10,FALSE),VLOOKUP(J$83,Cuision!$G:$P,9,FALSE),VLOOKUP(J$83,Cuision!$G:$P,10,FALSE)))</f>
        <v>-1</v>
      </c>
      <c r="K133" s="33">
        <f>IF($A133=K$83, 0, distance(VLOOKUP($A133,Cuision!$G:$P,9,FALSE),VLOOKUP($A133,Cuision!$G:$P,10,FALSE),VLOOKUP(K$83,Cuision!$G:$P,9,FALSE),VLOOKUP(K$83,Cuision!$G:$P,10,FALSE)))</f>
        <v>-1</v>
      </c>
      <c r="L133" s="33">
        <f>IF($A133=L$83, 0, distance(VLOOKUP($A133,Cuision!$G:$P,9,FALSE),VLOOKUP($A133,Cuision!$G:$P,10,FALSE),VLOOKUP(L$83,Cuision!$G:$P,9,FALSE),VLOOKUP(L$83,Cuision!$G:$P,10,FALSE)))</f>
        <v>-1</v>
      </c>
      <c r="M133" s="33">
        <f>IF($A133=M$83, 0, distance(VLOOKUP($A133,Cuision!$G:$P,9,FALSE),VLOOKUP($A133,Cuision!$G:$P,10,FALSE),VLOOKUP(M$83,Cuision!$G:$P,9,FALSE),VLOOKUP(M$83,Cuision!$G:$P,10,FALSE)))</f>
        <v>-1</v>
      </c>
      <c r="N133" s="33">
        <f>IF($A133=N$83, 0, distance(VLOOKUP($A133,Cuision!$G:$P,9,FALSE),VLOOKUP($A133,Cuision!$G:$P,10,FALSE),VLOOKUP(N$83,Cuision!$G:$P,9,FALSE),VLOOKUP(N$83,Cuision!$G:$P,10,FALSE)))</f>
        <v>-1</v>
      </c>
      <c r="O133" s="33">
        <f>IF($A133=O$83, 0, distance(VLOOKUP($A133,Cuision!$G:$P,9,FALSE),VLOOKUP($A133,Cuision!$G:$P,10,FALSE),VLOOKUP(O$83,Cuision!$G:$P,9,FALSE),VLOOKUP(O$83,Cuision!$G:$P,10,FALSE)))</f>
        <v>-1</v>
      </c>
      <c r="P133" s="33">
        <f>IF($A133=P$83, 0, distance(VLOOKUP($A133,Cuision!$G:$P,9,FALSE),VLOOKUP($A133,Cuision!$G:$P,10,FALSE),VLOOKUP(P$83,Cuision!$G:$P,9,FALSE),VLOOKUP(P$83,Cuision!$G:$P,10,FALSE)))</f>
        <v>-1</v>
      </c>
      <c r="Q133" s="33">
        <f>IF($A133=Q$83, 0, distance(VLOOKUP($A133,Cuision!$G:$P,9,FALSE),VLOOKUP($A133,Cuision!$G:$P,10,FALSE),VLOOKUP(Q$83,Cuision!$G:$P,9,FALSE),VLOOKUP(Q$83,Cuision!$G:$P,10,FALSE)))</f>
        <v>-1</v>
      </c>
      <c r="R133" s="33">
        <f>IF($A133=R$83, 0, distance(VLOOKUP($A133,Cuision!$G:$P,9,FALSE),VLOOKUP($A133,Cuision!$G:$P,10,FALSE),VLOOKUP(R$83,Cuision!$G:$P,9,FALSE),VLOOKUP(R$83,Cuision!$G:$P,10,FALSE)))</f>
        <v>-1</v>
      </c>
      <c r="S133" s="33">
        <f>IF($A133=S$83, 0, distance(VLOOKUP($A133,Cuision!$G:$P,9,FALSE),VLOOKUP($A133,Cuision!$G:$P,10,FALSE),VLOOKUP(S$83,Cuision!$G:$P,9,FALSE),VLOOKUP(S$83,Cuision!$G:$P,10,FALSE)))</f>
        <v>-1</v>
      </c>
      <c r="T133" s="33">
        <f>IF($A133=T$83, 0, distance(VLOOKUP($A133,Cuision!$G:$P,9,FALSE),VLOOKUP($A133,Cuision!$G:$P,10,FALSE),VLOOKUP(T$83,Cuision!$G:$P,9,FALSE),VLOOKUP(T$83,Cuision!$G:$P,10,FALSE)))</f>
        <v>-1</v>
      </c>
      <c r="U133" s="33">
        <f>IF($A133=U$83, 0, distance(VLOOKUP($A133,Cuision!$G:$P,9,FALSE),VLOOKUP($A133,Cuision!$G:$P,10,FALSE),VLOOKUP(U$83,Cuision!$G:$P,9,FALSE),VLOOKUP(U$83,Cuision!$G:$P,10,FALSE)))</f>
        <v>-1</v>
      </c>
      <c r="V133" s="33">
        <f>IF($A133=V$83, 0, distance(VLOOKUP($A133,Cuision!$G:$P,9,FALSE),VLOOKUP($A133,Cuision!$G:$P,10,FALSE),VLOOKUP(V$83,Cuision!$G:$P,9,FALSE),VLOOKUP(V$83,Cuision!$G:$P,10,FALSE)))</f>
        <v>-1</v>
      </c>
      <c r="W133" s="33">
        <f>IF($A133=W$83, 0, distance(VLOOKUP($A133,Cuision!$G:$P,9,FALSE),VLOOKUP($A133,Cuision!$G:$P,10,FALSE),VLOOKUP(W$83,Cuision!$G:$P,9,FALSE),VLOOKUP(W$83,Cuision!$G:$P,10,FALSE)))</f>
        <v>-1</v>
      </c>
      <c r="X133" s="33">
        <f>IF($A133=X$83, 0, distance(VLOOKUP($A133,Cuision!$G:$P,9,FALSE),VLOOKUP($A133,Cuision!$G:$P,10,FALSE),VLOOKUP(X$83,Cuision!$G:$P,9,FALSE),VLOOKUP(X$83,Cuision!$G:$P,10,FALSE)))</f>
        <v>-1</v>
      </c>
      <c r="Y133" s="33">
        <f>IF($A133=Y$83, 0, distance(VLOOKUP($A133,Cuision!$G:$P,9,FALSE),VLOOKUP($A133,Cuision!$G:$P,10,FALSE),VLOOKUP(Y$83,Cuision!$G:$P,9,FALSE),VLOOKUP(Y$83,Cuision!$G:$P,10,FALSE)))</f>
        <v>-1</v>
      </c>
      <c r="Z133" s="33">
        <f>IF($A133=Z$83, 0, distance(VLOOKUP($A133,Cuision!$G:$P,9,FALSE),VLOOKUP($A133,Cuision!$G:$P,10,FALSE),VLOOKUP(Z$83,Cuision!$G:$P,9,FALSE),VLOOKUP(Z$83,Cuision!$G:$P,10,FALSE)))</f>
        <v>-1</v>
      </c>
      <c r="AA133" s="33">
        <f>IF($A133=AA$83, 0, distance(VLOOKUP($A133,Cuision!$G:$P,9,FALSE),VLOOKUP($A133,Cuision!$G:$P,10,FALSE),VLOOKUP(AA$83,Cuision!$G:$P,9,FALSE),VLOOKUP(AA$83,Cuision!$G:$P,10,FALSE)))</f>
        <v>-1</v>
      </c>
      <c r="AB133" s="33">
        <f>IF($A133=AB$83, 0, distance(VLOOKUP($A133,Cuision!$G:$P,9,FALSE),VLOOKUP($A133,Cuision!$G:$P,10,FALSE),VLOOKUP(AB$83,Cuision!$G:$P,9,FALSE),VLOOKUP(AB$83,Cuision!$G:$P,10,FALSE)))</f>
        <v>-1</v>
      </c>
      <c r="AC133" s="33">
        <f>IF($A133=AC$83, 0, distance(VLOOKUP($A133,Cuision!$G:$P,9,FALSE),VLOOKUP($A133,Cuision!$G:$P,10,FALSE),VLOOKUP(AC$83,Cuision!$G:$P,9,FALSE),VLOOKUP(AC$83,Cuision!$G:$P,10,FALSE)))</f>
        <v>-1</v>
      </c>
      <c r="AD133" s="33">
        <f>IF($A133=AD$83, 0, distance(VLOOKUP($A133,Cuision!$G:$P,9,FALSE),VLOOKUP($A133,Cuision!$G:$P,10,FALSE),VLOOKUP(AD$83,Cuision!$G:$P,9,FALSE),VLOOKUP(AD$83,Cuision!$G:$P,10,FALSE)))</f>
        <v>-1</v>
      </c>
      <c r="AE133" s="33">
        <f>IF($A133=AE$83, 0, distance(VLOOKUP($A133,Cuision!$G:$P,9,FALSE),VLOOKUP($A133,Cuision!$G:$P,10,FALSE),VLOOKUP(AE$83,Cuision!$G:$P,9,FALSE),VLOOKUP(AE$83,Cuision!$G:$P,10,FALSE)))</f>
        <v>-1</v>
      </c>
      <c r="AF133" s="33">
        <f>IF($A133=AF$83, 0, distance(VLOOKUP($A133,Cuision!$G:$P,9,FALSE),VLOOKUP($A133,Cuision!$G:$P,10,FALSE),VLOOKUP(AF$83,Cuision!$G:$P,9,FALSE),VLOOKUP(AF$83,Cuision!$G:$P,10,FALSE)))</f>
        <v>-1</v>
      </c>
      <c r="AG133" s="33">
        <f>IF($A133=AG$83, 0, distance(VLOOKUP($A133,Cuision!$G:$P,9,FALSE),VLOOKUP($A133,Cuision!$G:$P,10,FALSE),VLOOKUP(AG$83,Cuision!$G:$P,9,FALSE),VLOOKUP(AG$83,Cuision!$G:$P,10,FALSE)))</f>
        <v>-1</v>
      </c>
      <c r="AH133" s="33">
        <f>IF($A133=AH$83, 0, distance(VLOOKUP($A133,Cuision!$G:$P,9,FALSE),VLOOKUP($A133,Cuision!$G:$P,10,FALSE),VLOOKUP(AH$83,Cuision!$G:$P,9,FALSE),VLOOKUP(AH$83,Cuision!$G:$P,10,FALSE)))</f>
        <v>-1</v>
      </c>
      <c r="AI133" s="33">
        <f>IF($A133=AI$83, 0, distance(VLOOKUP($A133,Cuision!$G:$P,9,FALSE),VLOOKUP($A133,Cuision!$G:$P,10,FALSE),VLOOKUP(AI$83,Cuision!$G:$P,9,FALSE),VLOOKUP(AI$83,Cuision!$G:$P,10,FALSE)))</f>
        <v>-1</v>
      </c>
      <c r="AJ133" s="33">
        <f>IF($A133=AJ$83, 0, distance(VLOOKUP($A133,Cuision!$G:$P,9,FALSE),VLOOKUP($A133,Cuision!$G:$P,10,FALSE),VLOOKUP(AJ$83,Cuision!$G:$P,9,FALSE),VLOOKUP(AJ$83,Cuision!$G:$P,10,FALSE)))</f>
        <v>-1</v>
      </c>
      <c r="AK133" s="33">
        <f>IF($A133=AK$83, 0, distance(VLOOKUP($A133,Cuision!$G:$P,9,FALSE),VLOOKUP($A133,Cuision!$G:$P,10,FALSE),VLOOKUP(AK$83,Cuision!$G:$P,9,FALSE),VLOOKUP(AK$83,Cuision!$G:$P,10,FALSE)))</f>
        <v>-1</v>
      </c>
      <c r="AL133" s="33">
        <f>IF($A133=AL$83, 0, distance(VLOOKUP($A133,Cuision!$G:$P,9,FALSE),VLOOKUP($A133,Cuision!$G:$P,10,FALSE),VLOOKUP(AL$83,Cuision!$G:$P,9,FALSE),VLOOKUP(AL$83,Cuision!$G:$P,10,FALSE)))</f>
        <v>-1</v>
      </c>
      <c r="AM133" s="33">
        <f>IF($A133=AM$83, 0, distance(VLOOKUP($A133,Cuision!$G:$P,9,FALSE),VLOOKUP($A133,Cuision!$G:$P,10,FALSE),VLOOKUP(AM$83,Cuision!$G:$P,9,FALSE),VLOOKUP(AM$83,Cuision!$G:$P,10,FALSE)))</f>
        <v>-1</v>
      </c>
      <c r="AN133" s="33">
        <f>IF($A133=AN$83, 0, distance(VLOOKUP($A133,Cuision!$G:$P,9,FALSE),VLOOKUP($A133,Cuision!$G:$P,10,FALSE),VLOOKUP(AN$83,Cuision!$G:$P,9,FALSE),VLOOKUP(AN$83,Cuision!$G:$P,10,FALSE)))</f>
        <v>-1</v>
      </c>
      <c r="AO133" s="33">
        <f>IF($A133=AO$83, 0, distance(VLOOKUP($A133,Cuision!$G:$P,9,FALSE),VLOOKUP($A133,Cuision!$G:$P,10,FALSE),VLOOKUP(AO$83,Cuision!$G:$P,9,FALSE),VLOOKUP(AO$83,Cuision!$G:$P,10,FALSE)))</f>
        <v>-1</v>
      </c>
      <c r="AP133" s="33">
        <f>IF($A133=AP$83, 0, distance(VLOOKUP($A133,Cuision!$G:$P,9,FALSE),VLOOKUP($A133,Cuision!$G:$P,10,FALSE),VLOOKUP(AP$83,Cuision!$G:$P,9,FALSE),VLOOKUP(AP$83,Cuision!$G:$P,10,FALSE)))</f>
        <v>-1</v>
      </c>
      <c r="AQ133" s="33">
        <f>IF($A133=AQ$83, 0, distance(VLOOKUP($A133,Cuision!$G:$P,9,FALSE),VLOOKUP($A133,Cuision!$G:$P,10,FALSE),VLOOKUP(AQ$83,Cuision!$G:$P,9,FALSE),VLOOKUP(AQ$83,Cuision!$G:$P,10,FALSE)))</f>
        <v>-1</v>
      </c>
      <c r="AR133" s="33">
        <f>IF($A133=AR$83, 0, distance(VLOOKUP($A133,Cuision!$G:$P,9,FALSE),VLOOKUP($A133,Cuision!$G:$P,10,FALSE),VLOOKUP(AR$83,Cuision!$G:$P,9,FALSE),VLOOKUP(AR$83,Cuision!$G:$P,10,FALSE)))</f>
        <v>-1</v>
      </c>
      <c r="AS133" s="33">
        <f>IF($A133=AS$83, 0, distance(VLOOKUP($A133,Cuision!$G:$P,9,FALSE),VLOOKUP($A133,Cuision!$G:$P,10,FALSE),VLOOKUP(AS$83,Cuision!$G:$P,9,FALSE),VLOOKUP(AS$83,Cuision!$G:$P,10,FALSE)))</f>
        <v>-1</v>
      </c>
      <c r="AT133" s="33">
        <f>IF($A133=AT$83, 0, distance(VLOOKUP($A133,Cuision!$G:$P,9,FALSE),VLOOKUP($A133,Cuision!$G:$P,10,FALSE),VLOOKUP(AT$83,Cuision!$G:$P,9,FALSE),VLOOKUP(AT$83,Cuision!$G:$P,10,FALSE)))</f>
        <v>-1</v>
      </c>
      <c r="AU133" s="33">
        <f>IF($A133=AU$83, 0, distance(VLOOKUP($A133,Cuision!$G:$P,9,FALSE),VLOOKUP($A133,Cuision!$G:$P,10,FALSE),VLOOKUP(AU$83,Cuision!$G:$P,9,FALSE),VLOOKUP(AU$83,Cuision!$G:$P,10,FALSE)))</f>
        <v>-1</v>
      </c>
      <c r="AV133" s="33">
        <f>IF($A133=AV$83, 0, distance(VLOOKUP($A133,Cuision!$G:$P,9,FALSE),VLOOKUP($A133,Cuision!$G:$P,10,FALSE),VLOOKUP(AV$83,Cuision!$G:$P,9,FALSE),VLOOKUP(AV$83,Cuision!$G:$P,10,FALSE)))</f>
        <v>-1</v>
      </c>
      <c r="AW133" s="33">
        <f>IF($A133=AW$83, 0, distance(VLOOKUP($A133,Cuision!$G:$P,9,FALSE),VLOOKUP($A133,Cuision!$G:$P,10,FALSE),VLOOKUP(AW$83,Cuision!$G:$P,9,FALSE),VLOOKUP(AW$83,Cuision!$G:$P,10,FALSE)))</f>
        <v>-1</v>
      </c>
      <c r="AX133" s="33">
        <f>IF($A133=AX$83, 0, distance(VLOOKUP($A133,Cuision!$G:$P,9,FALSE),VLOOKUP($A133,Cuision!$G:$P,10,FALSE),VLOOKUP(AX$83,Cuision!$G:$P,9,FALSE),VLOOKUP(AX$83,Cuision!$G:$P,10,FALSE)))</f>
        <v>-1</v>
      </c>
      <c r="AY133" s="33">
        <f>IF($A133=AY$83, 0, distance(VLOOKUP($A133,Cuision!$G:$P,9,FALSE),VLOOKUP($A133,Cuision!$G:$P,10,FALSE),VLOOKUP(AY$83,Cuision!$G:$P,9,FALSE),VLOOKUP(AY$83,Cuision!$G:$P,10,FALSE)))</f>
        <v>0</v>
      </c>
      <c r="AZ133" s="33">
        <f>IF($A133=AZ$83, 0, distance(VLOOKUP($A133,Cuision!$G:$P,9,FALSE),VLOOKUP($A133,Cuision!$G:$P,10,FALSE),VLOOKUP(AZ$83,Cuision!$G:$P,9,FALSE),VLOOKUP(AZ$83,Cuision!$G:$P,10,FALSE)))</f>
        <v>-1</v>
      </c>
      <c r="BA133" s="33">
        <f>IF($A133=BA$83, 0, distance(VLOOKUP($A133,Cuision!$G:$P,9,FALSE),VLOOKUP($A133,Cuision!$G:$P,10,FALSE),VLOOKUP(BA$83,Cuision!$G:$P,9,FALSE),VLOOKUP(BA$83,Cuision!$G:$P,10,FALSE)))</f>
        <v>-1</v>
      </c>
      <c r="BB133" s="33">
        <f>IF($A133=BB$83, 0, distance(VLOOKUP($A133,Cuision!$G:$P,9,FALSE),VLOOKUP($A133,Cuision!$G:$P,10,FALSE),VLOOKUP(BB$83,Cuision!$G:$P,9,FALSE),VLOOKUP(BB$83,Cuision!$G:$P,10,FALSE)))</f>
        <v>-1</v>
      </c>
      <c r="BC133" s="33">
        <f>IF($A133=BC$83, 0, distance(VLOOKUP($A133,Cuision!$G:$P,9,FALSE),VLOOKUP($A133,Cuision!$G:$P,10,FALSE),VLOOKUP(BC$83,Cuision!$G:$P,9,FALSE),VLOOKUP(BC$83,Cuision!$G:$P,10,FALSE)))</f>
        <v>-1</v>
      </c>
      <c r="BD133" s="33">
        <f>IF($A133=BD$83, 0, distance(VLOOKUP($A133,Cuision!$G:$P,9,FALSE),VLOOKUP($A133,Cuision!$G:$P,10,FALSE),VLOOKUP(BD$83,Cuision!$G:$P,9,FALSE),VLOOKUP(BD$83,Cuision!$G:$P,10,FALSE)))</f>
        <v>-1</v>
      </c>
      <c r="BE133" s="33">
        <f>IF($A133=BE$83, 0, distance(VLOOKUP($A133,Cuision!$G:$P,9,FALSE),VLOOKUP($A133,Cuision!$G:$P,10,FALSE),VLOOKUP(BE$83,Cuision!$G:$P,9,FALSE),VLOOKUP(BE$83,Cuision!$G:$P,10,FALSE)))</f>
        <v>-1</v>
      </c>
      <c r="BF133" s="33">
        <f>IF($A133=BF$83, 0, distance(VLOOKUP($A133,Cuision!$G:$P,9,FALSE),VLOOKUP($A133,Cuision!$G:$P,10,FALSE),VLOOKUP(BF$83,Cuision!$G:$P,9,FALSE),VLOOKUP(BF$83,Cuision!$G:$P,10,FALSE)))</f>
        <v>-1</v>
      </c>
      <c r="BG133" s="33">
        <f>IF($A133=BG$83, 0, distance(VLOOKUP($A133,Cuision!$G:$P,9,FALSE),VLOOKUP($A133,Cuision!$G:$P,10,FALSE),VLOOKUP(BG$83,Cuision!$G:$P,9,FALSE),VLOOKUP(BG$83,Cuision!$G:$P,10,FALSE)))</f>
        <v>-1</v>
      </c>
      <c r="BH133" s="33">
        <f>IF($A133=BH$83, 0, distance(VLOOKUP($A133,Cuision!$G:$P,9,FALSE),VLOOKUP($A133,Cuision!$G:$P,10,FALSE),VLOOKUP(BH$83,Cuision!$G:$P,9,FALSE),VLOOKUP(BH$83,Cuision!$G:$P,10,FALSE)))</f>
        <v>-1</v>
      </c>
      <c r="BI133" s="33">
        <f>IF($A133=BI$83, 0, distance(VLOOKUP($A133,Cuision!$G:$P,9,FALSE),VLOOKUP($A133,Cuision!$G:$P,10,FALSE),VLOOKUP(BI$83,Cuision!$G:$P,9,FALSE),VLOOKUP(BI$83,Cuision!$G:$P,10,FALSE)))</f>
        <v>-1</v>
      </c>
      <c r="BJ133" s="33">
        <f>IF($A133=BJ$83, 0, distance(VLOOKUP($A133,Cuision!$G:$P,9,FALSE),VLOOKUP($A133,Cuision!$G:$P,10,FALSE),VLOOKUP(BJ$83,Cuision!$G:$P,9,FALSE),VLOOKUP(BJ$83,Cuision!$G:$P,10,FALSE)))</f>
        <v>-1</v>
      </c>
      <c r="BK133" s="33">
        <f>IF($A133=BK$83, 0, distance(VLOOKUP($A133,Cuision!$G:$P,9,FALSE),VLOOKUP($A133,Cuision!$G:$P,10,FALSE),VLOOKUP(BK$83,Cuision!$G:$P,9,FALSE),VLOOKUP(BK$83,Cuision!$G:$P,10,FALSE)))</f>
        <v>-1</v>
      </c>
      <c r="BL133" s="33">
        <f>IF($A133=BL$83, 0, distance(VLOOKUP($A133,Cuision!$G:$P,9,FALSE),VLOOKUP($A133,Cuision!$G:$P,10,FALSE),VLOOKUP(BL$83,Cuision!$G:$P,9,FALSE),VLOOKUP(BL$83,Cuision!$G:$P,10,FALSE)))</f>
        <v>-1</v>
      </c>
      <c r="BM133" s="33">
        <f>IF($A133=BM$83, 0, distance(VLOOKUP($A133,Cuision!$G:$P,9,FALSE),VLOOKUP($A133,Cuision!$G:$P,10,FALSE),VLOOKUP(BM$83,Cuision!$G:$P,9,FALSE),VLOOKUP(BM$83,Cuision!$G:$P,10,FALSE)))</f>
        <v>-1</v>
      </c>
      <c r="BN133" s="33">
        <f>IF($A133=BN$83, 0, distance(VLOOKUP($A133,Cuision!$G:$P,9,FALSE),VLOOKUP($A133,Cuision!$G:$P,10,FALSE),VLOOKUP(BN$83,Cuision!$G:$P,9,FALSE),VLOOKUP(BN$83,Cuision!$G:$P,10,FALSE)))</f>
        <v>-1</v>
      </c>
      <c r="BO133" s="33">
        <f>IF($A133=BO$83, 0, distance(VLOOKUP($A133,Cuision!$G:$P,9,FALSE),VLOOKUP($A133,Cuision!$G:$P,10,FALSE),VLOOKUP(BO$83,Cuision!$G:$P,9,FALSE),VLOOKUP(BO$83,Cuision!$G:$P,10,FALSE)))</f>
        <v>-1</v>
      </c>
      <c r="BP133" s="33">
        <f>IF($A133=BP$83, 0, distance(VLOOKUP($A133,Cuision!$G:$P,9,FALSE),VLOOKUP($A133,Cuision!$G:$P,10,FALSE),VLOOKUP(BP$83,Cuision!$G:$P,9,FALSE),VLOOKUP(BP$83,Cuision!$G:$P,10,FALSE)))</f>
        <v>-1</v>
      </c>
      <c r="BQ133" s="33">
        <f>IF($A133=BQ$83, 0, distance(VLOOKUP($A133,Cuision!$G:$P,9,FALSE),VLOOKUP($A133,Cuision!$G:$P,10,FALSE),VLOOKUP(BQ$83,Cuision!$G:$P,9,FALSE),VLOOKUP(BQ$83,Cuision!$G:$P,10,FALSE)))</f>
        <v>-1</v>
      </c>
      <c r="BR133" s="33">
        <f>IF($A133=BR$83, 0, distance(VLOOKUP($A133,Cuision!$G:$P,9,FALSE),VLOOKUP($A133,Cuision!$G:$P,10,FALSE),VLOOKUP(BR$83,Cuision!$G:$P,9,FALSE),VLOOKUP(BR$83,Cuision!$G:$P,10,FALSE)))</f>
        <v>-1</v>
      </c>
      <c r="BS133" s="33">
        <f>IF($A133=BS$83, 0, distance(VLOOKUP($A133,Cuision!$G:$P,9,FALSE),VLOOKUP($A133,Cuision!$G:$P,10,FALSE),VLOOKUP(BS$83,Cuision!$G:$P,9,FALSE),VLOOKUP(BS$83,Cuision!$G:$P,10,FALSE)))</f>
        <v>-1</v>
      </c>
      <c r="BT133" s="33">
        <f>IF($A133=BT$83, 0, distance(VLOOKUP($A133,Cuision!$G:$P,9,FALSE),VLOOKUP($A133,Cuision!$G:$P,10,FALSE),VLOOKUP(BT$83,Cuision!$G:$P,9,FALSE),VLOOKUP(BT$83,Cuision!$G:$P,10,FALSE)))</f>
        <v>-1</v>
      </c>
      <c r="BU133" s="33">
        <f>IF($A133=BU$83, 0, distance(VLOOKUP($A133,Cuision!$G:$P,9,FALSE),VLOOKUP($A133,Cuision!$G:$P,10,FALSE),VLOOKUP(BU$83,Cuision!$G:$P,9,FALSE),VLOOKUP(BU$83,Cuision!$G:$P,10,FALSE)))</f>
        <v>-1</v>
      </c>
      <c r="BV133" s="33">
        <f>IF($A133=BV$83, 0, distance(VLOOKUP($A133,Cuision!$G:$P,9,FALSE),VLOOKUP($A133,Cuision!$G:$P,10,FALSE),VLOOKUP(BV$83,Cuision!$G:$P,9,FALSE),VLOOKUP(BV$83,Cuision!$G:$P,10,FALSE)))</f>
        <v>-1</v>
      </c>
      <c r="BW133" s="33">
        <f>IF($A133=BW$83, 0, distance(VLOOKUP($A133,Cuision!$G:$P,9,FALSE),VLOOKUP($A133,Cuision!$G:$P,10,FALSE),VLOOKUP(BW$83,Cuision!$G:$P,9,FALSE),VLOOKUP(BW$83,Cuision!$G:$P,10,FALSE)))</f>
        <v>-1</v>
      </c>
      <c r="BX133" s="33">
        <f>IF($A133=BX$83, 0, distance(VLOOKUP($A133,Cuision!$G:$P,9,FALSE),VLOOKUP($A133,Cuision!$G:$P,10,FALSE),VLOOKUP(BX$83,Cuision!$G:$P,9,FALSE),VLOOKUP(BX$83,Cuision!$G:$P,10,FALSE)))</f>
        <v>-1</v>
      </c>
      <c r="BY133" s="33">
        <f>IF($A133=BY$83, 0, distance(VLOOKUP($A133,Cuision!$G:$P,9,FALSE),VLOOKUP($A133,Cuision!$G:$P,10,FALSE),VLOOKUP(BY$83,Cuision!$G:$P,9,FALSE),VLOOKUP(BY$83,Cuision!$G:$P,10,FALSE)))</f>
        <v>-1</v>
      </c>
      <c r="BZ133" s="33">
        <f>IF($A133=BZ$83, 0, distance(VLOOKUP($A133,Cuision!$G:$P,9,FALSE),VLOOKUP($A133,Cuision!$G:$P,10,FALSE),VLOOKUP(BZ$83,Cuision!$G:$P,9,FALSE),VLOOKUP(BZ$83,Cuision!$G:$P,10,FALSE)))</f>
        <v>-1</v>
      </c>
      <c r="CA133" s="33">
        <f>IF($A133=CA$83, 0, distance(VLOOKUP($A133,Cuision!$G:$P,9,FALSE),VLOOKUP($A133,Cuision!$G:$P,10,FALSE),VLOOKUP(CA$83,Cuision!$G:$P,9,FALSE),VLOOKUP(CA$83,Cuision!$G:$P,10,FALSE)))</f>
        <v>-1</v>
      </c>
    </row>
    <row r="134" spans="1:79" ht="14.25" x14ac:dyDescent="0.2">
      <c r="A134" s="30" t="s">
        <v>104</v>
      </c>
      <c r="B134" s="33">
        <f>IF($A134=B$83, 0, distance(VLOOKUP($A134,Cuision!$G:$P,9,FALSE),VLOOKUP($A134,Cuision!$G:$P,10,FALSE),VLOOKUP(B$83,Cuision!$G:$P,9,FALSE),VLOOKUP(B$83,Cuision!$G:$P,10,FALSE)))</f>
        <v>3009.5074532830222</v>
      </c>
      <c r="C134" s="33">
        <f>IF($A134=C$83, 0, distance(VLOOKUP($A134,Cuision!$G:$P,9,FALSE),VLOOKUP($A134,Cuision!$G:$P,10,FALSE),VLOOKUP(C$83,Cuision!$G:$P,9,FALSE),VLOOKUP(C$83,Cuision!$G:$P,10,FALSE)))</f>
        <v>4699.3165583085374</v>
      </c>
      <c r="D134" s="33">
        <f>IF($A134=D$83, 0, distance(VLOOKUP($A134,Cuision!$G:$P,9,FALSE),VLOOKUP($A134,Cuision!$G:$P,10,FALSE),VLOOKUP(D$83,Cuision!$G:$P,9,FALSE),VLOOKUP(D$83,Cuision!$G:$P,10,FALSE)))</f>
        <v>9530.5281664634804</v>
      </c>
      <c r="E134" s="33">
        <f>IF($A134=E$83, 0, distance(VLOOKUP($A134,Cuision!$G:$P,9,FALSE),VLOOKUP($A134,Cuision!$G:$P,10,FALSE),VLOOKUP(E$83,Cuision!$G:$P,9,FALSE),VLOOKUP(E$83,Cuision!$G:$P,10,FALSE)))</f>
        <v>9530.5281664634804</v>
      </c>
      <c r="F134" s="33">
        <f>IF($A134=F$83, 0, distance(VLOOKUP($A134,Cuision!$G:$P,9,FALSE),VLOOKUP($A134,Cuision!$G:$P,10,FALSE),VLOOKUP(F$83,Cuision!$G:$P,9,FALSE),VLOOKUP(F$83,Cuision!$G:$P,10,FALSE)))</f>
        <v>4265.6135520296511</v>
      </c>
      <c r="G134" s="33">
        <f>IF($A134=G$83, 0, distance(VLOOKUP($A134,Cuision!$G:$P,9,FALSE),VLOOKUP($A134,Cuision!$G:$P,10,FALSE),VLOOKUP(G$83,Cuision!$G:$P,9,FALSE),VLOOKUP(G$83,Cuision!$G:$P,10,FALSE)))</f>
        <v>9913.3429662705639</v>
      </c>
      <c r="H134" s="33">
        <f>IF($A134=H$83, 0, distance(VLOOKUP($A134,Cuision!$G:$P,9,FALSE),VLOOKUP($A134,Cuision!$G:$P,10,FALSE),VLOOKUP(H$83,Cuision!$G:$P,9,FALSE),VLOOKUP(H$83,Cuision!$G:$P,10,FALSE)))</f>
        <v>4375.6078657466105</v>
      </c>
      <c r="I134" s="33">
        <f>IF($A134=I$83, 0, distance(VLOOKUP($A134,Cuision!$G:$P,9,FALSE),VLOOKUP($A134,Cuision!$G:$P,10,FALSE),VLOOKUP(I$83,Cuision!$G:$P,9,FALSE),VLOOKUP(I$83,Cuision!$G:$P,10,FALSE)))</f>
        <v>2136.5363985395461</v>
      </c>
      <c r="J134" s="33">
        <f>IF($A134=J$83, 0, distance(VLOOKUP($A134,Cuision!$G:$P,9,FALSE),VLOOKUP($A134,Cuision!$G:$P,10,FALSE),VLOOKUP(J$83,Cuision!$G:$P,9,FALSE),VLOOKUP(J$83,Cuision!$G:$P,10,FALSE)))</f>
        <v>4054.8618578860774</v>
      </c>
      <c r="K134" s="33">
        <f>IF($A134=K$83, 0, distance(VLOOKUP($A134,Cuision!$G:$P,9,FALSE),VLOOKUP($A134,Cuision!$G:$P,10,FALSE),VLOOKUP(K$83,Cuision!$G:$P,9,FALSE),VLOOKUP(K$83,Cuision!$G:$P,10,FALSE)))</f>
        <v>5840.9472134724001</v>
      </c>
      <c r="L134" s="33">
        <f>IF($A134=L$83, 0, distance(VLOOKUP($A134,Cuision!$G:$P,9,FALSE),VLOOKUP($A134,Cuision!$G:$P,10,FALSE),VLOOKUP(L$83,Cuision!$G:$P,9,FALSE),VLOOKUP(L$83,Cuision!$G:$P,10,FALSE)))</f>
        <v>1608.4223518058729</v>
      </c>
      <c r="M134" s="33">
        <f>IF($A134=M$83, 0, distance(VLOOKUP($A134,Cuision!$G:$P,9,FALSE),VLOOKUP($A134,Cuision!$G:$P,10,FALSE),VLOOKUP(M$83,Cuision!$G:$P,9,FALSE),VLOOKUP(M$83,Cuision!$G:$P,10,FALSE)))</f>
        <v>-1</v>
      </c>
      <c r="N134" s="33">
        <f>IF($A134=N$83, 0, distance(VLOOKUP($A134,Cuision!$G:$P,9,FALSE),VLOOKUP($A134,Cuision!$G:$P,10,FALSE),VLOOKUP(N$83,Cuision!$G:$P,9,FALSE),VLOOKUP(N$83,Cuision!$G:$P,10,FALSE)))</f>
        <v>6879.1758972891921</v>
      </c>
      <c r="O134" s="33">
        <f>IF($A134=O$83, 0, distance(VLOOKUP($A134,Cuision!$G:$P,9,FALSE),VLOOKUP($A134,Cuision!$G:$P,10,FALSE),VLOOKUP(O$83,Cuision!$G:$P,9,FALSE),VLOOKUP(O$83,Cuision!$G:$P,10,FALSE)))</f>
        <v>6368.8001474384218</v>
      </c>
      <c r="P134" s="33">
        <f>IF($A134=P$83, 0, distance(VLOOKUP($A134,Cuision!$G:$P,9,FALSE),VLOOKUP($A134,Cuision!$G:$P,10,FALSE),VLOOKUP(P$83,Cuision!$G:$P,9,FALSE),VLOOKUP(P$83,Cuision!$G:$P,10,FALSE)))</f>
        <v>10193.990869011852</v>
      </c>
      <c r="Q134" s="33">
        <f>IF($A134=Q$83, 0, distance(VLOOKUP($A134,Cuision!$G:$P,9,FALSE),VLOOKUP($A134,Cuision!$G:$P,10,FALSE),VLOOKUP(Q$83,Cuision!$G:$P,9,FALSE),VLOOKUP(Q$83,Cuision!$G:$P,10,FALSE)))</f>
        <v>-1</v>
      </c>
      <c r="R134" s="33">
        <f>IF($A134=R$83, 0, distance(VLOOKUP($A134,Cuision!$G:$P,9,FALSE),VLOOKUP($A134,Cuision!$G:$P,10,FALSE),VLOOKUP(R$83,Cuision!$G:$P,9,FALSE),VLOOKUP(R$83,Cuision!$G:$P,10,FALSE)))</f>
        <v>6552.6845975258957</v>
      </c>
      <c r="S134" s="33">
        <f>IF($A134=S$83, 0, distance(VLOOKUP($A134,Cuision!$G:$P,9,FALSE),VLOOKUP($A134,Cuision!$G:$P,10,FALSE),VLOOKUP(S$83,Cuision!$G:$P,9,FALSE),VLOOKUP(S$83,Cuision!$G:$P,10,FALSE)))</f>
        <v>-1</v>
      </c>
      <c r="T134" s="33">
        <f>IF($A134=T$83, 0, distance(VLOOKUP($A134,Cuision!$G:$P,9,FALSE),VLOOKUP($A134,Cuision!$G:$P,10,FALSE),VLOOKUP(T$83,Cuision!$G:$P,9,FALSE),VLOOKUP(T$83,Cuision!$G:$P,10,FALSE)))</f>
        <v>1207.3040966273766</v>
      </c>
      <c r="U134" s="33">
        <f>IF($A134=U$83, 0, distance(VLOOKUP($A134,Cuision!$G:$P,9,FALSE),VLOOKUP($A134,Cuision!$G:$P,10,FALSE),VLOOKUP(U$83,Cuision!$G:$P,9,FALSE),VLOOKUP(U$83,Cuision!$G:$P,10,FALSE)))</f>
        <v>-1</v>
      </c>
      <c r="V134" s="33">
        <f>IF($A134=V$83, 0, distance(VLOOKUP($A134,Cuision!$G:$P,9,FALSE),VLOOKUP($A134,Cuision!$G:$P,10,FALSE),VLOOKUP(V$83,Cuision!$G:$P,9,FALSE),VLOOKUP(V$83,Cuision!$G:$P,10,FALSE)))</f>
        <v>9530.5281664634804</v>
      </c>
      <c r="W134" s="33">
        <f>IF($A134=W$83, 0, distance(VLOOKUP($A134,Cuision!$G:$P,9,FALSE),VLOOKUP($A134,Cuision!$G:$P,10,FALSE),VLOOKUP(W$83,Cuision!$G:$P,9,FALSE),VLOOKUP(W$83,Cuision!$G:$P,10,FALSE)))</f>
        <v>622.34371911392918</v>
      </c>
      <c r="X134" s="33">
        <f>IF($A134=X$83, 0, distance(VLOOKUP($A134,Cuision!$G:$P,9,FALSE),VLOOKUP($A134,Cuision!$G:$P,10,FALSE),VLOOKUP(X$83,Cuision!$G:$P,9,FALSE),VLOOKUP(X$83,Cuision!$G:$P,10,FALSE)))</f>
        <v>6879.1758972891921</v>
      </c>
      <c r="Y134" s="33">
        <f>IF($A134=Y$83, 0, distance(VLOOKUP($A134,Cuision!$G:$P,9,FALSE),VLOOKUP($A134,Cuision!$G:$P,10,FALSE),VLOOKUP(Y$83,Cuision!$G:$P,9,FALSE),VLOOKUP(Y$83,Cuision!$G:$P,10,FALSE)))</f>
        <v>2702.0786792225776</v>
      </c>
      <c r="Z134" s="33">
        <f>IF($A134=Z$83, 0, distance(VLOOKUP($A134,Cuision!$G:$P,9,FALSE),VLOOKUP($A134,Cuision!$G:$P,10,FALSE),VLOOKUP(Z$83,Cuision!$G:$P,9,FALSE),VLOOKUP(Z$83,Cuision!$G:$P,10,FALSE)))</f>
        <v>-1</v>
      </c>
      <c r="AA134" s="33">
        <f>IF($A134=AA$83, 0, distance(VLOOKUP($A134,Cuision!$G:$P,9,FALSE),VLOOKUP($A134,Cuision!$G:$P,10,FALSE),VLOOKUP(AA$83,Cuision!$G:$P,9,FALSE),VLOOKUP(AA$83,Cuision!$G:$P,10,FALSE)))</f>
        <v>10600.602823598902</v>
      </c>
      <c r="AB134" s="33">
        <f>IF($A134=AB$83, 0, distance(VLOOKUP($A134,Cuision!$G:$P,9,FALSE),VLOOKUP($A134,Cuision!$G:$P,10,FALSE),VLOOKUP(AB$83,Cuision!$G:$P,9,FALSE),VLOOKUP(AB$83,Cuision!$G:$P,10,FALSE)))</f>
        <v>5930.7391289374591</v>
      </c>
      <c r="AC134" s="33">
        <f>IF($A134=AC$83, 0, distance(VLOOKUP($A134,Cuision!$G:$P,9,FALSE),VLOOKUP($A134,Cuision!$G:$P,10,FALSE),VLOOKUP(AC$83,Cuision!$G:$P,9,FALSE),VLOOKUP(AC$83,Cuision!$G:$P,10,FALSE)))</f>
        <v>4338.349780841153</v>
      </c>
      <c r="AD134" s="33">
        <f>IF($A134=AD$83, 0, distance(VLOOKUP($A134,Cuision!$G:$P,9,FALSE),VLOOKUP($A134,Cuision!$G:$P,10,FALSE),VLOOKUP(AD$83,Cuision!$G:$P,9,FALSE),VLOOKUP(AD$83,Cuision!$G:$P,10,FALSE)))</f>
        <v>1534.3625441824265</v>
      </c>
      <c r="AE134" s="33">
        <f>IF($A134=AE$83, 0, distance(VLOOKUP($A134,Cuision!$G:$P,9,FALSE),VLOOKUP($A134,Cuision!$G:$P,10,FALSE),VLOOKUP(AE$83,Cuision!$G:$P,9,FALSE),VLOOKUP(AE$83,Cuision!$G:$P,10,FALSE)))</f>
        <v>6005.1876234209785</v>
      </c>
      <c r="AF134" s="33">
        <f>IF($A134=AF$83, 0, distance(VLOOKUP($A134,Cuision!$G:$P,9,FALSE),VLOOKUP($A134,Cuision!$G:$P,10,FALSE),VLOOKUP(AF$83,Cuision!$G:$P,9,FALSE),VLOOKUP(AF$83,Cuision!$G:$P,10,FALSE)))</f>
        <v>6477.1270771275822</v>
      </c>
      <c r="AG134" s="33">
        <f>IF($A134=AG$83, 0, distance(VLOOKUP($A134,Cuision!$G:$P,9,FALSE),VLOOKUP($A134,Cuision!$G:$P,10,FALSE),VLOOKUP(AG$83,Cuision!$G:$P,9,FALSE),VLOOKUP(AG$83,Cuision!$G:$P,10,FALSE)))</f>
        <v>5973.6829435854743</v>
      </c>
      <c r="AH134" s="33">
        <f>IF($A134=AH$83, 0, distance(VLOOKUP($A134,Cuision!$G:$P,9,FALSE),VLOOKUP($A134,Cuision!$G:$P,10,FALSE),VLOOKUP(AH$83,Cuision!$G:$P,9,FALSE),VLOOKUP(AH$83,Cuision!$G:$P,10,FALSE)))</f>
        <v>-1</v>
      </c>
      <c r="AI134" s="33">
        <f>IF($A134=AI$83, 0, distance(VLOOKUP($A134,Cuision!$G:$P,9,FALSE),VLOOKUP($A134,Cuision!$G:$P,10,FALSE),VLOOKUP(AI$83,Cuision!$G:$P,9,FALSE),VLOOKUP(AI$83,Cuision!$G:$P,10,FALSE)))</f>
        <v>5430.1131607261732</v>
      </c>
      <c r="AJ134" s="33">
        <f>IF($A134=AJ$83, 0, distance(VLOOKUP($A134,Cuision!$G:$P,9,FALSE),VLOOKUP($A134,Cuision!$G:$P,10,FALSE),VLOOKUP(AJ$83,Cuision!$G:$P,9,FALSE),VLOOKUP(AJ$83,Cuision!$G:$P,10,FALSE)))</f>
        <v>4265.6135520296511</v>
      </c>
      <c r="AK134" s="33">
        <f>IF($A134=AK$83, 0, distance(VLOOKUP($A134,Cuision!$G:$P,9,FALSE),VLOOKUP($A134,Cuision!$G:$P,10,FALSE),VLOOKUP(AK$83,Cuision!$G:$P,9,FALSE),VLOOKUP(AK$83,Cuision!$G:$P,10,FALSE)))</f>
        <v>6967.595822230247</v>
      </c>
      <c r="AL134" s="33">
        <f>IF($A134=AL$83, 0, distance(VLOOKUP($A134,Cuision!$G:$P,9,FALSE),VLOOKUP($A134,Cuision!$G:$P,10,FALSE),VLOOKUP(AL$83,Cuision!$G:$P,9,FALSE),VLOOKUP(AL$83,Cuision!$G:$P,10,FALSE)))</f>
        <v>2011.2042757063273</v>
      </c>
      <c r="AM134" s="33">
        <f>IF($A134=AM$83, 0, distance(VLOOKUP($A134,Cuision!$G:$P,9,FALSE),VLOOKUP($A134,Cuision!$G:$P,10,FALSE),VLOOKUP(AM$83,Cuision!$G:$P,9,FALSE),VLOOKUP(AM$83,Cuision!$G:$P,10,FALSE)))</f>
        <v>-1</v>
      </c>
      <c r="AN134" s="33">
        <f>IF($A134=AN$83, 0, distance(VLOOKUP($A134,Cuision!$G:$P,9,FALSE),VLOOKUP($A134,Cuision!$G:$P,10,FALSE),VLOOKUP(AN$83,Cuision!$G:$P,9,FALSE),VLOOKUP(AN$83,Cuision!$G:$P,10,FALSE)))</f>
        <v>5715.2633868203375</v>
      </c>
      <c r="AO134" s="33">
        <f>IF($A134=AO$83, 0, distance(VLOOKUP($A134,Cuision!$G:$P,9,FALSE),VLOOKUP($A134,Cuision!$G:$P,10,FALSE),VLOOKUP(AO$83,Cuision!$G:$P,9,FALSE),VLOOKUP(AO$83,Cuision!$G:$P,10,FALSE)))</f>
        <v>6879.1758972891921</v>
      </c>
      <c r="AP134" s="33">
        <f>IF($A134=AP$83, 0, distance(VLOOKUP($A134,Cuision!$G:$P,9,FALSE),VLOOKUP($A134,Cuision!$G:$P,10,FALSE),VLOOKUP(AP$83,Cuision!$G:$P,9,FALSE),VLOOKUP(AP$83,Cuision!$G:$P,10,FALSE)))</f>
        <v>2385.3827971402588</v>
      </c>
      <c r="AQ134" s="33">
        <f>IF($A134=AQ$83, 0, distance(VLOOKUP($A134,Cuision!$G:$P,9,FALSE),VLOOKUP($A134,Cuision!$G:$P,10,FALSE),VLOOKUP(AQ$83,Cuision!$G:$P,9,FALSE),VLOOKUP(AQ$83,Cuision!$G:$P,10,FALSE)))</f>
        <v>737.58153667219597</v>
      </c>
      <c r="AR134" s="33">
        <f>IF($A134=AR$83, 0, distance(VLOOKUP($A134,Cuision!$G:$P,9,FALSE),VLOOKUP($A134,Cuision!$G:$P,10,FALSE),VLOOKUP(AR$83,Cuision!$G:$P,9,FALSE),VLOOKUP(AR$83,Cuision!$G:$P,10,FALSE)))</f>
        <v>6552.6845975258957</v>
      </c>
      <c r="AS134" s="33">
        <f>IF($A134=AS$83, 0, distance(VLOOKUP($A134,Cuision!$G:$P,9,FALSE),VLOOKUP($A134,Cuision!$G:$P,10,FALSE),VLOOKUP(AS$83,Cuision!$G:$P,9,FALSE),VLOOKUP(AS$83,Cuision!$G:$P,10,FALSE)))</f>
        <v>6032.6821419795324</v>
      </c>
      <c r="AT134" s="33">
        <f>IF($A134=AT$83, 0, distance(VLOOKUP($A134,Cuision!$G:$P,9,FALSE),VLOOKUP($A134,Cuision!$G:$P,10,FALSE),VLOOKUP(AT$83,Cuision!$G:$P,9,FALSE),VLOOKUP(AT$83,Cuision!$G:$P,10,FALSE)))</f>
        <v>3306.3179061072674</v>
      </c>
      <c r="AU134" s="33">
        <f>IF($A134=AU$83, 0, distance(VLOOKUP($A134,Cuision!$G:$P,9,FALSE),VLOOKUP($A134,Cuision!$G:$P,10,FALSE),VLOOKUP(AU$83,Cuision!$G:$P,9,FALSE),VLOOKUP(AU$83,Cuision!$G:$P,10,FALSE)))</f>
        <v>2867.1754297032498</v>
      </c>
      <c r="AV134" s="33">
        <f>IF($A134=AV$83, 0, distance(VLOOKUP($A134,Cuision!$G:$P,9,FALSE),VLOOKUP($A134,Cuision!$G:$P,10,FALSE),VLOOKUP(AV$83,Cuision!$G:$P,9,FALSE),VLOOKUP(AV$83,Cuision!$G:$P,10,FALSE)))</f>
        <v>4963.6190012408551</v>
      </c>
      <c r="AW134" s="33">
        <f>IF($A134=AW$83, 0, distance(VLOOKUP($A134,Cuision!$G:$P,9,FALSE),VLOOKUP($A134,Cuision!$G:$P,10,FALSE),VLOOKUP(AW$83,Cuision!$G:$P,9,FALSE),VLOOKUP(AW$83,Cuision!$G:$P,10,FALSE)))</f>
        <v>1026.4557668238194</v>
      </c>
      <c r="AX134" s="33">
        <f>IF($A134=AX$83, 0, distance(VLOOKUP($A134,Cuision!$G:$P,9,FALSE),VLOOKUP($A134,Cuision!$G:$P,10,FALSE),VLOOKUP(AX$83,Cuision!$G:$P,9,FALSE),VLOOKUP(AX$83,Cuision!$G:$P,10,FALSE)))</f>
        <v>11261.995433842638</v>
      </c>
      <c r="AY134" s="33">
        <f>IF($A134=AY$83, 0, distance(VLOOKUP($A134,Cuision!$G:$P,9,FALSE),VLOOKUP($A134,Cuision!$G:$P,10,FALSE),VLOOKUP(AY$83,Cuision!$G:$P,9,FALSE),VLOOKUP(AY$83,Cuision!$G:$P,10,FALSE)))</f>
        <v>-1</v>
      </c>
      <c r="AZ134" s="33">
        <f>IF($A134=AZ$83, 0, distance(VLOOKUP($A134,Cuision!$G:$P,9,FALSE),VLOOKUP($A134,Cuision!$G:$P,10,FALSE),VLOOKUP(AZ$83,Cuision!$G:$P,9,FALSE),VLOOKUP(AZ$83,Cuision!$G:$P,10,FALSE)))</f>
        <v>0</v>
      </c>
      <c r="BA134" s="33">
        <f>IF($A134=BA$83, 0, distance(VLOOKUP($A134,Cuision!$G:$P,9,FALSE),VLOOKUP($A134,Cuision!$G:$P,10,FALSE),VLOOKUP(BA$83,Cuision!$G:$P,9,FALSE),VLOOKUP(BA$83,Cuision!$G:$P,10,FALSE)))</f>
        <v>5733.4049659490765</v>
      </c>
      <c r="BB134" s="33">
        <f>IF($A134=BB$83, 0, distance(VLOOKUP($A134,Cuision!$G:$P,9,FALSE),VLOOKUP($A134,Cuision!$G:$P,10,FALSE),VLOOKUP(BB$83,Cuision!$G:$P,9,FALSE),VLOOKUP(BB$83,Cuision!$G:$P,10,FALSE)))</f>
        <v>10331.257722176491</v>
      </c>
      <c r="BC134" s="33">
        <f>IF($A134=BC$83, 0, distance(VLOOKUP($A134,Cuision!$G:$P,9,FALSE),VLOOKUP($A134,Cuision!$G:$P,10,FALSE),VLOOKUP(BC$83,Cuision!$G:$P,9,FALSE),VLOOKUP(BC$83,Cuision!$G:$P,10,FALSE)))</f>
        <v>4265.6135520296511</v>
      </c>
      <c r="BD134" s="33">
        <f>IF($A134=BD$83, 0, distance(VLOOKUP($A134,Cuision!$G:$P,9,FALSE),VLOOKUP($A134,Cuision!$G:$P,10,FALSE),VLOOKUP(BD$83,Cuision!$G:$P,9,FALSE),VLOOKUP(BD$83,Cuision!$G:$P,10,FALSE)))</f>
        <v>3108.5525827913075</v>
      </c>
      <c r="BE134" s="33">
        <f>IF($A134=BE$83, 0, distance(VLOOKUP($A134,Cuision!$G:$P,9,FALSE),VLOOKUP($A134,Cuision!$G:$P,10,FALSE),VLOOKUP(BE$83,Cuision!$G:$P,9,FALSE),VLOOKUP(BE$83,Cuision!$G:$P,10,FALSE)))</f>
        <v>7146.0200239087426</v>
      </c>
      <c r="BF134" s="33">
        <f>IF($A134=BF$83, 0, distance(VLOOKUP($A134,Cuision!$G:$P,9,FALSE),VLOOKUP($A134,Cuision!$G:$P,10,FALSE),VLOOKUP(BF$83,Cuision!$G:$P,9,FALSE),VLOOKUP(BF$83,Cuision!$G:$P,10,FALSE)))</f>
        <v>2805.269433293111</v>
      </c>
      <c r="BG134" s="33">
        <f>IF($A134=BG$83, 0, distance(VLOOKUP($A134,Cuision!$G:$P,9,FALSE),VLOOKUP($A134,Cuision!$G:$P,10,FALSE),VLOOKUP(BG$83,Cuision!$G:$P,9,FALSE),VLOOKUP(BG$83,Cuision!$G:$P,10,FALSE)))</f>
        <v>3911.3421561440064</v>
      </c>
      <c r="BH134" s="33">
        <f>IF($A134=BH$83, 0, distance(VLOOKUP($A134,Cuision!$G:$P,9,FALSE),VLOOKUP($A134,Cuision!$G:$P,10,FALSE),VLOOKUP(BH$83,Cuision!$G:$P,9,FALSE),VLOOKUP(BH$83,Cuision!$G:$P,10,FALSE)))</f>
        <v>11815.095101409905</v>
      </c>
      <c r="BI134" s="33">
        <f>IF($A134=BI$83, 0, distance(VLOOKUP($A134,Cuision!$G:$P,9,FALSE),VLOOKUP($A134,Cuision!$G:$P,10,FALSE),VLOOKUP(BI$83,Cuision!$G:$P,9,FALSE),VLOOKUP(BI$83,Cuision!$G:$P,10,FALSE)))</f>
        <v>5652.7081731207763</v>
      </c>
      <c r="BJ134" s="33">
        <f>IF($A134=BJ$83, 0, distance(VLOOKUP($A134,Cuision!$G:$P,9,FALSE),VLOOKUP($A134,Cuision!$G:$P,10,FALSE),VLOOKUP(BJ$83,Cuision!$G:$P,9,FALSE),VLOOKUP(BJ$83,Cuision!$G:$P,10,FALSE)))</f>
        <v>7188.2648106325823</v>
      </c>
      <c r="BK134" s="33">
        <f>IF($A134=BK$83, 0, distance(VLOOKUP($A134,Cuision!$G:$P,9,FALSE),VLOOKUP($A134,Cuision!$G:$P,10,FALSE),VLOOKUP(BK$83,Cuision!$G:$P,9,FALSE),VLOOKUP(BK$83,Cuision!$G:$P,10,FALSE)))</f>
        <v>5049.2179627603173</v>
      </c>
      <c r="BL134" s="33">
        <f>IF($A134=BL$83, 0, distance(VLOOKUP($A134,Cuision!$G:$P,9,FALSE),VLOOKUP($A134,Cuision!$G:$P,10,FALSE),VLOOKUP(BL$83,Cuision!$G:$P,9,FALSE),VLOOKUP(BL$83,Cuision!$G:$P,10,FALSE)))</f>
        <v>-1</v>
      </c>
      <c r="BM134" s="33">
        <f>IF($A134=BM$83, 0, distance(VLOOKUP($A134,Cuision!$G:$P,9,FALSE),VLOOKUP($A134,Cuision!$G:$P,10,FALSE),VLOOKUP(BM$83,Cuision!$G:$P,9,FALSE),VLOOKUP(BM$83,Cuision!$G:$P,10,FALSE)))</f>
        <v>-1</v>
      </c>
      <c r="BN134" s="33">
        <f>IF($A134=BN$83, 0, distance(VLOOKUP($A134,Cuision!$G:$P,9,FALSE),VLOOKUP($A134,Cuision!$G:$P,10,FALSE),VLOOKUP(BN$83,Cuision!$G:$P,9,FALSE),VLOOKUP(BN$83,Cuision!$G:$P,10,FALSE)))</f>
        <v>6552.6845975258957</v>
      </c>
      <c r="BO134" s="33">
        <f>IF($A134=BO$83, 0, distance(VLOOKUP($A134,Cuision!$G:$P,9,FALSE),VLOOKUP($A134,Cuision!$G:$P,10,FALSE),VLOOKUP(BO$83,Cuision!$G:$P,9,FALSE),VLOOKUP(BO$83,Cuision!$G:$P,10,FALSE)))</f>
        <v>196.39946884814901</v>
      </c>
      <c r="BP134" s="33">
        <f>IF($A134=BP$83, 0, distance(VLOOKUP($A134,Cuision!$G:$P,9,FALSE),VLOOKUP($A134,Cuision!$G:$P,10,FALSE),VLOOKUP(BP$83,Cuision!$G:$P,9,FALSE),VLOOKUP(BP$83,Cuision!$G:$P,10,FALSE)))</f>
        <v>5806.7502433708123</v>
      </c>
      <c r="BQ134" s="33">
        <f>IF($A134=BQ$83, 0, distance(VLOOKUP($A134,Cuision!$G:$P,9,FALSE),VLOOKUP($A134,Cuision!$G:$P,10,FALSE),VLOOKUP(BQ$83,Cuision!$G:$P,9,FALSE),VLOOKUP(BQ$83,Cuision!$G:$P,10,FALSE)))</f>
        <v>-1</v>
      </c>
      <c r="BR134" s="33">
        <f>IF($A134=BR$83, 0, distance(VLOOKUP($A134,Cuision!$G:$P,9,FALSE),VLOOKUP($A134,Cuision!$G:$P,10,FALSE),VLOOKUP(BR$83,Cuision!$G:$P,9,FALSE),VLOOKUP(BR$83,Cuision!$G:$P,10,FALSE)))</f>
        <v>9530.5281664634804</v>
      </c>
      <c r="BS134" s="33">
        <f>IF($A134=BS$83, 0, distance(VLOOKUP($A134,Cuision!$G:$P,9,FALSE),VLOOKUP($A134,Cuision!$G:$P,10,FALSE),VLOOKUP(BS$83,Cuision!$G:$P,9,FALSE),VLOOKUP(BS$83,Cuision!$G:$P,10,FALSE)))</f>
        <v>2702.0786792225776</v>
      </c>
      <c r="BT134" s="33">
        <f>IF($A134=BT$83, 0, distance(VLOOKUP($A134,Cuision!$G:$P,9,FALSE),VLOOKUP($A134,Cuision!$G:$P,10,FALSE),VLOOKUP(BT$83,Cuision!$G:$P,9,FALSE),VLOOKUP(BT$83,Cuision!$G:$P,10,FALSE)))</f>
        <v>6879.1758972891921</v>
      </c>
      <c r="BU134" s="33">
        <f>IF($A134=BU$83, 0, distance(VLOOKUP($A134,Cuision!$G:$P,9,FALSE),VLOOKUP($A134,Cuision!$G:$P,10,FALSE),VLOOKUP(BU$83,Cuision!$G:$P,9,FALSE),VLOOKUP(BU$83,Cuision!$G:$P,10,FALSE)))</f>
        <v>737.52865462999432</v>
      </c>
      <c r="BV134" s="33">
        <f>IF($A134=BV$83, 0, distance(VLOOKUP($A134,Cuision!$G:$P,9,FALSE),VLOOKUP($A134,Cuision!$G:$P,10,FALSE),VLOOKUP(BV$83,Cuision!$G:$P,9,FALSE),VLOOKUP(BV$83,Cuision!$G:$P,10,FALSE)))</f>
        <v>4963.805108302804</v>
      </c>
      <c r="BW134" s="33">
        <f>IF($A134=BW$83, 0, distance(VLOOKUP($A134,Cuision!$G:$P,9,FALSE),VLOOKUP($A134,Cuision!$G:$P,10,FALSE),VLOOKUP(BW$83,Cuision!$G:$P,9,FALSE),VLOOKUP(BW$83,Cuision!$G:$P,10,FALSE)))</f>
        <v>5228.2861960359032</v>
      </c>
      <c r="BX134" s="33">
        <f>IF($A134=BX$83, 0, distance(VLOOKUP($A134,Cuision!$G:$P,9,FALSE),VLOOKUP($A134,Cuision!$G:$P,10,FALSE),VLOOKUP(BX$83,Cuision!$G:$P,9,FALSE),VLOOKUP(BX$83,Cuision!$G:$P,10,FALSE)))</f>
        <v>3314.9865900366262</v>
      </c>
      <c r="BY134" s="33">
        <f>IF($A134=BY$83, 0, distance(VLOOKUP($A134,Cuision!$G:$P,9,FALSE),VLOOKUP($A134,Cuision!$G:$P,10,FALSE),VLOOKUP(BY$83,Cuision!$G:$P,9,FALSE),VLOOKUP(BY$83,Cuision!$G:$P,10,FALSE)))</f>
        <v>-1</v>
      </c>
      <c r="BZ134" s="33">
        <f>IF($A134=BZ$83, 0, distance(VLOOKUP($A134,Cuision!$G:$P,9,FALSE),VLOOKUP($A134,Cuision!$G:$P,10,FALSE),VLOOKUP(BZ$83,Cuision!$G:$P,9,FALSE),VLOOKUP(BZ$83,Cuision!$G:$P,10,FALSE)))</f>
        <v>-1</v>
      </c>
      <c r="CA134" s="33">
        <f>IF($A134=CA$83, 0, distance(VLOOKUP($A134,Cuision!$G:$P,9,FALSE),VLOOKUP($A134,Cuision!$G:$P,10,FALSE),VLOOKUP(CA$83,Cuision!$G:$P,9,FALSE),VLOOKUP(CA$83,Cuision!$G:$P,10,FALSE)))</f>
        <v>1266.4592720236628</v>
      </c>
    </row>
    <row r="135" spans="1:79" ht="14.25" x14ac:dyDescent="0.2">
      <c r="A135" s="30" t="s">
        <v>105</v>
      </c>
      <c r="B135" s="33">
        <f>IF($A135=B$83, 0, distance(VLOOKUP($A135,Cuision!$G:$P,9,FALSE),VLOOKUP($A135,Cuision!$G:$P,10,FALSE),VLOOKUP(B$83,Cuision!$G:$P,9,FALSE),VLOOKUP(B$83,Cuision!$G:$P,10,FALSE)))</f>
        <v>2876.70890187334</v>
      </c>
      <c r="C135" s="33">
        <f>IF($A135=C$83, 0, distance(VLOOKUP($A135,Cuision!$G:$P,9,FALSE),VLOOKUP($A135,Cuision!$G:$P,10,FALSE),VLOOKUP(C$83,Cuision!$G:$P,9,FALSE),VLOOKUP(C$83,Cuision!$G:$P,10,FALSE)))</f>
        <v>3181.8790815348866</v>
      </c>
      <c r="D135" s="33">
        <f>IF($A135=D$83, 0, distance(VLOOKUP($A135,Cuision!$G:$P,9,FALSE),VLOOKUP($A135,Cuision!$G:$P,10,FALSE),VLOOKUP(D$83,Cuision!$G:$P,9,FALSE),VLOOKUP(D$83,Cuision!$G:$P,10,FALSE)))</f>
        <v>5014.7853128433189</v>
      </c>
      <c r="E135" s="33">
        <f>IF($A135=E$83, 0, distance(VLOOKUP($A135,Cuision!$G:$P,9,FALSE),VLOOKUP($A135,Cuision!$G:$P,10,FALSE),VLOOKUP(E$83,Cuision!$G:$P,9,FALSE),VLOOKUP(E$83,Cuision!$G:$P,10,FALSE)))</f>
        <v>5014.7853128433189</v>
      </c>
      <c r="F135" s="33">
        <f>IF($A135=F$83, 0, distance(VLOOKUP($A135,Cuision!$G:$P,9,FALSE),VLOOKUP($A135,Cuision!$G:$P,10,FALSE),VLOOKUP(F$83,Cuision!$G:$P,9,FALSE),VLOOKUP(F$83,Cuision!$G:$P,10,FALSE)))</f>
        <v>1477.9165770989318</v>
      </c>
      <c r="G135" s="33">
        <f>IF($A135=G$83, 0, distance(VLOOKUP($A135,Cuision!$G:$P,9,FALSE),VLOOKUP($A135,Cuision!$G:$P,10,FALSE),VLOOKUP(G$83,Cuision!$G:$P,9,FALSE),VLOOKUP(G$83,Cuision!$G:$P,10,FALSE)))</f>
        <v>6866.5414955052211</v>
      </c>
      <c r="H135" s="33">
        <f>IF($A135=H$83, 0, distance(VLOOKUP($A135,Cuision!$G:$P,9,FALSE),VLOOKUP($A135,Cuision!$G:$P,10,FALSE),VLOOKUP(H$83,Cuision!$G:$P,9,FALSE),VLOOKUP(H$83,Cuision!$G:$P,10,FALSE)))</f>
        <v>1497.9387111948806</v>
      </c>
      <c r="I135" s="33">
        <f>IF($A135=I$83, 0, distance(VLOOKUP($A135,Cuision!$G:$P,9,FALSE),VLOOKUP($A135,Cuision!$G:$P,10,FALSE),VLOOKUP(I$83,Cuision!$G:$P,9,FALSE),VLOOKUP(I$83,Cuision!$G:$P,10,FALSE)))</f>
        <v>4564.1011950466163</v>
      </c>
      <c r="J135" s="33">
        <f>IF($A135=J$83, 0, distance(VLOOKUP($A135,Cuision!$G:$P,9,FALSE),VLOOKUP($A135,Cuision!$G:$P,10,FALSE),VLOOKUP(J$83,Cuision!$G:$P,9,FALSE),VLOOKUP(J$83,Cuision!$G:$P,10,FALSE)))</f>
        <v>9693.3344953452961</v>
      </c>
      <c r="K135" s="33">
        <f>IF($A135=K$83, 0, distance(VLOOKUP($A135,Cuision!$G:$P,9,FALSE),VLOOKUP($A135,Cuision!$G:$P,10,FALSE),VLOOKUP(K$83,Cuision!$G:$P,9,FALSE),VLOOKUP(K$83,Cuision!$G:$P,10,FALSE)))</f>
        <v>947.49130544172954</v>
      </c>
      <c r="L135" s="33">
        <f>IF($A135=L$83, 0, distance(VLOOKUP($A135,Cuision!$G:$P,9,FALSE),VLOOKUP($A135,Cuision!$G:$P,10,FALSE),VLOOKUP(L$83,Cuision!$G:$P,9,FALSE),VLOOKUP(L$83,Cuision!$G:$P,10,FALSE)))</f>
        <v>4341.281071821817</v>
      </c>
      <c r="M135" s="33">
        <f>IF($A135=M$83, 0, distance(VLOOKUP($A135,Cuision!$G:$P,9,FALSE),VLOOKUP($A135,Cuision!$G:$P,10,FALSE),VLOOKUP(M$83,Cuision!$G:$P,9,FALSE),VLOOKUP(M$83,Cuision!$G:$P,10,FALSE)))</f>
        <v>-1</v>
      </c>
      <c r="N135" s="33">
        <f>IF($A135=N$83, 0, distance(VLOOKUP($A135,Cuision!$G:$P,9,FALSE),VLOOKUP($A135,Cuision!$G:$P,10,FALSE),VLOOKUP(N$83,Cuision!$G:$P,9,FALSE),VLOOKUP(N$83,Cuision!$G:$P,10,FALSE)))</f>
        <v>1255.4025489877538</v>
      </c>
      <c r="O135" s="33">
        <f>IF($A135=O$83, 0, distance(VLOOKUP($A135,Cuision!$G:$P,9,FALSE),VLOOKUP($A135,Cuision!$G:$P,10,FALSE),VLOOKUP(O$83,Cuision!$G:$P,9,FALSE),VLOOKUP(O$83,Cuision!$G:$P,10,FALSE)))</f>
        <v>1318.6264581815622</v>
      </c>
      <c r="P135" s="33">
        <f>IF($A135=P$83, 0, distance(VLOOKUP($A135,Cuision!$G:$P,9,FALSE),VLOOKUP($A135,Cuision!$G:$P,10,FALSE),VLOOKUP(P$83,Cuision!$G:$P,9,FALSE),VLOOKUP(P$83,Cuision!$G:$P,10,FALSE)))</f>
        <v>5548.2740641013424</v>
      </c>
      <c r="Q135" s="33">
        <f>IF($A135=Q$83, 0, distance(VLOOKUP($A135,Cuision!$G:$P,9,FALSE),VLOOKUP($A135,Cuision!$G:$P,10,FALSE),VLOOKUP(Q$83,Cuision!$G:$P,9,FALSE),VLOOKUP(Q$83,Cuision!$G:$P,10,FALSE)))</f>
        <v>-1</v>
      </c>
      <c r="R135" s="33">
        <f>IF($A135=R$83, 0, distance(VLOOKUP($A135,Cuision!$G:$P,9,FALSE),VLOOKUP($A135,Cuision!$G:$P,10,FALSE),VLOOKUP(R$83,Cuision!$G:$P,9,FALSE),VLOOKUP(R$83,Cuision!$G:$P,10,FALSE)))</f>
        <v>1479.7592745115071</v>
      </c>
      <c r="S135" s="33">
        <f>IF($A135=S$83, 0, distance(VLOOKUP($A135,Cuision!$G:$P,9,FALSE),VLOOKUP($A135,Cuision!$G:$P,10,FALSE),VLOOKUP(S$83,Cuision!$G:$P,9,FALSE),VLOOKUP(S$83,Cuision!$G:$P,10,FALSE)))</f>
        <v>-1</v>
      </c>
      <c r="T135" s="33">
        <f>IF($A135=T$83, 0, distance(VLOOKUP($A135,Cuision!$G:$P,9,FALSE),VLOOKUP($A135,Cuision!$G:$P,10,FALSE),VLOOKUP(T$83,Cuision!$G:$P,9,FALSE),VLOOKUP(T$83,Cuision!$G:$P,10,FALSE)))</f>
        <v>4795.2989727343665</v>
      </c>
      <c r="U135" s="33">
        <f>IF($A135=U$83, 0, distance(VLOOKUP($A135,Cuision!$G:$P,9,FALSE),VLOOKUP($A135,Cuision!$G:$P,10,FALSE),VLOOKUP(U$83,Cuision!$G:$P,9,FALSE),VLOOKUP(U$83,Cuision!$G:$P,10,FALSE)))</f>
        <v>-1</v>
      </c>
      <c r="V135" s="33">
        <f>IF($A135=V$83, 0, distance(VLOOKUP($A135,Cuision!$G:$P,9,FALSE),VLOOKUP($A135,Cuision!$G:$P,10,FALSE),VLOOKUP(V$83,Cuision!$G:$P,9,FALSE),VLOOKUP(V$83,Cuision!$G:$P,10,FALSE)))</f>
        <v>5014.7853128433189</v>
      </c>
      <c r="W135" s="33">
        <f>IF($A135=W$83, 0, distance(VLOOKUP($A135,Cuision!$G:$P,9,FALSE),VLOOKUP($A135,Cuision!$G:$P,10,FALSE),VLOOKUP(W$83,Cuision!$G:$P,9,FALSE),VLOOKUP(W$83,Cuision!$G:$P,10,FALSE)))</f>
        <v>5591.2683428253758</v>
      </c>
      <c r="X135" s="33">
        <f>IF($A135=X$83, 0, distance(VLOOKUP($A135,Cuision!$G:$P,9,FALSE),VLOOKUP($A135,Cuision!$G:$P,10,FALSE),VLOOKUP(X$83,Cuision!$G:$P,9,FALSE),VLOOKUP(X$83,Cuision!$G:$P,10,FALSE)))</f>
        <v>1255.4025489877538</v>
      </c>
      <c r="Y135" s="33">
        <f>IF($A135=Y$83, 0, distance(VLOOKUP($A135,Cuision!$G:$P,9,FALSE),VLOOKUP($A135,Cuision!$G:$P,10,FALSE),VLOOKUP(Y$83,Cuision!$G:$P,9,FALSE),VLOOKUP(Y$83,Cuision!$G:$P,10,FALSE)))</f>
        <v>5127.12299040575</v>
      </c>
      <c r="Z135" s="33">
        <f>IF($A135=Z$83, 0, distance(VLOOKUP($A135,Cuision!$G:$P,9,FALSE),VLOOKUP($A135,Cuision!$G:$P,10,FALSE),VLOOKUP(Z$83,Cuision!$G:$P,9,FALSE),VLOOKUP(Z$83,Cuision!$G:$P,10,FALSE)))</f>
        <v>-1</v>
      </c>
      <c r="AA135" s="33">
        <f>IF($A135=AA$83, 0, distance(VLOOKUP($A135,Cuision!$G:$P,9,FALSE),VLOOKUP($A135,Cuision!$G:$P,10,FALSE),VLOOKUP(AA$83,Cuision!$G:$P,9,FALSE),VLOOKUP(AA$83,Cuision!$G:$P,10,FALSE)))</f>
        <v>5878.4091422748625</v>
      </c>
      <c r="AB135" s="33">
        <f>IF($A135=AB$83, 0, distance(VLOOKUP($A135,Cuision!$G:$P,9,FALSE),VLOOKUP($A135,Cuision!$G:$P,10,FALSE),VLOOKUP(AB$83,Cuision!$G:$P,9,FALSE),VLOOKUP(AB$83,Cuision!$G:$P,10,FALSE)))</f>
        <v>1088.982978994607</v>
      </c>
      <c r="AC135" s="33">
        <f>IF($A135=AC$83, 0, distance(VLOOKUP($A135,Cuision!$G:$P,9,FALSE),VLOOKUP($A135,Cuision!$G:$P,10,FALSE),VLOOKUP(AC$83,Cuision!$G:$P,9,FALSE),VLOOKUP(AC$83,Cuision!$G:$P,10,FALSE)))</f>
        <v>2197.6426152300396</v>
      </c>
      <c r="AD135" s="33">
        <f>IF($A135=AD$83, 0, distance(VLOOKUP($A135,Cuision!$G:$P,9,FALSE),VLOOKUP($A135,Cuision!$G:$P,10,FALSE),VLOOKUP(AD$83,Cuision!$G:$P,9,FALSE),VLOOKUP(AD$83,Cuision!$G:$P,10,FALSE)))</f>
        <v>6358.2591531773187</v>
      </c>
      <c r="AE135" s="33">
        <f>IF($A135=AE$83, 0, distance(VLOOKUP($A135,Cuision!$G:$P,9,FALSE),VLOOKUP($A135,Cuision!$G:$P,10,FALSE),VLOOKUP(AE$83,Cuision!$G:$P,9,FALSE),VLOOKUP(AE$83,Cuision!$G:$P,10,FALSE)))</f>
        <v>1931.6562394332145</v>
      </c>
      <c r="AF135" s="33">
        <f>IF($A135=AF$83, 0, distance(VLOOKUP($A135,Cuision!$G:$P,9,FALSE),VLOOKUP($A135,Cuision!$G:$P,10,FALSE),VLOOKUP(AF$83,Cuision!$G:$P,9,FALSE),VLOOKUP(AF$83,Cuision!$G:$P,10,FALSE)))</f>
        <v>1272.0225443803229</v>
      </c>
      <c r="AG135" s="33">
        <f>IF($A135=AG$83, 0, distance(VLOOKUP($A135,Cuision!$G:$P,9,FALSE),VLOOKUP($A135,Cuision!$G:$P,10,FALSE),VLOOKUP(AG$83,Cuision!$G:$P,9,FALSE),VLOOKUP(AG$83,Cuision!$G:$P,10,FALSE)))</f>
        <v>1262.2207315109704</v>
      </c>
      <c r="AH135" s="33">
        <f>IF($A135=AH$83, 0, distance(VLOOKUP($A135,Cuision!$G:$P,9,FALSE),VLOOKUP($A135,Cuision!$G:$P,10,FALSE),VLOOKUP(AH$83,Cuision!$G:$P,9,FALSE),VLOOKUP(AH$83,Cuision!$G:$P,10,FALSE)))</f>
        <v>-1</v>
      </c>
      <c r="AI135" s="33">
        <f>IF($A135=AI$83, 0, distance(VLOOKUP($A135,Cuision!$G:$P,9,FALSE),VLOOKUP($A135,Cuision!$G:$P,10,FALSE),VLOOKUP(AI$83,Cuision!$G:$P,9,FALSE),VLOOKUP(AI$83,Cuision!$G:$P,10,FALSE)))</f>
        <v>394.69137708246035</v>
      </c>
      <c r="AJ135" s="33">
        <f>IF($A135=AJ$83, 0, distance(VLOOKUP($A135,Cuision!$G:$P,9,FALSE),VLOOKUP($A135,Cuision!$G:$P,10,FALSE),VLOOKUP(AJ$83,Cuision!$G:$P,9,FALSE),VLOOKUP(AJ$83,Cuision!$G:$P,10,FALSE)))</f>
        <v>1477.9165770989318</v>
      </c>
      <c r="AK135" s="33">
        <f>IF($A135=AK$83, 0, distance(VLOOKUP($A135,Cuision!$G:$P,9,FALSE),VLOOKUP($A135,Cuision!$G:$P,10,FALSE),VLOOKUP(AK$83,Cuision!$G:$P,9,FALSE),VLOOKUP(AK$83,Cuision!$G:$P,10,FALSE)))</f>
        <v>8651.0480981809051</v>
      </c>
      <c r="AL135" s="33">
        <f>IF($A135=AL$83, 0, distance(VLOOKUP($A135,Cuision!$G:$P,9,FALSE),VLOOKUP($A135,Cuision!$G:$P,10,FALSE),VLOOKUP(AL$83,Cuision!$G:$P,9,FALSE),VLOOKUP(AL$83,Cuision!$G:$P,10,FALSE)))</f>
        <v>3934.6305327633045</v>
      </c>
      <c r="AM135" s="33">
        <f>IF($A135=AM$83, 0, distance(VLOOKUP($A135,Cuision!$G:$P,9,FALSE),VLOOKUP($A135,Cuision!$G:$P,10,FALSE),VLOOKUP(AM$83,Cuision!$G:$P,9,FALSE),VLOOKUP(AM$83,Cuision!$G:$P,10,FALSE)))</f>
        <v>-1</v>
      </c>
      <c r="AN135" s="33">
        <f>IF($A135=AN$83, 0, distance(VLOOKUP($A135,Cuision!$G:$P,9,FALSE),VLOOKUP($A135,Cuision!$G:$P,10,FALSE),VLOOKUP(AN$83,Cuision!$G:$P,9,FALSE),VLOOKUP(AN$83,Cuision!$G:$P,10,FALSE)))</f>
        <v>895.97161176129418</v>
      </c>
      <c r="AO135" s="33">
        <f>IF($A135=AO$83, 0, distance(VLOOKUP($A135,Cuision!$G:$P,9,FALSE),VLOOKUP($A135,Cuision!$G:$P,10,FALSE),VLOOKUP(AO$83,Cuision!$G:$P,9,FALSE),VLOOKUP(AO$83,Cuision!$G:$P,10,FALSE)))</f>
        <v>1255.4025489877538</v>
      </c>
      <c r="AP135" s="33">
        <f>IF($A135=AP$83, 0, distance(VLOOKUP($A135,Cuision!$G:$P,9,FALSE),VLOOKUP($A135,Cuision!$G:$P,10,FALSE),VLOOKUP(AP$83,Cuision!$G:$P,9,FALSE),VLOOKUP(AP$83,Cuision!$G:$P,10,FALSE)))</f>
        <v>3457.1650064051319</v>
      </c>
      <c r="AQ135" s="33">
        <f>IF($A135=AQ$83, 0, distance(VLOOKUP($A135,Cuision!$G:$P,9,FALSE),VLOOKUP($A135,Cuision!$G:$P,10,FALSE),VLOOKUP(AQ$83,Cuision!$G:$P,9,FALSE),VLOOKUP(AQ$83,Cuision!$G:$P,10,FALSE)))</f>
        <v>6393.2597821384134</v>
      </c>
      <c r="AR135" s="33">
        <f>IF($A135=AR$83, 0, distance(VLOOKUP($A135,Cuision!$G:$P,9,FALSE),VLOOKUP($A135,Cuision!$G:$P,10,FALSE),VLOOKUP(AR$83,Cuision!$G:$P,9,FALSE),VLOOKUP(AR$83,Cuision!$G:$P,10,FALSE)))</f>
        <v>1479.7592745115071</v>
      </c>
      <c r="AS135" s="33">
        <f>IF($A135=AS$83, 0, distance(VLOOKUP($A135,Cuision!$G:$P,9,FALSE),VLOOKUP($A135,Cuision!$G:$P,10,FALSE),VLOOKUP(AS$83,Cuision!$G:$P,9,FALSE),VLOOKUP(AS$83,Cuision!$G:$P,10,FALSE)))</f>
        <v>589.83645057786612</v>
      </c>
      <c r="AT135" s="33">
        <f>IF($A135=AT$83, 0, distance(VLOOKUP($A135,Cuision!$G:$P,9,FALSE),VLOOKUP($A135,Cuision!$G:$P,10,FALSE),VLOOKUP(AT$83,Cuision!$G:$P,9,FALSE),VLOOKUP(AT$83,Cuision!$G:$P,10,FALSE)))</f>
        <v>6297.408870987023</v>
      </c>
      <c r="AU135" s="33">
        <f>IF($A135=AU$83, 0, distance(VLOOKUP($A135,Cuision!$G:$P,9,FALSE),VLOOKUP($A135,Cuision!$G:$P,10,FALSE),VLOOKUP(AU$83,Cuision!$G:$P,9,FALSE),VLOOKUP(AU$83,Cuision!$G:$P,10,FALSE)))</f>
        <v>5685.9523077903923</v>
      </c>
      <c r="AV135" s="33">
        <f>IF($A135=AV$83, 0, distance(VLOOKUP($A135,Cuision!$G:$P,9,FALSE),VLOOKUP($A135,Cuision!$G:$P,10,FALSE),VLOOKUP(AV$83,Cuision!$G:$P,9,FALSE),VLOOKUP(AV$83,Cuision!$G:$P,10,FALSE)))</f>
        <v>778.41124851718416</v>
      </c>
      <c r="AW135" s="33">
        <f>IF($A135=AW$83, 0, distance(VLOOKUP($A135,Cuision!$G:$P,9,FALSE),VLOOKUP($A135,Cuision!$G:$P,10,FALSE),VLOOKUP(AW$83,Cuision!$G:$P,9,FALSE),VLOOKUP(AW$83,Cuision!$G:$P,10,FALSE)))</f>
        <v>5220.4527860704429</v>
      </c>
      <c r="AX135" s="33">
        <f>IF($A135=AX$83, 0, distance(VLOOKUP($A135,Cuision!$G:$P,9,FALSE),VLOOKUP($A135,Cuision!$G:$P,10,FALSE),VLOOKUP(AX$83,Cuision!$G:$P,9,FALSE),VLOOKUP(AX$83,Cuision!$G:$P,10,FALSE)))</f>
        <v>5791.8346990046157</v>
      </c>
      <c r="AY135" s="33">
        <f>IF($A135=AY$83, 0, distance(VLOOKUP($A135,Cuision!$G:$P,9,FALSE),VLOOKUP($A135,Cuision!$G:$P,10,FALSE),VLOOKUP(AY$83,Cuision!$G:$P,9,FALSE),VLOOKUP(AY$83,Cuision!$G:$P,10,FALSE)))</f>
        <v>-1</v>
      </c>
      <c r="AZ135" s="33">
        <f>IF($A135=AZ$83, 0, distance(VLOOKUP($A135,Cuision!$G:$P,9,FALSE),VLOOKUP($A135,Cuision!$G:$P,10,FALSE),VLOOKUP(AZ$83,Cuision!$G:$P,9,FALSE),VLOOKUP(AZ$83,Cuision!$G:$P,10,FALSE)))</f>
        <v>5733.4049659490765</v>
      </c>
      <c r="BA135" s="33">
        <f>IF($A135=BA$83, 0, distance(VLOOKUP($A135,Cuision!$G:$P,9,FALSE),VLOOKUP($A135,Cuision!$G:$P,10,FALSE),VLOOKUP(BA$83,Cuision!$G:$P,9,FALSE),VLOOKUP(BA$83,Cuision!$G:$P,10,FALSE)))</f>
        <v>0</v>
      </c>
      <c r="BB135" s="33">
        <f>IF($A135=BB$83, 0, distance(VLOOKUP($A135,Cuision!$G:$P,9,FALSE),VLOOKUP($A135,Cuision!$G:$P,10,FALSE),VLOOKUP(BB$83,Cuision!$G:$P,9,FALSE),VLOOKUP(BB$83,Cuision!$G:$P,10,FALSE)))</f>
        <v>6878.6341470019461</v>
      </c>
      <c r="BC135" s="33">
        <f>IF($A135=BC$83, 0, distance(VLOOKUP($A135,Cuision!$G:$P,9,FALSE),VLOOKUP($A135,Cuision!$G:$P,10,FALSE),VLOOKUP(BC$83,Cuision!$G:$P,9,FALSE),VLOOKUP(BC$83,Cuision!$G:$P,10,FALSE)))</f>
        <v>1477.9165770989318</v>
      </c>
      <c r="BD135" s="33">
        <f>IF($A135=BD$83, 0, distance(VLOOKUP($A135,Cuision!$G:$P,9,FALSE),VLOOKUP($A135,Cuision!$G:$P,10,FALSE),VLOOKUP(BD$83,Cuision!$G:$P,9,FALSE),VLOOKUP(BD$83,Cuision!$G:$P,10,FALSE)))</f>
        <v>4449.1307310963839</v>
      </c>
      <c r="BE135" s="33">
        <f>IF($A135=BE$83, 0, distance(VLOOKUP($A135,Cuision!$G:$P,9,FALSE),VLOOKUP($A135,Cuision!$G:$P,10,FALSE),VLOOKUP(BE$83,Cuision!$G:$P,9,FALSE),VLOOKUP(BE$83,Cuision!$G:$P,10,FALSE)))</f>
        <v>1417.1285413016483</v>
      </c>
      <c r="BF135" s="33">
        <f>IF($A135=BF$83, 0, distance(VLOOKUP($A135,Cuision!$G:$P,9,FALSE),VLOOKUP($A135,Cuision!$G:$P,10,FALSE),VLOOKUP(BF$83,Cuision!$G:$P,9,FALSE),VLOOKUP(BF$83,Cuision!$G:$P,10,FALSE)))</f>
        <v>3104.8521646371491</v>
      </c>
      <c r="BG135" s="33">
        <f>IF($A135=BG$83, 0, distance(VLOOKUP($A135,Cuision!$G:$P,9,FALSE),VLOOKUP($A135,Cuision!$G:$P,10,FALSE),VLOOKUP(BG$83,Cuision!$G:$P,9,FALSE),VLOOKUP(BG$83,Cuision!$G:$P,10,FALSE)))</f>
        <v>1878.4358407533496</v>
      </c>
      <c r="BH135" s="33">
        <f>IF($A135=BH$83, 0, distance(VLOOKUP($A135,Cuision!$G:$P,9,FALSE),VLOOKUP($A135,Cuision!$G:$P,10,FALSE),VLOOKUP(BH$83,Cuision!$G:$P,9,FALSE),VLOOKUP(BH$83,Cuision!$G:$P,10,FALSE)))</f>
        <v>6973.2294042879212</v>
      </c>
      <c r="BI135" s="33">
        <f>IF($A135=BI$83, 0, distance(VLOOKUP($A135,Cuision!$G:$P,9,FALSE),VLOOKUP($A135,Cuision!$G:$P,10,FALSE),VLOOKUP(BI$83,Cuision!$G:$P,9,FALSE),VLOOKUP(BI$83,Cuision!$G:$P,10,FALSE)))</f>
        <v>1230.0504772175584</v>
      </c>
      <c r="BJ135" s="33">
        <f>IF($A135=BJ$83, 0, distance(VLOOKUP($A135,Cuision!$G:$P,9,FALSE),VLOOKUP($A135,Cuision!$G:$P,10,FALSE),VLOOKUP(BJ$83,Cuision!$G:$P,9,FALSE),VLOOKUP(BJ$83,Cuision!$G:$P,10,FALSE)))</f>
        <v>1528.1350405712205</v>
      </c>
      <c r="BK135" s="33">
        <f>IF($A135=BK$83, 0, distance(VLOOKUP($A135,Cuision!$G:$P,9,FALSE),VLOOKUP($A135,Cuision!$G:$P,10,FALSE),VLOOKUP(BK$83,Cuision!$G:$P,9,FALSE),VLOOKUP(BK$83,Cuision!$G:$P,10,FALSE)))</f>
        <v>1734.2261659379321</v>
      </c>
      <c r="BL135" s="33">
        <f>IF($A135=BL$83, 0, distance(VLOOKUP($A135,Cuision!$G:$P,9,FALSE),VLOOKUP($A135,Cuision!$G:$P,10,FALSE),VLOOKUP(BL$83,Cuision!$G:$P,9,FALSE),VLOOKUP(BL$83,Cuision!$G:$P,10,FALSE)))</f>
        <v>-1</v>
      </c>
      <c r="BM135" s="33">
        <f>IF($A135=BM$83, 0, distance(VLOOKUP($A135,Cuision!$G:$P,9,FALSE),VLOOKUP($A135,Cuision!$G:$P,10,FALSE),VLOOKUP(BM$83,Cuision!$G:$P,9,FALSE),VLOOKUP(BM$83,Cuision!$G:$P,10,FALSE)))</f>
        <v>-1</v>
      </c>
      <c r="BN135" s="33">
        <f>IF($A135=BN$83, 0, distance(VLOOKUP($A135,Cuision!$G:$P,9,FALSE),VLOOKUP($A135,Cuision!$G:$P,10,FALSE),VLOOKUP(BN$83,Cuision!$G:$P,9,FALSE),VLOOKUP(BN$83,Cuision!$G:$P,10,FALSE)))</f>
        <v>1479.7592745115071</v>
      </c>
      <c r="BO135" s="33">
        <f>IF($A135=BO$83, 0, distance(VLOOKUP($A135,Cuision!$G:$P,9,FALSE),VLOOKUP($A135,Cuision!$G:$P,10,FALSE),VLOOKUP(BO$83,Cuision!$G:$P,9,FALSE),VLOOKUP(BO$83,Cuision!$G:$P,10,FALSE)))</f>
        <v>5928.6934221287875</v>
      </c>
      <c r="BP135" s="33">
        <f>IF($A135=BP$83, 0, distance(VLOOKUP($A135,Cuision!$G:$P,9,FALSE),VLOOKUP($A135,Cuision!$G:$P,10,FALSE),VLOOKUP(BP$83,Cuision!$G:$P,9,FALSE),VLOOKUP(BP$83,Cuision!$G:$P,10,FALSE)))</f>
        <v>940.64701651263329</v>
      </c>
      <c r="BQ135" s="33">
        <f>IF($A135=BQ$83, 0, distance(VLOOKUP($A135,Cuision!$G:$P,9,FALSE),VLOOKUP($A135,Cuision!$G:$P,10,FALSE),VLOOKUP(BQ$83,Cuision!$G:$P,9,FALSE),VLOOKUP(BQ$83,Cuision!$G:$P,10,FALSE)))</f>
        <v>-1</v>
      </c>
      <c r="BR135" s="33">
        <f>IF($A135=BR$83, 0, distance(VLOOKUP($A135,Cuision!$G:$P,9,FALSE),VLOOKUP($A135,Cuision!$G:$P,10,FALSE),VLOOKUP(BR$83,Cuision!$G:$P,9,FALSE),VLOOKUP(BR$83,Cuision!$G:$P,10,FALSE)))</f>
        <v>5014.7853128433189</v>
      </c>
      <c r="BS135" s="33">
        <f>IF($A135=BS$83, 0, distance(VLOOKUP($A135,Cuision!$G:$P,9,FALSE),VLOOKUP($A135,Cuision!$G:$P,10,FALSE),VLOOKUP(BS$83,Cuision!$G:$P,9,FALSE),VLOOKUP(BS$83,Cuision!$G:$P,10,FALSE)))</f>
        <v>5127.12299040575</v>
      </c>
      <c r="BT135" s="33">
        <f>IF($A135=BT$83, 0, distance(VLOOKUP($A135,Cuision!$G:$P,9,FALSE),VLOOKUP($A135,Cuision!$G:$P,10,FALSE),VLOOKUP(BT$83,Cuision!$G:$P,9,FALSE),VLOOKUP(BT$83,Cuision!$G:$P,10,FALSE)))</f>
        <v>1255.4025489877538</v>
      </c>
      <c r="BU135" s="33">
        <f>IF($A135=BU$83, 0, distance(VLOOKUP($A135,Cuision!$G:$P,9,FALSE),VLOOKUP($A135,Cuision!$G:$P,10,FALSE),VLOOKUP(BU$83,Cuision!$G:$P,9,FALSE),VLOOKUP(BU$83,Cuision!$G:$P,10,FALSE)))</f>
        <v>5259.1127122223379</v>
      </c>
      <c r="BV135" s="33">
        <f>IF($A135=BV$83, 0, distance(VLOOKUP($A135,Cuision!$G:$P,9,FALSE),VLOOKUP($A135,Cuision!$G:$P,10,FALSE),VLOOKUP(BV$83,Cuision!$G:$P,9,FALSE),VLOOKUP(BV$83,Cuision!$G:$P,10,FALSE)))</f>
        <v>893.15097407550434</v>
      </c>
      <c r="BW135" s="33">
        <f>IF($A135=BW$83, 0, distance(VLOOKUP($A135,Cuision!$G:$P,9,FALSE),VLOOKUP($A135,Cuision!$G:$P,10,FALSE),VLOOKUP(BW$83,Cuision!$G:$P,9,FALSE),VLOOKUP(BW$83,Cuision!$G:$P,10,FALSE)))</f>
        <v>1264.9121740248522</v>
      </c>
      <c r="BX135" s="33">
        <f>IF($A135=BX$83, 0, distance(VLOOKUP($A135,Cuision!$G:$P,9,FALSE),VLOOKUP($A135,Cuision!$G:$P,10,FALSE),VLOOKUP(BX$83,Cuision!$G:$P,9,FALSE),VLOOKUP(BX$83,Cuision!$G:$P,10,FALSE)))</f>
        <v>2787.0998431653065</v>
      </c>
      <c r="BY135" s="33">
        <f>IF($A135=BY$83, 0, distance(VLOOKUP($A135,Cuision!$G:$P,9,FALSE),VLOOKUP($A135,Cuision!$G:$P,10,FALSE),VLOOKUP(BY$83,Cuision!$G:$P,9,FALSE),VLOOKUP(BY$83,Cuision!$G:$P,10,FALSE)))</f>
        <v>-1</v>
      </c>
      <c r="BZ135" s="33">
        <f>IF($A135=BZ$83, 0, distance(VLOOKUP($A135,Cuision!$G:$P,9,FALSE),VLOOKUP($A135,Cuision!$G:$P,10,FALSE),VLOOKUP(BZ$83,Cuision!$G:$P,9,FALSE),VLOOKUP(BZ$83,Cuision!$G:$P,10,FALSE)))</f>
        <v>-1</v>
      </c>
      <c r="CA135" s="33">
        <f>IF($A135=CA$83, 0, distance(VLOOKUP($A135,Cuision!$G:$P,9,FALSE),VLOOKUP($A135,Cuision!$G:$P,10,FALSE),VLOOKUP(CA$83,Cuision!$G:$P,9,FALSE),VLOOKUP(CA$83,Cuision!$G:$P,10,FALSE)))</f>
        <v>5286.953061046197</v>
      </c>
    </row>
    <row r="136" spans="1:79" ht="14.25" x14ac:dyDescent="0.2">
      <c r="A136" s="30" t="s">
        <v>106</v>
      </c>
      <c r="B136" s="33">
        <f>IF($A136=B$83, 0, distance(VLOOKUP($A136,Cuision!$G:$P,9,FALSE),VLOOKUP($A136,Cuision!$G:$P,10,FALSE),VLOOKUP(B$83,Cuision!$G:$P,9,FALSE),VLOOKUP(B$83,Cuision!$G:$P,10,FALSE)))</f>
        <v>8629.6402749537083</v>
      </c>
      <c r="C136" s="33">
        <f>IF($A136=C$83, 0, distance(VLOOKUP($A136,Cuision!$G:$P,9,FALSE),VLOOKUP($A136,Cuision!$G:$P,10,FALSE),VLOOKUP(C$83,Cuision!$G:$P,9,FALSE),VLOOKUP(C$83,Cuision!$G:$P,10,FALSE)))</f>
        <v>9254.2571687512627</v>
      </c>
      <c r="D136" s="33">
        <f>IF($A136=D$83, 0, distance(VLOOKUP($A136,Cuision!$G:$P,9,FALSE),VLOOKUP($A136,Cuision!$G:$P,10,FALSE),VLOOKUP(D$83,Cuision!$G:$P,9,FALSE),VLOOKUP(D$83,Cuision!$G:$P,10,FALSE)))</f>
        <v>1883.3508701719099</v>
      </c>
      <c r="E136" s="33">
        <f>IF($A136=E$83, 0, distance(VLOOKUP($A136,Cuision!$G:$P,9,FALSE),VLOOKUP($A136,Cuision!$G:$P,10,FALSE),VLOOKUP(E$83,Cuision!$G:$P,9,FALSE),VLOOKUP(E$83,Cuision!$G:$P,10,FALSE)))</f>
        <v>1883.3508701719099</v>
      </c>
      <c r="F136" s="33">
        <f>IF($A136=F$83, 0, distance(VLOOKUP($A136,Cuision!$G:$P,9,FALSE),VLOOKUP($A136,Cuision!$G:$P,10,FALSE),VLOOKUP(F$83,Cuision!$G:$P,9,FALSE),VLOOKUP(F$83,Cuision!$G:$P,10,FALSE)))</f>
        <v>8211.061713138346</v>
      </c>
      <c r="G136" s="33">
        <f>IF($A136=G$83, 0, distance(VLOOKUP($A136,Cuision!$G:$P,9,FALSE),VLOOKUP($A136,Cuision!$G:$P,10,FALSE),VLOOKUP(G$83,Cuision!$G:$P,9,FALSE),VLOOKUP(G$83,Cuision!$G:$P,10,FALSE)))</f>
        <v>4593.1818336358529</v>
      </c>
      <c r="H136" s="33">
        <f>IF($A136=H$83, 0, distance(VLOOKUP($A136,Cuision!$G:$P,9,FALSE),VLOOKUP($A136,Cuision!$G:$P,10,FALSE),VLOOKUP(H$83,Cuision!$G:$P,9,FALSE),VLOOKUP(H$83,Cuision!$G:$P,10,FALSE)))</f>
        <v>7699.7258455889569</v>
      </c>
      <c r="I136" s="33">
        <f>IF($A136=I$83, 0, distance(VLOOKUP($A136,Cuision!$G:$P,9,FALSE),VLOOKUP($A136,Cuision!$G:$P,10,FALSE),VLOOKUP(I$83,Cuision!$G:$P,9,FALSE),VLOOKUP(I$83,Cuision!$G:$P,10,FALSE)))</f>
        <v>8519.4974757545224</v>
      </c>
      <c r="J136" s="33">
        <f>IF($A136=J$83, 0, distance(VLOOKUP($A136,Cuision!$G:$P,9,FALSE),VLOOKUP($A136,Cuision!$G:$P,10,FALSE),VLOOKUP(J$83,Cuision!$G:$P,9,FALSE),VLOOKUP(J$83,Cuision!$G:$P,10,FALSE)))</f>
        <v>8187.7128117667517</v>
      </c>
      <c r="K136" s="33">
        <f>IF($A136=K$83, 0, distance(VLOOKUP($A136,Cuision!$G:$P,9,FALSE),VLOOKUP($A136,Cuision!$G:$P,10,FALSE),VLOOKUP(K$83,Cuision!$G:$P,9,FALSE),VLOOKUP(K$83,Cuision!$G:$P,10,FALSE)))</f>
        <v>6307.2925838644815</v>
      </c>
      <c r="L136" s="33">
        <f>IF($A136=L$83, 0, distance(VLOOKUP($A136,Cuision!$G:$P,9,FALSE),VLOOKUP($A136,Cuision!$G:$P,10,FALSE),VLOOKUP(L$83,Cuision!$G:$P,9,FALSE),VLOOKUP(L$83,Cuision!$G:$P,10,FALSE)))</f>
        <v>9387.1553582570868</v>
      </c>
      <c r="M136" s="33">
        <f>IF($A136=M$83, 0, distance(VLOOKUP($A136,Cuision!$G:$P,9,FALSE),VLOOKUP($A136,Cuision!$G:$P,10,FALSE),VLOOKUP(M$83,Cuision!$G:$P,9,FALSE),VLOOKUP(M$83,Cuision!$G:$P,10,FALSE)))</f>
        <v>-1</v>
      </c>
      <c r="N136" s="33">
        <f>IF($A136=N$83, 0, distance(VLOOKUP($A136,Cuision!$G:$P,9,FALSE),VLOOKUP($A136,Cuision!$G:$P,10,FALSE),VLOOKUP(N$83,Cuision!$G:$P,9,FALSE),VLOOKUP(N$83,Cuision!$G:$P,10,FALSE)))</f>
        <v>5631.0767659003504</v>
      </c>
      <c r="O136" s="33">
        <f>IF($A136=O$83, 0, distance(VLOOKUP($A136,Cuision!$G:$P,9,FALSE),VLOOKUP($A136,Cuision!$G:$P,10,FALSE),VLOOKUP(O$83,Cuision!$G:$P,9,FALSE),VLOOKUP(O$83,Cuision!$G:$P,10,FALSE)))</f>
        <v>5745.1858365603048</v>
      </c>
      <c r="P136" s="33">
        <f>IF($A136=P$83, 0, distance(VLOOKUP($A136,Cuision!$G:$P,9,FALSE),VLOOKUP($A136,Cuision!$G:$P,10,FALSE),VLOOKUP(P$83,Cuision!$G:$P,9,FALSE),VLOOKUP(P$83,Cuision!$G:$P,10,FALSE)))</f>
        <v>4244.4141478026977</v>
      </c>
      <c r="Q136" s="33">
        <f>IF($A136=Q$83, 0, distance(VLOOKUP($A136,Cuision!$G:$P,9,FALSE),VLOOKUP($A136,Cuision!$G:$P,10,FALSE),VLOOKUP(Q$83,Cuision!$G:$P,9,FALSE),VLOOKUP(Q$83,Cuision!$G:$P,10,FALSE)))</f>
        <v>-1</v>
      </c>
      <c r="R136" s="33">
        <f>IF($A136=R$83, 0, distance(VLOOKUP($A136,Cuision!$G:$P,9,FALSE),VLOOKUP($A136,Cuision!$G:$P,10,FALSE),VLOOKUP(R$83,Cuision!$G:$P,9,FALSE),VLOOKUP(R$83,Cuision!$G:$P,10,FALSE)))</f>
        <v>5547.650971384187</v>
      </c>
      <c r="S136" s="33">
        <f>IF($A136=S$83, 0, distance(VLOOKUP($A136,Cuision!$G:$P,9,FALSE),VLOOKUP($A136,Cuision!$G:$P,10,FALSE),VLOOKUP(S$83,Cuision!$G:$P,9,FALSE),VLOOKUP(S$83,Cuision!$G:$P,10,FALSE)))</f>
        <v>-1</v>
      </c>
      <c r="T136" s="33">
        <f>IF($A136=T$83, 0, distance(VLOOKUP($A136,Cuision!$G:$P,9,FALSE),VLOOKUP($A136,Cuision!$G:$P,10,FALSE),VLOOKUP(T$83,Cuision!$G:$P,9,FALSE),VLOOKUP(T$83,Cuision!$G:$P,10,FALSE)))</f>
        <v>9538.715195143719</v>
      </c>
      <c r="U136" s="33">
        <f>IF($A136=U$83, 0, distance(VLOOKUP($A136,Cuision!$G:$P,9,FALSE),VLOOKUP($A136,Cuision!$G:$P,10,FALSE),VLOOKUP(U$83,Cuision!$G:$P,9,FALSE),VLOOKUP(U$83,Cuision!$G:$P,10,FALSE)))</f>
        <v>-1</v>
      </c>
      <c r="V136" s="33">
        <f>IF($A136=V$83, 0, distance(VLOOKUP($A136,Cuision!$G:$P,9,FALSE),VLOOKUP($A136,Cuision!$G:$P,10,FALSE),VLOOKUP(V$83,Cuision!$G:$P,9,FALSE),VLOOKUP(V$83,Cuision!$G:$P,10,FALSE)))</f>
        <v>1883.3508701719099</v>
      </c>
      <c r="W136" s="33">
        <f>IF($A136=W$83, 0, distance(VLOOKUP($A136,Cuision!$G:$P,9,FALSE),VLOOKUP($A136,Cuision!$G:$P,10,FALSE),VLOOKUP(W$83,Cuision!$G:$P,9,FALSE),VLOOKUP(W$83,Cuision!$G:$P,10,FALSE)))</f>
        <v>9741.0984025540074</v>
      </c>
      <c r="X136" s="33">
        <f>IF($A136=X$83, 0, distance(VLOOKUP($A136,Cuision!$G:$P,9,FALSE),VLOOKUP($A136,Cuision!$G:$P,10,FALSE),VLOOKUP(X$83,Cuision!$G:$P,9,FALSE),VLOOKUP(X$83,Cuision!$G:$P,10,FALSE)))</f>
        <v>5631.0767659003504</v>
      </c>
      <c r="Y136" s="33">
        <f>IF($A136=Y$83, 0, distance(VLOOKUP($A136,Cuision!$G:$P,9,FALSE),VLOOKUP($A136,Cuision!$G:$P,10,FALSE),VLOOKUP(Y$83,Cuision!$G:$P,9,FALSE),VLOOKUP(Y$83,Cuision!$G:$P,10,FALSE)))</f>
        <v>7740.8679962902615</v>
      </c>
      <c r="Z136" s="33">
        <f>IF($A136=Z$83, 0, distance(VLOOKUP($A136,Cuision!$G:$P,9,FALSE),VLOOKUP($A136,Cuision!$G:$P,10,FALSE),VLOOKUP(Z$83,Cuision!$G:$P,9,FALSE),VLOOKUP(Z$83,Cuision!$G:$P,10,FALSE)))</f>
        <v>-1</v>
      </c>
      <c r="AA136" s="33">
        <f>IF($A136=AA$83, 0, distance(VLOOKUP($A136,Cuision!$G:$P,9,FALSE),VLOOKUP($A136,Cuision!$G:$P,10,FALSE),VLOOKUP(AA$83,Cuision!$G:$P,9,FALSE),VLOOKUP(AA$83,Cuision!$G:$P,10,FALSE)))</f>
        <v>1107.477480884914</v>
      </c>
      <c r="AB136" s="33">
        <f>IF($A136=AB$83, 0, distance(VLOOKUP($A136,Cuision!$G:$P,9,FALSE),VLOOKUP($A136,Cuision!$G:$P,10,FALSE),VLOOKUP(AB$83,Cuision!$G:$P,9,FALSE),VLOOKUP(AB$83,Cuision!$G:$P,10,FALSE)))</f>
        <v>6164.9783412388779</v>
      </c>
      <c r="AC136" s="33">
        <f>IF($A136=AC$83, 0, distance(VLOOKUP($A136,Cuision!$G:$P,9,FALSE),VLOOKUP($A136,Cuision!$G:$P,10,FALSE),VLOOKUP(AC$83,Cuision!$G:$P,9,FALSE),VLOOKUP(AC$83,Cuision!$G:$P,10,FALSE)))</f>
        <v>8960.5980326565459</v>
      </c>
      <c r="AD136" s="33">
        <f>IF($A136=AD$83, 0, distance(VLOOKUP($A136,Cuision!$G:$P,9,FALSE),VLOOKUP($A136,Cuision!$G:$P,10,FALSE),VLOOKUP(AD$83,Cuision!$G:$P,9,FALSE),VLOOKUP(AD$83,Cuision!$G:$P,10,FALSE)))</f>
        <v>8835.7325900816868</v>
      </c>
      <c r="AE136" s="33">
        <f>IF($A136=AE$83, 0, distance(VLOOKUP($A136,Cuision!$G:$P,9,FALSE),VLOOKUP($A136,Cuision!$G:$P,10,FALSE),VLOOKUP(AE$83,Cuision!$G:$P,9,FALSE),VLOOKUP(AE$83,Cuision!$G:$P,10,FALSE)))</f>
        <v>5686.4162438873191</v>
      </c>
      <c r="AF136" s="33">
        <f>IF($A136=AF$83, 0, distance(VLOOKUP($A136,Cuision!$G:$P,9,FALSE),VLOOKUP($A136,Cuision!$G:$P,10,FALSE),VLOOKUP(AF$83,Cuision!$G:$P,9,FALSE),VLOOKUP(AF$83,Cuision!$G:$P,10,FALSE)))</f>
        <v>5714.0853377376734</v>
      </c>
      <c r="AG136" s="33">
        <f>IF($A136=AG$83, 0, distance(VLOOKUP($A136,Cuision!$G:$P,9,FALSE),VLOOKUP($A136,Cuision!$G:$P,10,FALSE),VLOOKUP(AG$83,Cuision!$G:$P,9,FALSE),VLOOKUP(AG$83,Cuision!$G:$P,10,FALSE)))</f>
        <v>6043.7950089309315</v>
      </c>
      <c r="AH136" s="33">
        <f>IF($A136=AH$83, 0, distance(VLOOKUP($A136,Cuision!$G:$P,9,FALSE),VLOOKUP($A136,Cuision!$G:$P,10,FALSE),VLOOKUP(AH$83,Cuision!$G:$P,9,FALSE),VLOOKUP(AH$83,Cuision!$G:$P,10,FALSE)))</f>
        <v>-1</v>
      </c>
      <c r="AI136" s="33">
        <f>IF($A136=AI$83, 0, distance(VLOOKUP($A136,Cuision!$G:$P,9,FALSE),VLOOKUP($A136,Cuision!$G:$P,10,FALSE),VLOOKUP(AI$83,Cuision!$G:$P,9,FALSE),VLOOKUP(AI$83,Cuision!$G:$P,10,FALSE)))</f>
        <v>7009.1472876402258</v>
      </c>
      <c r="AJ136" s="33">
        <f>IF($A136=AJ$83, 0, distance(VLOOKUP($A136,Cuision!$G:$P,9,FALSE),VLOOKUP($A136,Cuision!$G:$P,10,FALSE),VLOOKUP(AJ$83,Cuision!$G:$P,9,FALSE),VLOOKUP(AJ$83,Cuision!$G:$P,10,FALSE)))</f>
        <v>8211.061713138346</v>
      </c>
      <c r="AK136" s="33">
        <f>IF($A136=AK$83, 0, distance(VLOOKUP($A136,Cuision!$G:$P,9,FALSE),VLOOKUP($A136,Cuision!$G:$P,10,FALSE),VLOOKUP(AK$83,Cuision!$G:$P,9,FALSE),VLOOKUP(AK$83,Cuision!$G:$P,10,FALSE)))</f>
        <v>3654.6341877767054</v>
      </c>
      <c r="AL136" s="33">
        <f>IF($A136=AL$83, 0, distance(VLOOKUP($A136,Cuision!$G:$P,9,FALSE),VLOOKUP($A136,Cuision!$G:$P,10,FALSE),VLOOKUP(AL$83,Cuision!$G:$P,9,FALSE),VLOOKUP(AL$83,Cuision!$G:$P,10,FALSE)))</f>
        <v>9166.4145238558976</v>
      </c>
      <c r="AM136" s="33">
        <f>IF($A136=AM$83, 0, distance(VLOOKUP($A136,Cuision!$G:$P,9,FALSE),VLOOKUP($A136,Cuision!$G:$P,10,FALSE),VLOOKUP(AM$83,Cuision!$G:$P,9,FALSE),VLOOKUP(AM$83,Cuision!$G:$P,10,FALSE)))</f>
        <v>-1</v>
      </c>
      <c r="AN136" s="33">
        <f>IF($A136=AN$83, 0, distance(VLOOKUP($A136,Cuision!$G:$P,9,FALSE),VLOOKUP($A136,Cuision!$G:$P,10,FALSE),VLOOKUP(AN$83,Cuision!$G:$P,9,FALSE),VLOOKUP(AN$83,Cuision!$G:$P,10,FALSE)))</f>
        <v>6437.9763718358099</v>
      </c>
      <c r="AO136" s="33">
        <f>IF($A136=AO$83, 0, distance(VLOOKUP($A136,Cuision!$G:$P,9,FALSE),VLOOKUP($A136,Cuision!$G:$P,10,FALSE),VLOOKUP(AO$83,Cuision!$G:$P,9,FALSE),VLOOKUP(AO$83,Cuision!$G:$P,10,FALSE)))</f>
        <v>5631.0767659003504</v>
      </c>
      <c r="AP136" s="33">
        <f>IF($A136=AP$83, 0, distance(VLOOKUP($A136,Cuision!$G:$P,9,FALSE),VLOOKUP($A136,Cuision!$G:$P,10,FALSE),VLOOKUP(AP$83,Cuision!$G:$P,9,FALSE),VLOOKUP(AP$83,Cuision!$G:$P,10,FALSE)))</f>
        <v>9106.1195590701755</v>
      </c>
      <c r="AQ136" s="33">
        <f>IF($A136=AQ$83, 0, distance(VLOOKUP($A136,Cuision!$G:$P,9,FALSE),VLOOKUP($A136,Cuision!$G:$P,10,FALSE),VLOOKUP(AQ$83,Cuision!$G:$P,9,FALSE),VLOOKUP(AQ$83,Cuision!$G:$P,10,FALSE)))</f>
        <v>10466.664993473951</v>
      </c>
      <c r="AR136" s="33">
        <f>IF($A136=AR$83, 0, distance(VLOOKUP($A136,Cuision!$G:$P,9,FALSE),VLOOKUP($A136,Cuision!$G:$P,10,FALSE),VLOOKUP(AR$83,Cuision!$G:$P,9,FALSE),VLOOKUP(AR$83,Cuision!$G:$P,10,FALSE)))</f>
        <v>5547.650971384187</v>
      </c>
      <c r="AS136" s="33">
        <f>IF($A136=AS$83, 0, distance(VLOOKUP($A136,Cuision!$G:$P,9,FALSE),VLOOKUP($A136,Cuision!$G:$P,10,FALSE),VLOOKUP(AS$83,Cuision!$G:$P,9,FALSE),VLOOKUP(AS$83,Cuision!$G:$P,10,FALSE)))</f>
        <v>6362.36027437542</v>
      </c>
      <c r="AT136" s="33">
        <f>IF($A136=AT$83, 0, distance(VLOOKUP($A136,Cuision!$G:$P,9,FALSE),VLOOKUP($A136,Cuision!$G:$P,10,FALSE),VLOOKUP(AT$83,Cuision!$G:$P,9,FALSE),VLOOKUP(AT$83,Cuision!$G:$P,10,FALSE)))</f>
        <v>7025.1830160594045</v>
      </c>
      <c r="AU136" s="33">
        <f>IF($A136=AU$83, 0, distance(VLOOKUP($A136,Cuision!$G:$P,9,FALSE),VLOOKUP($A136,Cuision!$G:$P,10,FALSE),VLOOKUP(AU$83,Cuision!$G:$P,9,FALSE),VLOOKUP(AU$83,Cuision!$G:$P,10,FALSE)))</f>
        <v>7488.202184162943</v>
      </c>
      <c r="AV136" s="33">
        <f>IF($A136=AV$83, 0, distance(VLOOKUP($A136,Cuision!$G:$P,9,FALSE),VLOOKUP($A136,Cuision!$G:$P,10,FALSE),VLOOKUP(AV$83,Cuision!$G:$P,9,FALSE),VLOOKUP(AV$83,Cuision!$G:$P,10,FALSE)))</f>
        <v>7476.0854526992207</v>
      </c>
      <c r="AW136" s="33">
        <f>IF($A136=AW$83, 0, distance(VLOOKUP($A136,Cuision!$G:$P,9,FALSE),VLOOKUP($A136,Cuision!$G:$P,10,FALSE),VLOOKUP(AW$83,Cuision!$G:$P,9,FALSE),VLOOKUP(AW$83,Cuision!$G:$P,10,FALSE)))</f>
        <v>9461.3611723575832</v>
      </c>
      <c r="AX136" s="33">
        <f>IF($A136=AX$83, 0, distance(VLOOKUP($A136,Cuision!$G:$P,9,FALSE),VLOOKUP($A136,Cuision!$G:$P,10,FALSE),VLOOKUP(AX$83,Cuision!$G:$P,9,FALSE),VLOOKUP(AX$83,Cuision!$G:$P,10,FALSE)))</f>
        <v>3052.5869609951142</v>
      </c>
      <c r="AY136" s="33">
        <f>IF($A136=AY$83, 0, distance(VLOOKUP($A136,Cuision!$G:$P,9,FALSE),VLOOKUP($A136,Cuision!$G:$P,10,FALSE),VLOOKUP(AY$83,Cuision!$G:$P,9,FALSE),VLOOKUP(AY$83,Cuision!$G:$P,10,FALSE)))</f>
        <v>-1</v>
      </c>
      <c r="AZ136" s="33">
        <f>IF($A136=AZ$83, 0, distance(VLOOKUP($A136,Cuision!$G:$P,9,FALSE),VLOOKUP($A136,Cuision!$G:$P,10,FALSE),VLOOKUP(AZ$83,Cuision!$G:$P,9,FALSE),VLOOKUP(AZ$83,Cuision!$G:$P,10,FALSE)))</f>
        <v>10331.257722176491</v>
      </c>
      <c r="BA136" s="33">
        <f>IF($A136=BA$83, 0, distance(VLOOKUP($A136,Cuision!$G:$P,9,FALSE),VLOOKUP($A136,Cuision!$G:$P,10,FALSE),VLOOKUP(BA$83,Cuision!$G:$P,9,FALSE),VLOOKUP(BA$83,Cuision!$G:$P,10,FALSE)))</f>
        <v>6878.6341470019461</v>
      </c>
      <c r="BB136" s="33">
        <f>IF($A136=BB$83, 0, distance(VLOOKUP($A136,Cuision!$G:$P,9,FALSE),VLOOKUP($A136,Cuision!$G:$P,10,FALSE),VLOOKUP(BB$83,Cuision!$G:$P,9,FALSE),VLOOKUP(BB$83,Cuision!$G:$P,10,FALSE)))</f>
        <v>0</v>
      </c>
      <c r="BC136" s="33">
        <f>IF($A136=BC$83, 0, distance(VLOOKUP($A136,Cuision!$G:$P,9,FALSE),VLOOKUP($A136,Cuision!$G:$P,10,FALSE),VLOOKUP(BC$83,Cuision!$G:$P,9,FALSE),VLOOKUP(BC$83,Cuision!$G:$P,10,FALSE)))</f>
        <v>8211.061713138346</v>
      </c>
      <c r="BD136" s="33">
        <f>IF($A136=BD$83, 0, distance(VLOOKUP($A136,Cuision!$G:$P,9,FALSE),VLOOKUP($A136,Cuision!$G:$P,10,FALSE),VLOOKUP(BD$83,Cuision!$G:$P,9,FALSE),VLOOKUP(BD$83,Cuision!$G:$P,10,FALSE)))</f>
        <v>7512.6992345907756</v>
      </c>
      <c r="BE136" s="33">
        <f>IF($A136=BE$83, 0, distance(VLOOKUP($A136,Cuision!$G:$P,9,FALSE),VLOOKUP($A136,Cuision!$G:$P,10,FALSE),VLOOKUP(BE$83,Cuision!$G:$P,9,FALSE),VLOOKUP(BE$83,Cuision!$G:$P,10,FALSE)))</f>
        <v>5603.2639833207013</v>
      </c>
      <c r="BF136" s="33">
        <f>IF($A136=BF$83, 0, distance(VLOOKUP($A136,Cuision!$G:$P,9,FALSE),VLOOKUP($A136,Cuision!$G:$P,10,FALSE),VLOOKUP(BF$83,Cuision!$G:$P,9,FALSE),VLOOKUP(BF$83,Cuision!$G:$P,10,FALSE)))</f>
        <v>8728.0114932595152</v>
      </c>
      <c r="BG136" s="33">
        <f>IF($A136=BG$83, 0, distance(VLOOKUP($A136,Cuision!$G:$P,9,FALSE),VLOOKUP($A136,Cuision!$G:$P,10,FALSE),VLOOKUP(BG$83,Cuision!$G:$P,9,FALSE),VLOOKUP(BG$83,Cuision!$G:$P,10,FALSE)))</f>
        <v>8167.961618562138</v>
      </c>
      <c r="BH136" s="33">
        <f>IF($A136=BH$83, 0, distance(VLOOKUP($A136,Cuision!$G:$P,9,FALSE),VLOOKUP($A136,Cuision!$G:$P,10,FALSE),VLOOKUP(BH$83,Cuision!$G:$P,9,FALSE),VLOOKUP(BH$83,Cuision!$G:$P,10,FALSE)))</f>
        <v>2643.7551126383933</v>
      </c>
      <c r="BI136" s="33">
        <f>IF($A136=BI$83, 0, distance(VLOOKUP($A136,Cuision!$G:$P,9,FALSE),VLOOKUP($A136,Cuision!$G:$P,10,FALSE),VLOOKUP(BI$83,Cuision!$G:$P,9,FALSE),VLOOKUP(BI$83,Cuision!$G:$P,10,FALSE)))</f>
        <v>6325.2760917070427</v>
      </c>
      <c r="BJ136" s="33">
        <f>IF($A136=BJ$83, 0, distance(VLOOKUP($A136,Cuision!$G:$P,9,FALSE),VLOOKUP($A136,Cuision!$G:$P,10,FALSE),VLOOKUP(BJ$83,Cuision!$G:$P,9,FALSE),VLOOKUP(BJ$83,Cuision!$G:$P,10,FALSE)))</f>
        <v>5388.3360943164917</v>
      </c>
      <c r="BK136" s="33">
        <f>IF($A136=BK$83, 0, distance(VLOOKUP($A136,Cuision!$G:$P,9,FALSE),VLOOKUP($A136,Cuision!$G:$P,10,FALSE),VLOOKUP(BK$83,Cuision!$G:$P,9,FALSE),VLOOKUP(BK$83,Cuision!$G:$P,10,FALSE)))</f>
        <v>6660.8597082310844</v>
      </c>
      <c r="BL136" s="33">
        <f>IF($A136=BL$83, 0, distance(VLOOKUP($A136,Cuision!$G:$P,9,FALSE),VLOOKUP($A136,Cuision!$G:$P,10,FALSE),VLOOKUP(BL$83,Cuision!$G:$P,9,FALSE),VLOOKUP(BL$83,Cuision!$G:$P,10,FALSE)))</f>
        <v>-1</v>
      </c>
      <c r="BM136" s="33">
        <f>IF($A136=BM$83, 0, distance(VLOOKUP($A136,Cuision!$G:$P,9,FALSE),VLOOKUP($A136,Cuision!$G:$P,10,FALSE),VLOOKUP(BM$83,Cuision!$G:$P,9,FALSE),VLOOKUP(BM$83,Cuision!$G:$P,10,FALSE)))</f>
        <v>-1</v>
      </c>
      <c r="BN136" s="33">
        <f>IF($A136=BN$83, 0, distance(VLOOKUP($A136,Cuision!$G:$P,9,FALSE),VLOOKUP($A136,Cuision!$G:$P,10,FALSE),VLOOKUP(BN$83,Cuision!$G:$P,9,FALSE),VLOOKUP(BN$83,Cuision!$G:$P,10,FALSE)))</f>
        <v>5547.650971384187</v>
      </c>
      <c r="BO136" s="33">
        <f>IF($A136=BO$83, 0, distance(VLOOKUP($A136,Cuision!$G:$P,9,FALSE),VLOOKUP($A136,Cuision!$G:$P,10,FALSE),VLOOKUP(BO$83,Cuision!$G:$P,9,FALSE),VLOOKUP(BO$83,Cuision!$G:$P,10,FALSE)))</f>
        <v>10320.167260842498</v>
      </c>
      <c r="BP136" s="33">
        <f>IF($A136=BP$83, 0, distance(VLOOKUP($A136,Cuision!$G:$P,9,FALSE),VLOOKUP($A136,Cuision!$G:$P,10,FALSE),VLOOKUP(BP$83,Cuision!$G:$P,9,FALSE),VLOOKUP(BP$83,Cuision!$G:$P,10,FALSE)))</f>
        <v>6338.4215522282093</v>
      </c>
      <c r="BQ136" s="33">
        <f>IF($A136=BQ$83, 0, distance(VLOOKUP($A136,Cuision!$G:$P,9,FALSE),VLOOKUP($A136,Cuision!$G:$P,10,FALSE),VLOOKUP(BQ$83,Cuision!$G:$P,9,FALSE),VLOOKUP(BQ$83,Cuision!$G:$P,10,FALSE)))</f>
        <v>-1</v>
      </c>
      <c r="BR136" s="33">
        <f>IF($A136=BR$83, 0, distance(VLOOKUP($A136,Cuision!$G:$P,9,FALSE),VLOOKUP($A136,Cuision!$G:$P,10,FALSE),VLOOKUP(BR$83,Cuision!$G:$P,9,FALSE),VLOOKUP(BR$83,Cuision!$G:$P,10,FALSE)))</f>
        <v>1883.3508701719099</v>
      </c>
      <c r="BS136" s="33">
        <f>IF($A136=BS$83, 0, distance(VLOOKUP($A136,Cuision!$G:$P,9,FALSE),VLOOKUP($A136,Cuision!$G:$P,10,FALSE),VLOOKUP(BS$83,Cuision!$G:$P,9,FALSE),VLOOKUP(BS$83,Cuision!$G:$P,10,FALSE)))</f>
        <v>7740.8679962902615</v>
      </c>
      <c r="BT136" s="33">
        <f>IF($A136=BT$83, 0, distance(VLOOKUP($A136,Cuision!$G:$P,9,FALSE),VLOOKUP($A136,Cuision!$G:$P,10,FALSE),VLOOKUP(BT$83,Cuision!$G:$P,9,FALSE),VLOOKUP(BT$83,Cuision!$G:$P,10,FALSE)))</f>
        <v>5631.0767659003504</v>
      </c>
      <c r="BU136" s="33">
        <f>IF($A136=BU$83, 0, distance(VLOOKUP($A136,Cuision!$G:$P,9,FALSE),VLOOKUP($A136,Cuision!$G:$P,10,FALSE),VLOOKUP(BU$83,Cuision!$G:$P,9,FALSE),VLOOKUP(BU$83,Cuision!$G:$P,10,FALSE)))</f>
        <v>9783.2984641044386</v>
      </c>
      <c r="BV136" s="33">
        <f>IF($A136=BV$83, 0, distance(VLOOKUP($A136,Cuision!$G:$P,9,FALSE),VLOOKUP($A136,Cuision!$G:$P,10,FALSE),VLOOKUP(BV$83,Cuision!$G:$P,9,FALSE),VLOOKUP(BV$83,Cuision!$G:$P,10,FALSE)))</f>
        <v>7301.5742503023048</v>
      </c>
      <c r="BW136" s="33">
        <f>IF($A136=BW$83, 0, distance(VLOOKUP($A136,Cuision!$G:$P,9,FALSE),VLOOKUP($A136,Cuision!$G:$P,10,FALSE),VLOOKUP(BW$83,Cuision!$G:$P,9,FALSE),VLOOKUP(BW$83,Cuision!$G:$P,10,FALSE)))</f>
        <v>6720.8771988856533</v>
      </c>
      <c r="BX136" s="33">
        <f>IF($A136=BX$83, 0, distance(VLOOKUP($A136,Cuision!$G:$P,9,FALSE),VLOOKUP($A136,Cuision!$G:$P,10,FALSE),VLOOKUP(BX$83,Cuision!$G:$P,9,FALSE),VLOOKUP(BX$83,Cuision!$G:$P,10,FALSE)))</f>
        <v>8177.1353942011683</v>
      </c>
      <c r="BY136" s="33">
        <f>IF($A136=BY$83, 0, distance(VLOOKUP($A136,Cuision!$G:$P,9,FALSE),VLOOKUP($A136,Cuision!$G:$P,10,FALSE),VLOOKUP(BY$83,Cuision!$G:$P,9,FALSE),VLOOKUP(BY$83,Cuision!$G:$P,10,FALSE)))</f>
        <v>-1</v>
      </c>
      <c r="BZ136" s="33">
        <f>IF($A136=BZ$83, 0, distance(VLOOKUP($A136,Cuision!$G:$P,9,FALSE),VLOOKUP($A136,Cuision!$G:$P,10,FALSE),VLOOKUP(BZ$83,Cuision!$G:$P,9,FALSE),VLOOKUP(BZ$83,Cuision!$G:$P,10,FALSE)))</f>
        <v>-1</v>
      </c>
      <c r="CA136" s="33">
        <f>IF($A136=CA$83, 0, distance(VLOOKUP($A136,Cuision!$G:$P,9,FALSE),VLOOKUP($A136,Cuision!$G:$P,10,FALSE),VLOOKUP(CA$83,Cuision!$G:$P,9,FALSE),VLOOKUP(CA$83,Cuision!$G:$P,10,FALSE)))</f>
        <v>9171.1029398735627</v>
      </c>
    </row>
    <row r="137" spans="1:79" ht="14.25" x14ac:dyDescent="0.2">
      <c r="A137" s="30" t="s">
        <v>107</v>
      </c>
      <c r="B137" s="33">
        <f>IF($A137=B$83, 0, distance(VLOOKUP($A137,Cuision!$G:$P,9,FALSE),VLOOKUP($A137,Cuision!$G:$P,10,FALSE),VLOOKUP(B$83,Cuision!$G:$P,9,FALSE),VLOOKUP(B$83,Cuision!$G:$P,10,FALSE)))</f>
        <v>1597.3737268087282</v>
      </c>
      <c r="C137" s="33">
        <f>IF($A137=C$83, 0, distance(VLOOKUP($A137,Cuision!$G:$P,9,FALSE),VLOOKUP($A137,Cuision!$G:$P,10,FALSE),VLOOKUP(C$83,Cuision!$G:$P,9,FALSE),VLOOKUP(C$83,Cuision!$G:$P,10,FALSE)))</f>
        <v>2685.0028308407723</v>
      </c>
      <c r="D137" s="33">
        <f>IF($A137=D$83, 0, distance(VLOOKUP($A137,Cuision!$G:$P,9,FALSE),VLOOKUP($A137,Cuision!$G:$P,10,FALSE),VLOOKUP(D$83,Cuision!$G:$P,9,FALSE),VLOOKUP(D$83,Cuision!$G:$P,10,FALSE)))</f>
        <v>6328.3267379660138</v>
      </c>
      <c r="E137" s="33">
        <f>IF($A137=E$83, 0, distance(VLOOKUP($A137,Cuision!$G:$P,9,FALSE),VLOOKUP($A137,Cuision!$G:$P,10,FALSE),VLOOKUP(E$83,Cuision!$G:$P,9,FALSE),VLOOKUP(E$83,Cuision!$G:$P,10,FALSE)))</f>
        <v>6328.3267379660138</v>
      </c>
      <c r="F137" s="33">
        <f>IF($A137=F$83, 0, distance(VLOOKUP($A137,Cuision!$G:$P,9,FALSE),VLOOKUP($A137,Cuision!$G:$P,10,FALSE),VLOOKUP(F$83,Cuision!$G:$P,9,FALSE),VLOOKUP(F$83,Cuision!$G:$P,10,FALSE)))</f>
        <v>0</v>
      </c>
      <c r="G137" s="33">
        <f>IF($A137=G$83, 0, distance(VLOOKUP($A137,Cuision!$G:$P,9,FALSE),VLOOKUP($A137,Cuision!$G:$P,10,FALSE),VLOOKUP(G$83,Cuision!$G:$P,9,FALSE),VLOOKUP(G$83,Cuision!$G:$P,10,FALSE)))</f>
        <v>7908.0333479105602</v>
      </c>
      <c r="H137" s="33">
        <f>IF($A137=H$83, 0, distance(VLOOKUP($A137,Cuision!$G:$P,9,FALSE),VLOOKUP($A137,Cuision!$G:$P,10,FALSE),VLOOKUP(H$83,Cuision!$G:$P,9,FALSE),VLOOKUP(H$83,Cuision!$G:$P,10,FALSE)))</f>
        <v>759.92339397339265</v>
      </c>
      <c r="I137" s="33">
        <f>IF($A137=I$83, 0, distance(VLOOKUP($A137,Cuision!$G:$P,9,FALSE),VLOOKUP($A137,Cuision!$G:$P,10,FALSE),VLOOKUP(I$83,Cuision!$G:$P,9,FALSE),VLOOKUP(I$83,Cuision!$G:$P,10,FALSE)))</f>
        <v>3384.8801832287927</v>
      </c>
      <c r="J137" s="33">
        <f>IF($A137=J$83, 0, distance(VLOOKUP($A137,Cuision!$G:$P,9,FALSE),VLOOKUP($A137,Cuision!$G:$P,10,FALSE),VLOOKUP(J$83,Cuision!$G:$P,9,FALSE),VLOOKUP(J$83,Cuision!$G:$P,10,FALSE)))</f>
        <v>8226.0882390100815</v>
      </c>
      <c r="K137" s="33">
        <f>IF($A137=K$83, 0, distance(VLOOKUP($A137,Cuision!$G:$P,9,FALSE),VLOOKUP($A137,Cuision!$G:$P,10,FALSE),VLOOKUP(K$83,Cuision!$G:$P,9,FALSE),VLOOKUP(K$83,Cuision!$G:$P,10,FALSE)))</f>
        <v>1905.2350973761031</v>
      </c>
      <c r="L137" s="33">
        <f>IF($A137=L$83, 0, distance(VLOOKUP($A137,Cuision!$G:$P,9,FALSE),VLOOKUP($A137,Cuision!$G:$P,10,FALSE),VLOOKUP(L$83,Cuision!$G:$P,9,FALSE),VLOOKUP(L$83,Cuision!$G:$P,10,FALSE)))</f>
        <v>2964.1187882805129</v>
      </c>
      <c r="M137" s="33">
        <f>IF($A137=M$83, 0, distance(VLOOKUP($A137,Cuision!$G:$P,9,FALSE),VLOOKUP($A137,Cuision!$G:$P,10,FALSE),VLOOKUP(M$83,Cuision!$G:$P,9,FALSE),VLOOKUP(M$83,Cuision!$G:$P,10,FALSE)))</f>
        <v>-1</v>
      </c>
      <c r="N137" s="33">
        <f>IF($A137=N$83, 0, distance(VLOOKUP($A137,Cuision!$G:$P,9,FALSE),VLOOKUP($A137,Cuision!$G:$P,10,FALSE),VLOOKUP(N$83,Cuision!$G:$P,9,FALSE),VLOOKUP(N$83,Cuision!$G:$P,10,FALSE)))</f>
        <v>2699.2022856792228</v>
      </c>
      <c r="O137" s="33">
        <f>IF($A137=O$83, 0, distance(VLOOKUP($A137,Cuision!$G:$P,9,FALSE),VLOOKUP($A137,Cuision!$G:$P,10,FALSE),VLOOKUP(O$83,Cuision!$G:$P,9,FALSE),VLOOKUP(O$83,Cuision!$G:$P,10,FALSE)))</f>
        <v>2465.8810927133145</v>
      </c>
      <c r="P137" s="33">
        <f>IF($A137=P$83, 0, distance(VLOOKUP($A137,Cuision!$G:$P,9,FALSE),VLOOKUP($A137,Cuision!$G:$P,10,FALSE),VLOOKUP(P$83,Cuision!$G:$P,9,FALSE),VLOOKUP(P$83,Cuision!$G:$P,10,FALSE)))</f>
        <v>6774.6208964587368</v>
      </c>
      <c r="Q137" s="33">
        <f>IF($A137=Q$83, 0, distance(VLOOKUP($A137,Cuision!$G:$P,9,FALSE),VLOOKUP($A137,Cuision!$G:$P,10,FALSE),VLOOKUP(Q$83,Cuision!$G:$P,9,FALSE),VLOOKUP(Q$83,Cuision!$G:$P,10,FALSE)))</f>
        <v>-1</v>
      </c>
      <c r="R137" s="33">
        <f>IF($A137=R$83, 0, distance(VLOOKUP($A137,Cuision!$G:$P,9,FALSE),VLOOKUP($A137,Cuision!$G:$P,10,FALSE),VLOOKUP(R$83,Cuision!$G:$P,9,FALSE),VLOOKUP(R$83,Cuision!$G:$P,10,FALSE)))</f>
        <v>2663.5886544931418</v>
      </c>
      <c r="S137" s="33">
        <f>IF($A137=S$83, 0, distance(VLOOKUP($A137,Cuision!$G:$P,9,FALSE),VLOOKUP($A137,Cuision!$G:$P,10,FALSE),VLOOKUP(S$83,Cuision!$G:$P,9,FALSE),VLOOKUP(S$83,Cuision!$G:$P,10,FALSE)))</f>
        <v>-1</v>
      </c>
      <c r="T137" s="33">
        <f>IF($A137=T$83, 0, distance(VLOOKUP($A137,Cuision!$G:$P,9,FALSE),VLOOKUP($A137,Cuision!$G:$P,10,FALSE),VLOOKUP(T$83,Cuision!$G:$P,9,FALSE),VLOOKUP(T$83,Cuision!$G:$P,10,FALSE)))</f>
        <v>3403.1363502407648</v>
      </c>
      <c r="U137" s="33">
        <f>IF($A137=U$83, 0, distance(VLOOKUP($A137,Cuision!$G:$P,9,FALSE),VLOOKUP($A137,Cuision!$G:$P,10,FALSE),VLOOKUP(U$83,Cuision!$G:$P,9,FALSE),VLOOKUP(U$83,Cuision!$G:$P,10,FALSE)))</f>
        <v>-1</v>
      </c>
      <c r="V137" s="33">
        <f>IF($A137=V$83, 0, distance(VLOOKUP($A137,Cuision!$G:$P,9,FALSE),VLOOKUP($A137,Cuision!$G:$P,10,FALSE),VLOOKUP(V$83,Cuision!$G:$P,9,FALSE),VLOOKUP(V$83,Cuision!$G:$P,10,FALSE)))</f>
        <v>6328.3267379660138</v>
      </c>
      <c r="W137" s="33">
        <f>IF($A137=W$83, 0, distance(VLOOKUP($A137,Cuision!$G:$P,9,FALSE),VLOOKUP($A137,Cuision!$G:$P,10,FALSE),VLOOKUP(W$83,Cuision!$G:$P,9,FALSE),VLOOKUP(W$83,Cuision!$G:$P,10,FALSE)))</f>
        <v>4171.3559054885782</v>
      </c>
      <c r="X137" s="33">
        <f>IF($A137=X$83, 0, distance(VLOOKUP($A137,Cuision!$G:$P,9,FALSE),VLOOKUP($A137,Cuision!$G:$P,10,FALSE),VLOOKUP(X$83,Cuision!$G:$P,9,FALSE),VLOOKUP(X$83,Cuision!$G:$P,10,FALSE)))</f>
        <v>2699.2022856792228</v>
      </c>
      <c r="Y137" s="33">
        <f>IF($A137=Y$83, 0, distance(VLOOKUP($A137,Cuision!$G:$P,9,FALSE),VLOOKUP($A137,Cuision!$G:$P,10,FALSE),VLOOKUP(Y$83,Cuision!$G:$P,9,FALSE),VLOOKUP(Y$83,Cuision!$G:$P,10,FALSE)))</f>
        <v>4145.2066021845849</v>
      </c>
      <c r="Z137" s="33">
        <f>IF($A137=Z$83, 0, distance(VLOOKUP($A137,Cuision!$G:$P,9,FALSE),VLOOKUP($A137,Cuision!$G:$P,10,FALSE),VLOOKUP(Z$83,Cuision!$G:$P,9,FALSE),VLOOKUP(Z$83,Cuision!$G:$P,10,FALSE)))</f>
        <v>-1</v>
      </c>
      <c r="AA137" s="33">
        <f>IF($A137=AA$83, 0, distance(VLOOKUP($A137,Cuision!$G:$P,9,FALSE),VLOOKUP($A137,Cuision!$G:$P,10,FALSE),VLOOKUP(AA$83,Cuision!$G:$P,9,FALSE),VLOOKUP(AA$83,Cuision!$G:$P,10,FALSE)))</f>
        <v>7287.916379619799</v>
      </c>
      <c r="AB137" s="33">
        <f>IF($A137=AB$83, 0, distance(VLOOKUP($A137,Cuision!$G:$P,9,FALSE),VLOOKUP($A137,Cuision!$G:$P,10,FALSE),VLOOKUP(AB$83,Cuision!$G:$P,9,FALSE),VLOOKUP(AB$83,Cuision!$G:$P,10,FALSE)))</f>
        <v>2050.7521954723848</v>
      </c>
      <c r="AC137" s="33">
        <f>IF($A137=AC$83, 0, distance(VLOOKUP($A137,Cuision!$G:$P,9,FALSE),VLOOKUP($A137,Cuision!$G:$P,10,FALSE),VLOOKUP(AC$83,Cuision!$G:$P,9,FALSE),VLOOKUP(AC$83,Cuision!$G:$P,10,FALSE)))</f>
        <v>1422.5251673874473</v>
      </c>
      <c r="AD137" s="33">
        <f>IF($A137=AD$83, 0, distance(VLOOKUP($A137,Cuision!$G:$P,9,FALSE),VLOOKUP($A137,Cuision!$G:$P,10,FALSE),VLOOKUP(AD$83,Cuision!$G:$P,9,FALSE),VLOOKUP(AD$83,Cuision!$G:$P,10,FALSE)))</f>
        <v>5042.5080887338581</v>
      </c>
      <c r="AE137" s="33">
        <f>IF($A137=AE$83, 0, distance(VLOOKUP($A137,Cuision!$G:$P,9,FALSE),VLOOKUP($A137,Cuision!$G:$P,10,FALSE),VLOOKUP(AE$83,Cuision!$G:$P,9,FALSE),VLOOKUP(AE$83,Cuision!$G:$P,10,FALSE)))</f>
        <v>2652.6220509166424</v>
      </c>
      <c r="AF137" s="33">
        <f>IF($A137=AF$83, 0, distance(VLOOKUP($A137,Cuision!$G:$P,9,FALSE),VLOOKUP($A137,Cuision!$G:$P,10,FALSE),VLOOKUP(AF$83,Cuision!$G:$P,9,FALSE),VLOOKUP(AF$83,Cuision!$G:$P,10,FALSE)))</f>
        <v>2502.2183139621284</v>
      </c>
      <c r="AG137" s="33">
        <f>IF($A137=AG$83, 0, distance(VLOOKUP($A137,Cuision!$G:$P,9,FALSE),VLOOKUP($A137,Cuision!$G:$P,10,FALSE),VLOOKUP(AG$83,Cuision!$G:$P,9,FALSE),VLOOKUP(AG$83,Cuision!$G:$P,10,FALSE)))</f>
        <v>2182.5385348179407</v>
      </c>
      <c r="AH137" s="33">
        <f>IF($A137=AH$83, 0, distance(VLOOKUP($A137,Cuision!$G:$P,9,FALSE),VLOOKUP($A137,Cuision!$G:$P,10,FALSE),VLOOKUP(AH$83,Cuision!$G:$P,9,FALSE),VLOOKUP(AH$83,Cuision!$G:$P,10,FALSE)))</f>
        <v>-1</v>
      </c>
      <c r="AI137" s="33">
        <f>IF($A137=AI$83, 0, distance(VLOOKUP($A137,Cuision!$G:$P,9,FALSE),VLOOKUP($A137,Cuision!$G:$P,10,FALSE),VLOOKUP(AI$83,Cuision!$G:$P,9,FALSE),VLOOKUP(AI$83,Cuision!$G:$P,10,FALSE)))</f>
        <v>1234.7100129660098</v>
      </c>
      <c r="AJ137" s="33">
        <f>IF($A137=AJ$83, 0, distance(VLOOKUP($A137,Cuision!$G:$P,9,FALSE),VLOOKUP($A137,Cuision!$G:$P,10,FALSE),VLOOKUP(AJ$83,Cuision!$G:$P,9,FALSE),VLOOKUP(AJ$83,Cuision!$G:$P,10,FALSE)))</f>
        <v>0</v>
      </c>
      <c r="AK137" s="33">
        <f>IF($A137=AK$83, 0, distance(VLOOKUP($A137,Cuision!$G:$P,9,FALSE),VLOOKUP($A137,Cuision!$G:$P,10,FALSE),VLOOKUP(AK$83,Cuision!$G:$P,9,FALSE),VLOOKUP(AK$83,Cuision!$G:$P,10,FALSE)))</f>
        <v>8828.9357682627578</v>
      </c>
      <c r="AL137" s="33">
        <f>IF($A137=AL$83, 0, distance(VLOOKUP($A137,Cuision!$G:$P,9,FALSE),VLOOKUP($A137,Cuision!$G:$P,10,FALSE),VLOOKUP(AL$83,Cuision!$G:$P,9,FALSE),VLOOKUP(AL$83,Cuision!$G:$P,10,FALSE)))</f>
        <v>2584.7265178800044</v>
      </c>
      <c r="AM137" s="33">
        <f>IF($A137=AM$83, 0, distance(VLOOKUP($A137,Cuision!$G:$P,9,FALSE),VLOOKUP($A137,Cuision!$G:$P,10,FALSE),VLOOKUP(AM$83,Cuision!$G:$P,9,FALSE),VLOOKUP(AM$83,Cuision!$G:$P,10,FALSE)))</f>
        <v>-1</v>
      </c>
      <c r="AN137" s="33">
        <f>IF($A137=AN$83, 0, distance(VLOOKUP($A137,Cuision!$G:$P,9,FALSE),VLOOKUP($A137,Cuision!$G:$P,10,FALSE),VLOOKUP(AN$83,Cuision!$G:$P,9,FALSE),VLOOKUP(AN$83,Cuision!$G:$P,10,FALSE)))</f>
        <v>1775.8304240609064</v>
      </c>
      <c r="AO137" s="33">
        <f>IF($A137=AO$83, 0, distance(VLOOKUP($A137,Cuision!$G:$P,9,FALSE),VLOOKUP($A137,Cuision!$G:$P,10,FALSE),VLOOKUP(AO$83,Cuision!$G:$P,9,FALSE),VLOOKUP(AO$83,Cuision!$G:$P,10,FALSE)))</f>
        <v>2699.2022856792228</v>
      </c>
      <c r="AP137" s="33">
        <f>IF($A137=AP$83, 0, distance(VLOOKUP($A137,Cuision!$G:$P,9,FALSE),VLOOKUP($A137,Cuision!$G:$P,10,FALSE),VLOOKUP(AP$83,Cuision!$G:$P,9,FALSE),VLOOKUP(AP$83,Cuision!$G:$P,10,FALSE)))</f>
        <v>2088.3496191523295</v>
      </c>
      <c r="AQ137" s="33">
        <f>IF($A137=AQ$83, 0, distance(VLOOKUP($A137,Cuision!$G:$P,9,FALSE),VLOOKUP($A137,Cuision!$G:$P,10,FALSE),VLOOKUP(AQ$83,Cuision!$G:$P,9,FALSE),VLOOKUP(AQ$83,Cuision!$G:$P,10,FALSE)))</f>
        <v>4915.9478722838057</v>
      </c>
      <c r="AR137" s="33">
        <f>IF($A137=AR$83, 0, distance(VLOOKUP($A137,Cuision!$G:$P,9,FALSE),VLOOKUP($A137,Cuision!$G:$P,10,FALSE),VLOOKUP(AR$83,Cuision!$G:$P,9,FALSE),VLOOKUP(AR$83,Cuision!$G:$P,10,FALSE)))</f>
        <v>2663.5886544931418</v>
      </c>
      <c r="AS137" s="33">
        <f>IF($A137=AS$83, 0, distance(VLOOKUP($A137,Cuision!$G:$P,9,FALSE),VLOOKUP($A137,Cuision!$G:$P,10,FALSE),VLOOKUP(AS$83,Cuision!$G:$P,9,FALSE),VLOOKUP(AS$83,Cuision!$G:$P,10,FALSE)))</f>
        <v>1886.5651214829372</v>
      </c>
      <c r="AT137" s="33">
        <f>IF($A137=AT$83, 0, distance(VLOOKUP($A137,Cuision!$G:$P,9,FALSE),VLOOKUP($A137,Cuision!$G:$P,10,FALSE),VLOOKUP(AT$83,Cuision!$G:$P,9,FALSE),VLOOKUP(AT$83,Cuision!$G:$P,10,FALSE)))</f>
        <v>5431.2384318717377</v>
      </c>
      <c r="AU137" s="33">
        <f>IF($A137=AU$83, 0, distance(VLOOKUP($A137,Cuision!$G:$P,9,FALSE),VLOOKUP($A137,Cuision!$G:$P,10,FALSE),VLOOKUP(AU$83,Cuision!$G:$P,9,FALSE),VLOOKUP(AU$83,Cuision!$G:$P,10,FALSE)))</f>
        <v>4737.0061527829203</v>
      </c>
      <c r="AV137" s="33">
        <f>IF($A137=AV$83, 0, distance(VLOOKUP($A137,Cuision!$G:$P,9,FALSE),VLOOKUP($A137,Cuision!$G:$P,10,FALSE),VLOOKUP(AV$83,Cuision!$G:$P,9,FALSE),VLOOKUP(AV$83,Cuision!$G:$P,10,FALSE)))</f>
        <v>750.69136448203346</v>
      </c>
      <c r="AW137" s="33">
        <f>IF($A137=AW$83, 0, distance(VLOOKUP($A137,Cuision!$G:$P,9,FALSE),VLOOKUP($A137,Cuision!$G:$P,10,FALSE),VLOOKUP(AW$83,Cuision!$G:$P,9,FALSE),VLOOKUP(AW$83,Cuision!$G:$P,10,FALSE)))</f>
        <v>3840.6105326694137</v>
      </c>
      <c r="AX137" s="33">
        <f>IF($A137=AX$83, 0, distance(VLOOKUP($A137,Cuision!$G:$P,9,FALSE),VLOOKUP($A137,Cuision!$G:$P,10,FALSE),VLOOKUP(AX$83,Cuision!$G:$P,9,FALSE),VLOOKUP(AX$83,Cuision!$G:$P,10,FALSE)))</f>
        <v>7203.8206176159465</v>
      </c>
      <c r="AY137" s="33">
        <f>IF($A137=AY$83, 0, distance(VLOOKUP($A137,Cuision!$G:$P,9,FALSE),VLOOKUP($A137,Cuision!$G:$P,10,FALSE),VLOOKUP(AY$83,Cuision!$G:$P,9,FALSE),VLOOKUP(AY$83,Cuision!$G:$P,10,FALSE)))</f>
        <v>-1</v>
      </c>
      <c r="AZ137" s="33">
        <f>IF($A137=AZ$83, 0, distance(VLOOKUP($A137,Cuision!$G:$P,9,FALSE),VLOOKUP($A137,Cuision!$G:$P,10,FALSE),VLOOKUP(AZ$83,Cuision!$G:$P,9,FALSE),VLOOKUP(AZ$83,Cuision!$G:$P,10,FALSE)))</f>
        <v>4265.6135520296511</v>
      </c>
      <c r="BA137" s="33">
        <f>IF($A137=BA$83, 0, distance(VLOOKUP($A137,Cuision!$G:$P,9,FALSE),VLOOKUP($A137,Cuision!$G:$P,10,FALSE),VLOOKUP(BA$83,Cuision!$G:$P,9,FALSE),VLOOKUP(BA$83,Cuision!$G:$P,10,FALSE)))</f>
        <v>1477.9165770989318</v>
      </c>
      <c r="BB137" s="33">
        <f>IF($A137=BB$83, 0, distance(VLOOKUP($A137,Cuision!$G:$P,9,FALSE),VLOOKUP($A137,Cuision!$G:$P,10,FALSE),VLOOKUP(BB$83,Cuision!$G:$P,9,FALSE),VLOOKUP(BB$83,Cuision!$G:$P,10,FALSE)))</f>
        <v>8211.061713138346</v>
      </c>
      <c r="BC137" s="33">
        <f>IF($A137=BC$83, 0, distance(VLOOKUP($A137,Cuision!$G:$P,9,FALSE),VLOOKUP($A137,Cuision!$G:$P,10,FALSE),VLOOKUP(BC$83,Cuision!$G:$P,9,FALSE),VLOOKUP(BC$83,Cuision!$G:$P,10,FALSE)))</f>
        <v>0</v>
      </c>
      <c r="BD137" s="33">
        <f>IF($A137=BD$83, 0, distance(VLOOKUP($A137,Cuision!$G:$P,9,FALSE),VLOOKUP($A137,Cuision!$G:$P,10,FALSE),VLOOKUP(BD$83,Cuision!$G:$P,9,FALSE),VLOOKUP(BD$83,Cuision!$G:$P,10,FALSE)))</f>
        <v>3589.0637776768831</v>
      </c>
      <c r="BE137" s="33">
        <f>IF($A137=BE$83, 0, distance(VLOOKUP($A137,Cuision!$G:$P,9,FALSE),VLOOKUP($A137,Cuision!$G:$P,10,FALSE),VLOOKUP(BE$83,Cuision!$G:$P,9,FALSE),VLOOKUP(BE$83,Cuision!$G:$P,10,FALSE)))</f>
        <v>2894.6643241480492</v>
      </c>
      <c r="BF137" s="33">
        <f>IF($A137=BF$83, 0, distance(VLOOKUP($A137,Cuision!$G:$P,9,FALSE),VLOOKUP($A137,Cuision!$G:$P,10,FALSE),VLOOKUP(BF$83,Cuision!$G:$P,9,FALSE),VLOOKUP(BF$83,Cuision!$G:$P,10,FALSE)))</f>
        <v>1814.9299588358174</v>
      </c>
      <c r="BG137" s="33">
        <f>IF($A137=BG$83, 0, distance(VLOOKUP($A137,Cuision!$G:$P,9,FALSE),VLOOKUP($A137,Cuision!$G:$P,10,FALSE),VLOOKUP(BG$83,Cuision!$G:$P,9,FALSE),VLOOKUP(BG$83,Cuision!$G:$P,10,FALSE)))</f>
        <v>679.22167101187461</v>
      </c>
      <c r="BH137" s="33">
        <f>IF($A137=BH$83, 0, distance(VLOOKUP($A137,Cuision!$G:$P,9,FALSE),VLOOKUP($A137,Cuision!$G:$P,10,FALSE),VLOOKUP(BH$83,Cuision!$G:$P,9,FALSE),VLOOKUP(BH$83,Cuision!$G:$P,10,FALSE)))</f>
        <v>8397.292438003582</v>
      </c>
      <c r="BI137" s="33">
        <f>IF($A137=BI$83, 0, distance(VLOOKUP($A137,Cuision!$G:$P,9,FALSE),VLOOKUP($A137,Cuision!$G:$P,10,FALSE),VLOOKUP(BI$83,Cuision!$G:$P,9,FALSE),VLOOKUP(BI$83,Cuision!$G:$P,10,FALSE)))</f>
        <v>1928.4684225148196</v>
      </c>
      <c r="BJ137" s="33">
        <f>IF($A137=BJ$83, 0, distance(VLOOKUP($A137,Cuision!$G:$P,9,FALSE),VLOOKUP($A137,Cuision!$G:$P,10,FALSE),VLOOKUP(BJ$83,Cuision!$G:$P,9,FALSE),VLOOKUP(BJ$83,Cuision!$G:$P,10,FALSE)))</f>
        <v>2990.3877013395577</v>
      </c>
      <c r="BK137" s="33">
        <f>IF($A137=BK$83, 0, distance(VLOOKUP($A137,Cuision!$G:$P,9,FALSE),VLOOKUP($A137,Cuision!$G:$P,10,FALSE),VLOOKUP(BK$83,Cuision!$G:$P,9,FALSE),VLOOKUP(BK$83,Cuision!$G:$P,10,FALSE)))</f>
        <v>1843.6098621288322</v>
      </c>
      <c r="BL137" s="33">
        <f>IF($A137=BL$83, 0, distance(VLOOKUP($A137,Cuision!$G:$P,9,FALSE),VLOOKUP($A137,Cuision!$G:$P,10,FALSE),VLOOKUP(BL$83,Cuision!$G:$P,9,FALSE),VLOOKUP(BL$83,Cuision!$G:$P,10,FALSE)))</f>
        <v>-1</v>
      </c>
      <c r="BM137" s="33">
        <f>IF($A137=BM$83, 0, distance(VLOOKUP($A137,Cuision!$G:$P,9,FALSE),VLOOKUP($A137,Cuision!$G:$P,10,FALSE),VLOOKUP(BM$83,Cuision!$G:$P,9,FALSE),VLOOKUP(BM$83,Cuision!$G:$P,10,FALSE)))</f>
        <v>-1</v>
      </c>
      <c r="BN137" s="33">
        <f>IF($A137=BN$83, 0, distance(VLOOKUP($A137,Cuision!$G:$P,9,FALSE),VLOOKUP($A137,Cuision!$G:$P,10,FALSE),VLOOKUP(BN$83,Cuision!$G:$P,9,FALSE),VLOOKUP(BN$83,Cuision!$G:$P,10,FALSE)))</f>
        <v>2663.5886544931418</v>
      </c>
      <c r="BO137" s="33">
        <f>IF($A137=BO$83, 0, distance(VLOOKUP($A137,Cuision!$G:$P,9,FALSE),VLOOKUP($A137,Cuision!$G:$P,10,FALSE),VLOOKUP(BO$83,Cuision!$G:$P,9,FALSE),VLOOKUP(BO$83,Cuision!$G:$P,10,FALSE)))</f>
        <v>4459.7813872301176</v>
      </c>
      <c r="BP137" s="33">
        <f>IF($A137=BP$83, 0, distance(VLOOKUP($A137,Cuision!$G:$P,9,FALSE),VLOOKUP($A137,Cuision!$G:$P,10,FALSE),VLOOKUP(BP$83,Cuision!$G:$P,9,FALSE),VLOOKUP(BP$83,Cuision!$G:$P,10,FALSE)))</f>
        <v>1874.7303697421555</v>
      </c>
      <c r="BQ137" s="33">
        <f>IF($A137=BQ$83, 0, distance(VLOOKUP($A137,Cuision!$G:$P,9,FALSE),VLOOKUP($A137,Cuision!$G:$P,10,FALSE),VLOOKUP(BQ$83,Cuision!$G:$P,9,FALSE),VLOOKUP(BQ$83,Cuision!$G:$P,10,FALSE)))</f>
        <v>-1</v>
      </c>
      <c r="BR137" s="33">
        <f>IF($A137=BR$83, 0, distance(VLOOKUP($A137,Cuision!$G:$P,9,FALSE),VLOOKUP($A137,Cuision!$G:$P,10,FALSE),VLOOKUP(BR$83,Cuision!$G:$P,9,FALSE),VLOOKUP(BR$83,Cuision!$G:$P,10,FALSE)))</f>
        <v>6328.3267379660138</v>
      </c>
      <c r="BS137" s="33">
        <f>IF($A137=BS$83, 0, distance(VLOOKUP($A137,Cuision!$G:$P,9,FALSE),VLOOKUP($A137,Cuision!$G:$P,10,FALSE),VLOOKUP(BS$83,Cuision!$G:$P,9,FALSE),VLOOKUP(BS$83,Cuision!$G:$P,10,FALSE)))</f>
        <v>4145.2066021845849</v>
      </c>
      <c r="BT137" s="33">
        <f>IF($A137=BT$83, 0, distance(VLOOKUP($A137,Cuision!$G:$P,9,FALSE),VLOOKUP($A137,Cuision!$G:$P,10,FALSE),VLOOKUP(BT$83,Cuision!$G:$P,9,FALSE),VLOOKUP(BT$83,Cuision!$G:$P,10,FALSE)))</f>
        <v>2699.2022856792228</v>
      </c>
      <c r="BU137" s="33">
        <f>IF($A137=BU$83, 0, distance(VLOOKUP($A137,Cuision!$G:$P,9,FALSE),VLOOKUP($A137,Cuision!$G:$P,10,FALSE),VLOOKUP(BU$83,Cuision!$G:$P,9,FALSE),VLOOKUP(BU$83,Cuision!$G:$P,10,FALSE)))</f>
        <v>3837.2025088645214</v>
      </c>
      <c r="BV137" s="33">
        <f>IF($A137=BV$83, 0, distance(VLOOKUP($A137,Cuision!$G:$P,9,FALSE),VLOOKUP($A137,Cuision!$G:$P,10,FALSE),VLOOKUP(BV$83,Cuision!$G:$P,9,FALSE),VLOOKUP(BV$83,Cuision!$G:$P,10,FALSE)))</f>
        <v>916.76987693497176</v>
      </c>
      <c r="BW137" s="33">
        <f>IF($A137=BW$83, 0, distance(VLOOKUP($A137,Cuision!$G:$P,9,FALSE),VLOOKUP($A137,Cuision!$G:$P,10,FALSE),VLOOKUP(BW$83,Cuision!$G:$P,9,FALSE),VLOOKUP(BW$83,Cuision!$G:$P,10,FALSE)))</f>
        <v>1589.8019982023834</v>
      </c>
      <c r="BX137" s="33">
        <f>IF($A137=BX$83, 0, distance(VLOOKUP($A137,Cuision!$G:$P,9,FALSE),VLOOKUP($A137,Cuision!$G:$P,10,FALSE),VLOOKUP(BX$83,Cuision!$G:$P,9,FALSE),VLOOKUP(BX$83,Cuision!$G:$P,10,FALSE)))</f>
        <v>1706.1794779189991</v>
      </c>
      <c r="BY137" s="33">
        <f>IF($A137=BY$83, 0, distance(VLOOKUP($A137,Cuision!$G:$P,9,FALSE),VLOOKUP($A137,Cuision!$G:$P,10,FALSE),VLOOKUP(BY$83,Cuision!$G:$P,9,FALSE),VLOOKUP(BY$83,Cuision!$G:$P,10,FALSE)))</f>
        <v>-1</v>
      </c>
      <c r="BZ137" s="33">
        <f>IF($A137=BZ$83, 0, distance(VLOOKUP($A137,Cuision!$G:$P,9,FALSE),VLOOKUP($A137,Cuision!$G:$P,10,FALSE),VLOOKUP(BZ$83,Cuision!$G:$P,9,FALSE),VLOOKUP(BZ$83,Cuision!$G:$P,10,FALSE)))</f>
        <v>-1</v>
      </c>
      <c r="CA137" s="33">
        <f>IF($A137=CA$83, 0, distance(VLOOKUP($A137,Cuision!$G:$P,9,FALSE),VLOOKUP($A137,Cuision!$G:$P,10,FALSE),VLOOKUP(CA$83,Cuision!$G:$P,9,FALSE),VLOOKUP(CA$83,Cuision!$G:$P,10,FALSE)))</f>
        <v>3953.220892070327</v>
      </c>
    </row>
    <row r="138" spans="1:79" ht="14.25" x14ac:dyDescent="0.2">
      <c r="A138" s="30" t="s">
        <v>108</v>
      </c>
      <c r="B138" s="33">
        <f>IF($A138=B$83, 0, distance(VLOOKUP($A138,Cuision!$G:$P,9,FALSE),VLOOKUP($A138,Cuision!$G:$P,10,FALSE),VLOOKUP(B$83,Cuision!$G:$P,9,FALSE),VLOOKUP(B$83,Cuision!$G:$P,10,FALSE)))</f>
        <v>2139.1606865506892</v>
      </c>
      <c r="C138" s="33">
        <f>IF($A138=C$83, 0, distance(VLOOKUP($A138,Cuision!$G:$P,9,FALSE),VLOOKUP($A138,Cuision!$G:$P,10,FALSE),VLOOKUP(C$83,Cuision!$G:$P,9,FALSE),VLOOKUP(C$83,Cuision!$G:$P,10,FALSE)))</f>
        <v>5872.0742797875755</v>
      </c>
      <c r="D138" s="33">
        <f>IF($A138=D$83, 0, distance(VLOOKUP($A138,Cuision!$G:$P,9,FALSE),VLOOKUP($A138,Cuision!$G:$P,10,FALSE),VLOOKUP(D$83,Cuision!$G:$P,9,FALSE),VLOOKUP(D$83,Cuision!$G:$P,10,FALSE)))</f>
        <v>6433.658644858926</v>
      </c>
      <c r="E138" s="33">
        <f>IF($A138=E$83, 0, distance(VLOOKUP($A138,Cuision!$G:$P,9,FALSE),VLOOKUP($A138,Cuision!$G:$P,10,FALSE),VLOOKUP(E$83,Cuision!$G:$P,9,FALSE),VLOOKUP(E$83,Cuision!$G:$P,10,FALSE)))</f>
        <v>6433.658644858926</v>
      </c>
      <c r="F138" s="33">
        <f>IF($A138=F$83, 0, distance(VLOOKUP($A138,Cuision!$G:$P,9,FALSE),VLOOKUP($A138,Cuision!$G:$P,10,FALSE),VLOOKUP(F$83,Cuision!$G:$P,9,FALSE),VLOOKUP(F$83,Cuision!$G:$P,10,FALSE)))</f>
        <v>3589.0637776768831</v>
      </c>
      <c r="G138" s="33">
        <f>IF($A138=G$83, 0, distance(VLOOKUP($A138,Cuision!$G:$P,9,FALSE),VLOOKUP($A138,Cuision!$G:$P,10,FALSE),VLOOKUP(G$83,Cuision!$G:$P,9,FALSE),VLOOKUP(G$83,Cuision!$G:$P,10,FALSE)))</f>
        <v>11244.442290873927</v>
      </c>
      <c r="H138" s="33">
        <f>IF($A138=H$83, 0, distance(VLOOKUP($A138,Cuision!$G:$P,9,FALSE),VLOOKUP($A138,Cuision!$G:$P,10,FALSE),VLOOKUP(H$83,Cuision!$G:$P,9,FALSE),VLOOKUP(H$83,Cuision!$G:$P,10,FALSE)))</f>
        <v>3057.2832549983627</v>
      </c>
      <c r="I138" s="33">
        <f>IF($A138=I$83, 0, distance(VLOOKUP($A138,Cuision!$G:$P,9,FALSE),VLOOKUP($A138,Cuision!$G:$P,10,FALSE),VLOOKUP(I$83,Cuision!$G:$P,9,FALSE),VLOOKUP(I$83,Cuision!$G:$P,10,FALSE)))</f>
        <v>1011.0053433161585</v>
      </c>
      <c r="J138" s="33">
        <f>IF($A138=J$83, 0, distance(VLOOKUP($A138,Cuision!$G:$P,9,FALSE),VLOOKUP($A138,Cuision!$G:$P,10,FALSE),VLOOKUP(J$83,Cuision!$G:$P,9,FALSE),VLOOKUP(J$83,Cuision!$G:$P,10,FALSE)))</f>
        <v>6311.4228362070089</v>
      </c>
      <c r="K138" s="33">
        <f>IF($A138=K$83, 0, distance(VLOOKUP($A138,Cuision!$G:$P,9,FALSE),VLOOKUP($A138,Cuision!$G:$P,10,FALSE),VLOOKUP(K$83,Cuision!$G:$P,9,FALSE),VLOOKUP(K$83,Cuision!$G:$P,10,FALSE)))</f>
        <v>3915.9823856135613</v>
      </c>
      <c r="L138" s="33">
        <f>IF($A138=L$83, 0, distance(VLOOKUP($A138,Cuision!$G:$P,9,FALSE),VLOOKUP($A138,Cuision!$G:$P,10,FALSE),VLOOKUP(L$83,Cuision!$G:$P,9,FALSE),VLOOKUP(L$83,Cuision!$G:$P,10,FALSE)))</f>
        <v>1900.5976549347383</v>
      </c>
      <c r="M138" s="33">
        <f>IF($A138=M$83, 0, distance(VLOOKUP($A138,Cuision!$G:$P,9,FALSE),VLOOKUP($A138,Cuision!$G:$P,10,FALSE),VLOOKUP(M$83,Cuision!$G:$P,9,FALSE),VLOOKUP(M$83,Cuision!$G:$P,10,FALSE)))</f>
        <v>-1</v>
      </c>
      <c r="N138" s="33">
        <f>IF($A138=N$83, 0, distance(VLOOKUP($A138,Cuision!$G:$P,9,FALSE),VLOOKUP($A138,Cuision!$G:$P,10,FALSE),VLOOKUP(N$83,Cuision!$G:$P,9,FALSE),VLOOKUP(N$83,Cuision!$G:$P,10,FALSE)))</f>
        <v>5004.5552194452966</v>
      </c>
      <c r="O138" s="33">
        <f>IF($A138=O$83, 0, distance(VLOOKUP($A138,Cuision!$G:$P,9,FALSE),VLOOKUP($A138,Cuision!$G:$P,10,FALSE),VLOOKUP(O$83,Cuision!$G:$P,9,FALSE),VLOOKUP(O$83,Cuision!$G:$P,10,FALSE)))</f>
        <v>4219.6118057798676</v>
      </c>
      <c r="P138" s="33">
        <f>IF($A138=P$83, 0, distance(VLOOKUP($A138,Cuision!$G:$P,9,FALSE),VLOOKUP($A138,Cuision!$G:$P,10,FALSE),VLOOKUP(P$83,Cuision!$G:$P,9,FALSE),VLOOKUP(P$83,Cuision!$G:$P,10,FALSE)))</f>
        <v>9794.6882070393131</v>
      </c>
      <c r="Q138" s="33">
        <f>IF($A138=Q$83, 0, distance(VLOOKUP($A138,Cuision!$G:$P,9,FALSE),VLOOKUP($A138,Cuision!$G:$P,10,FALSE),VLOOKUP(Q$83,Cuision!$G:$P,9,FALSE),VLOOKUP(Q$83,Cuision!$G:$P,10,FALSE)))</f>
        <v>-1</v>
      </c>
      <c r="R138" s="33">
        <f>IF($A138=R$83, 0, distance(VLOOKUP($A138,Cuision!$G:$P,9,FALSE),VLOOKUP($A138,Cuision!$G:$P,10,FALSE),VLOOKUP(R$83,Cuision!$G:$P,9,FALSE),VLOOKUP(R$83,Cuision!$G:$P,10,FALSE)))</f>
        <v>4331.238021210751</v>
      </c>
      <c r="S138" s="33">
        <f>IF($A138=S$83, 0, distance(VLOOKUP($A138,Cuision!$G:$P,9,FALSE),VLOOKUP($A138,Cuision!$G:$P,10,FALSE),VLOOKUP(S$83,Cuision!$G:$P,9,FALSE),VLOOKUP(S$83,Cuision!$G:$P,10,FALSE)))</f>
        <v>-1</v>
      </c>
      <c r="T138" s="33">
        <f>IF($A138=T$83, 0, distance(VLOOKUP($A138,Cuision!$G:$P,9,FALSE),VLOOKUP($A138,Cuision!$G:$P,10,FALSE),VLOOKUP(T$83,Cuision!$G:$P,9,FALSE),VLOOKUP(T$83,Cuision!$G:$P,10,FALSE)))</f>
        <v>2036.4986126809176</v>
      </c>
      <c r="U138" s="33">
        <f>IF($A138=U$83, 0, distance(VLOOKUP($A138,Cuision!$G:$P,9,FALSE),VLOOKUP($A138,Cuision!$G:$P,10,FALSE),VLOOKUP(U$83,Cuision!$G:$P,9,FALSE),VLOOKUP(U$83,Cuision!$G:$P,10,FALSE)))</f>
        <v>-1</v>
      </c>
      <c r="V138" s="33">
        <f>IF($A138=V$83, 0, distance(VLOOKUP($A138,Cuision!$G:$P,9,FALSE),VLOOKUP($A138,Cuision!$G:$P,10,FALSE),VLOOKUP(V$83,Cuision!$G:$P,9,FALSE),VLOOKUP(V$83,Cuision!$G:$P,10,FALSE)))</f>
        <v>6433.658644858926</v>
      </c>
      <c r="W138" s="33">
        <f>IF($A138=W$83, 0, distance(VLOOKUP($A138,Cuision!$G:$P,9,FALSE),VLOOKUP($A138,Cuision!$G:$P,10,FALSE),VLOOKUP(W$83,Cuision!$G:$P,9,FALSE),VLOOKUP(W$83,Cuision!$G:$P,10,FALSE)))</f>
        <v>2513.9863482874616</v>
      </c>
      <c r="X138" s="33">
        <f>IF($A138=X$83, 0, distance(VLOOKUP($A138,Cuision!$G:$P,9,FALSE),VLOOKUP($A138,Cuision!$G:$P,10,FALSE),VLOOKUP(X$83,Cuision!$G:$P,9,FALSE),VLOOKUP(X$83,Cuision!$G:$P,10,FALSE)))</f>
        <v>5004.5552194452966</v>
      </c>
      <c r="Y138" s="33">
        <f>IF($A138=Y$83, 0, distance(VLOOKUP($A138,Cuision!$G:$P,9,FALSE),VLOOKUP($A138,Cuision!$G:$P,10,FALSE),VLOOKUP(Y$83,Cuision!$G:$P,9,FALSE),VLOOKUP(Y$83,Cuision!$G:$P,10,FALSE)))</f>
        <v>726.91624570839917</v>
      </c>
      <c r="Z138" s="33">
        <f>IF($A138=Z$83, 0, distance(VLOOKUP($A138,Cuision!$G:$P,9,FALSE),VLOOKUP($A138,Cuision!$G:$P,10,FALSE),VLOOKUP(Z$83,Cuision!$G:$P,9,FALSE),VLOOKUP(Z$83,Cuision!$G:$P,10,FALSE)))</f>
        <v>-1</v>
      </c>
      <c r="AA138" s="33">
        <f>IF($A138=AA$83, 0, distance(VLOOKUP($A138,Cuision!$G:$P,9,FALSE),VLOOKUP($A138,Cuision!$G:$P,10,FALSE),VLOOKUP(AA$83,Cuision!$G:$P,9,FALSE),VLOOKUP(AA$83,Cuision!$G:$P,10,FALSE)))</f>
        <v>7494.4717538843233</v>
      </c>
      <c r="AB138" s="33">
        <f>IF($A138=AB$83, 0, distance(VLOOKUP($A138,Cuision!$G:$P,9,FALSE),VLOOKUP($A138,Cuision!$G:$P,10,FALSE),VLOOKUP(AB$83,Cuision!$G:$P,9,FALSE),VLOOKUP(AB$83,Cuision!$G:$P,10,FALSE)))</f>
        <v>3909.1410365386505</v>
      </c>
      <c r="AC138" s="33">
        <f>IF($A138=AC$83, 0, distance(VLOOKUP($A138,Cuision!$G:$P,9,FALSE),VLOOKUP($A138,Cuision!$G:$P,10,FALSE),VLOOKUP(AC$83,Cuision!$G:$P,9,FALSE),VLOOKUP(AC$83,Cuision!$G:$P,10,FALSE)))</f>
        <v>4747.7883263954263</v>
      </c>
      <c r="AD138" s="33">
        <f>IF($A138=AD$83, 0, distance(VLOOKUP($A138,Cuision!$G:$P,9,FALSE),VLOOKUP($A138,Cuision!$G:$P,10,FALSE),VLOOKUP(AD$83,Cuision!$G:$P,9,FALSE),VLOOKUP(AD$83,Cuision!$G:$P,10,FALSE)))</f>
        <v>2438.6623094599918</v>
      </c>
      <c r="AE138" s="33">
        <f>IF($A138=AE$83, 0, distance(VLOOKUP($A138,Cuision!$G:$P,9,FALSE),VLOOKUP($A138,Cuision!$G:$P,10,FALSE),VLOOKUP(AE$83,Cuision!$G:$P,9,FALSE),VLOOKUP(AE$83,Cuision!$G:$P,10,FALSE)))</f>
        <v>3508.7171413238425</v>
      </c>
      <c r="AF138" s="33">
        <f>IF($A138=AF$83, 0, distance(VLOOKUP($A138,Cuision!$G:$P,9,FALSE),VLOOKUP($A138,Cuision!$G:$P,10,FALSE),VLOOKUP(AF$83,Cuision!$G:$P,9,FALSE),VLOOKUP(AF$83,Cuision!$G:$P,10,FALSE)))</f>
        <v>4378.6746098463709</v>
      </c>
      <c r="AG138" s="33">
        <f>IF($A138=AG$83, 0, distance(VLOOKUP($A138,Cuision!$G:$P,9,FALSE),VLOOKUP($A138,Cuision!$G:$P,10,FALSE),VLOOKUP(AG$83,Cuision!$G:$P,9,FALSE),VLOOKUP(AG$83,Cuision!$G:$P,10,FALSE)))</f>
        <v>3845.0199459862733</v>
      </c>
      <c r="AH138" s="33">
        <f>IF($A138=AH$83, 0, distance(VLOOKUP($A138,Cuision!$G:$P,9,FALSE),VLOOKUP($A138,Cuision!$G:$P,10,FALSE),VLOOKUP(AH$83,Cuision!$G:$P,9,FALSE),VLOOKUP(AH$83,Cuision!$G:$P,10,FALSE)))</f>
        <v>-1</v>
      </c>
      <c r="AI138" s="33">
        <f>IF($A138=AI$83, 0, distance(VLOOKUP($A138,Cuision!$G:$P,9,FALSE),VLOOKUP($A138,Cuision!$G:$P,10,FALSE),VLOOKUP(AI$83,Cuision!$G:$P,9,FALSE),VLOOKUP(AI$83,Cuision!$G:$P,10,FALSE)))</f>
        <v>4055.2163534555484</v>
      </c>
      <c r="AJ138" s="33">
        <f>IF($A138=AJ$83, 0, distance(VLOOKUP($A138,Cuision!$G:$P,9,FALSE),VLOOKUP($A138,Cuision!$G:$P,10,FALSE),VLOOKUP(AJ$83,Cuision!$G:$P,9,FALSE),VLOOKUP(AJ$83,Cuision!$G:$P,10,FALSE)))</f>
        <v>3589.0637776768831</v>
      </c>
      <c r="AK138" s="33">
        <f>IF($A138=AK$83, 0, distance(VLOOKUP($A138,Cuision!$G:$P,9,FALSE),VLOOKUP($A138,Cuision!$G:$P,10,FALSE),VLOOKUP(AK$83,Cuision!$G:$P,9,FALSE),VLOOKUP(AK$83,Cuision!$G:$P,10,FALSE)))</f>
        <v>5542.3448182835773</v>
      </c>
      <c r="AL138" s="33">
        <f>IF($A138=AL$83, 0, distance(VLOOKUP($A138,Cuision!$G:$P,9,FALSE),VLOOKUP($A138,Cuision!$G:$P,10,FALSE),VLOOKUP(AL$83,Cuision!$G:$P,9,FALSE),VLOOKUP(AL$83,Cuision!$G:$P,10,FALSE)))</f>
        <v>1813.2870072008484</v>
      </c>
      <c r="AM138" s="33">
        <f>IF($A138=AM$83, 0, distance(VLOOKUP($A138,Cuision!$G:$P,9,FALSE),VLOOKUP($A138,Cuision!$G:$P,10,FALSE),VLOOKUP(AM$83,Cuision!$G:$P,9,FALSE),VLOOKUP(AM$83,Cuision!$G:$P,10,FALSE)))</f>
        <v>-1</v>
      </c>
      <c r="AN138" s="33">
        <f>IF($A138=AN$83, 0, distance(VLOOKUP($A138,Cuision!$G:$P,9,FALSE),VLOOKUP($A138,Cuision!$G:$P,10,FALSE),VLOOKUP(AN$83,Cuision!$G:$P,9,FALSE),VLOOKUP(AN$83,Cuision!$G:$P,10,FALSE)))</f>
        <v>3845.101361762182</v>
      </c>
      <c r="AO138" s="33">
        <f>IF($A138=AO$83, 0, distance(VLOOKUP($A138,Cuision!$G:$P,9,FALSE),VLOOKUP($A138,Cuision!$G:$P,10,FALSE),VLOOKUP(AO$83,Cuision!$G:$P,9,FALSE),VLOOKUP(AO$83,Cuision!$G:$P,10,FALSE)))</f>
        <v>5004.5552194452966</v>
      </c>
      <c r="AP138" s="33">
        <f>IF($A138=AP$83, 0, distance(VLOOKUP($A138,Cuision!$G:$P,9,FALSE),VLOOKUP($A138,Cuision!$G:$P,10,FALSE),VLOOKUP(AP$83,Cuision!$G:$P,9,FALSE),VLOOKUP(AP$83,Cuision!$G:$P,10,FALSE)))</f>
        <v>2065.8041679469675</v>
      </c>
      <c r="AQ138" s="33">
        <f>IF($A138=AQ$83, 0, distance(VLOOKUP($A138,Cuision!$G:$P,9,FALSE),VLOOKUP($A138,Cuision!$G:$P,10,FALSE),VLOOKUP(AQ$83,Cuision!$G:$P,9,FALSE),VLOOKUP(AQ$83,Cuision!$G:$P,10,FALSE)))</f>
        <v>3739.1512462718024</v>
      </c>
      <c r="AR138" s="33">
        <f>IF($A138=AR$83, 0, distance(VLOOKUP($A138,Cuision!$G:$P,9,FALSE),VLOOKUP($A138,Cuision!$G:$P,10,FALSE),VLOOKUP(AR$83,Cuision!$G:$P,9,FALSE),VLOOKUP(AR$83,Cuision!$G:$P,10,FALSE)))</f>
        <v>4331.238021210751</v>
      </c>
      <c r="AS138" s="33">
        <f>IF($A138=AS$83, 0, distance(VLOOKUP($A138,Cuision!$G:$P,9,FALSE),VLOOKUP($A138,Cuision!$G:$P,10,FALSE),VLOOKUP(AS$83,Cuision!$G:$P,9,FALSE),VLOOKUP(AS$83,Cuision!$G:$P,10,FALSE)))</f>
        <v>4338.3288122925924</v>
      </c>
      <c r="AT138" s="33">
        <f>IF($A138=AT$83, 0, distance(VLOOKUP($A138,Cuision!$G:$P,9,FALSE),VLOOKUP($A138,Cuision!$G:$P,10,FALSE),VLOOKUP(AT$83,Cuision!$G:$P,9,FALSE),VLOOKUP(AT$83,Cuision!$G:$P,10,FALSE)))</f>
        <v>1869.8925122768987</v>
      </c>
      <c r="AU138" s="33">
        <f>IF($A138=AU$83, 0, distance(VLOOKUP($A138,Cuision!$G:$P,9,FALSE),VLOOKUP($A138,Cuision!$G:$P,10,FALSE),VLOOKUP(AU$83,Cuision!$G:$P,9,FALSE),VLOOKUP(AU$83,Cuision!$G:$P,10,FALSE)))</f>
        <v>1239.1898588776862</v>
      </c>
      <c r="AV138" s="33">
        <f>IF($A138=AV$83, 0, distance(VLOOKUP($A138,Cuision!$G:$P,9,FALSE),VLOOKUP($A138,Cuision!$G:$P,10,FALSE),VLOOKUP(AV$83,Cuision!$G:$P,9,FALSE),VLOOKUP(AV$83,Cuision!$G:$P,10,FALSE)))</f>
        <v>3823.0880887745511</v>
      </c>
      <c r="AW138" s="33">
        <f>IF($A138=AW$83, 0, distance(VLOOKUP($A138,Cuision!$G:$P,9,FALSE),VLOOKUP($A138,Cuision!$G:$P,10,FALSE),VLOOKUP(AW$83,Cuision!$G:$P,9,FALSE),VLOOKUP(AW$83,Cuision!$G:$P,10,FALSE)))</f>
        <v>2082.6143694575244</v>
      </c>
      <c r="AX138" s="33">
        <f>IF($A138=AX$83, 0, distance(VLOOKUP($A138,Cuision!$G:$P,9,FALSE),VLOOKUP($A138,Cuision!$G:$P,10,FALSE),VLOOKUP(AX$83,Cuision!$G:$P,9,FALSE),VLOOKUP(AX$83,Cuision!$G:$P,10,FALSE)))</f>
        <v>9352.6830211074484</v>
      </c>
      <c r="AY138" s="33">
        <f>IF($A138=AY$83, 0, distance(VLOOKUP($A138,Cuision!$G:$P,9,FALSE),VLOOKUP($A138,Cuision!$G:$P,10,FALSE),VLOOKUP(AY$83,Cuision!$G:$P,9,FALSE),VLOOKUP(AY$83,Cuision!$G:$P,10,FALSE)))</f>
        <v>-1</v>
      </c>
      <c r="AZ138" s="33">
        <f>IF($A138=AZ$83, 0, distance(VLOOKUP($A138,Cuision!$G:$P,9,FALSE),VLOOKUP($A138,Cuision!$G:$P,10,FALSE),VLOOKUP(AZ$83,Cuision!$G:$P,9,FALSE),VLOOKUP(AZ$83,Cuision!$G:$P,10,FALSE)))</f>
        <v>3108.5525827913075</v>
      </c>
      <c r="BA138" s="33">
        <f>IF($A138=BA$83, 0, distance(VLOOKUP($A138,Cuision!$G:$P,9,FALSE),VLOOKUP($A138,Cuision!$G:$P,10,FALSE),VLOOKUP(BA$83,Cuision!$G:$P,9,FALSE),VLOOKUP(BA$83,Cuision!$G:$P,10,FALSE)))</f>
        <v>4449.1307310963839</v>
      </c>
      <c r="BB138" s="33">
        <f>IF($A138=BB$83, 0, distance(VLOOKUP($A138,Cuision!$G:$P,9,FALSE),VLOOKUP($A138,Cuision!$G:$P,10,FALSE),VLOOKUP(BB$83,Cuision!$G:$P,9,FALSE),VLOOKUP(BB$83,Cuision!$G:$P,10,FALSE)))</f>
        <v>7512.6992345907756</v>
      </c>
      <c r="BC138" s="33">
        <f>IF($A138=BC$83, 0, distance(VLOOKUP($A138,Cuision!$G:$P,9,FALSE),VLOOKUP($A138,Cuision!$G:$P,10,FALSE),VLOOKUP(BC$83,Cuision!$G:$P,9,FALSE),VLOOKUP(BC$83,Cuision!$G:$P,10,FALSE)))</f>
        <v>3589.0637776768831</v>
      </c>
      <c r="BD138" s="33">
        <f>IF($A138=BD$83, 0, distance(VLOOKUP($A138,Cuision!$G:$P,9,FALSE),VLOOKUP($A138,Cuision!$G:$P,10,FALSE),VLOOKUP(BD$83,Cuision!$G:$P,9,FALSE),VLOOKUP(BD$83,Cuision!$G:$P,10,FALSE)))</f>
        <v>0</v>
      </c>
      <c r="BE138" s="33">
        <f>IF($A138=BE$83, 0, distance(VLOOKUP($A138,Cuision!$G:$P,9,FALSE),VLOOKUP($A138,Cuision!$G:$P,10,FALSE),VLOOKUP(BE$83,Cuision!$G:$P,9,FALSE),VLOOKUP(BE$83,Cuision!$G:$P,10,FALSE)))</f>
        <v>5454.6982814498542</v>
      </c>
      <c r="BF138" s="33">
        <f>IF($A138=BF$83, 0, distance(VLOOKUP($A138,Cuision!$G:$P,9,FALSE),VLOOKUP($A138,Cuision!$G:$P,10,FALSE),VLOOKUP(BF$83,Cuision!$G:$P,9,FALSE),VLOOKUP(BF$83,Cuision!$G:$P,10,FALSE)))</f>
        <v>2000.1685132490272</v>
      </c>
      <c r="BG138" s="33">
        <f>IF($A138=BG$83, 0, distance(VLOOKUP($A138,Cuision!$G:$P,9,FALSE),VLOOKUP($A138,Cuision!$G:$P,10,FALSE),VLOOKUP(BG$83,Cuision!$G:$P,9,FALSE),VLOOKUP(BG$83,Cuision!$G:$P,10,FALSE)))</f>
        <v>2910.881597138356</v>
      </c>
      <c r="BH138" s="33">
        <f>IF($A138=BH$83, 0, distance(VLOOKUP($A138,Cuision!$G:$P,9,FALSE),VLOOKUP($A138,Cuision!$G:$P,10,FALSE),VLOOKUP(BH$83,Cuision!$G:$P,9,FALSE),VLOOKUP(BH$83,Cuision!$G:$P,10,FALSE)))</f>
        <v>9947.6516829761931</v>
      </c>
      <c r="BI138" s="33">
        <f>IF($A138=BI$83, 0, distance(VLOOKUP($A138,Cuision!$G:$P,9,FALSE),VLOOKUP($A138,Cuision!$G:$P,10,FALSE),VLOOKUP(BI$83,Cuision!$G:$P,9,FALSE),VLOOKUP(BI$83,Cuision!$G:$P,10,FALSE)))</f>
        <v>3590.1031243962657</v>
      </c>
      <c r="BJ138" s="33">
        <f>IF($A138=BJ$83, 0, distance(VLOOKUP($A138,Cuision!$G:$P,9,FALSE),VLOOKUP($A138,Cuision!$G:$P,10,FALSE),VLOOKUP(BJ$83,Cuision!$G:$P,9,FALSE),VLOOKUP(BJ$83,Cuision!$G:$P,10,FALSE)))</f>
        <v>5279.6594717784064</v>
      </c>
      <c r="BK138" s="33">
        <f>IF($A138=BK$83, 0, distance(VLOOKUP($A138,Cuision!$G:$P,9,FALSE),VLOOKUP($A138,Cuision!$G:$P,10,FALSE),VLOOKUP(BK$83,Cuision!$G:$P,9,FALSE),VLOOKUP(BK$83,Cuision!$G:$P,10,FALSE)))</f>
        <v>2878.9003442033577</v>
      </c>
      <c r="BL138" s="33">
        <f>IF($A138=BL$83, 0, distance(VLOOKUP($A138,Cuision!$G:$P,9,FALSE),VLOOKUP($A138,Cuision!$G:$P,10,FALSE),VLOOKUP(BL$83,Cuision!$G:$P,9,FALSE),VLOOKUP(BL$83,Cuision!$G:$P,10,FALSE)))</f>
        <v>-1</v>
      </c>
      <c r="BM138" s="33">
        <f>IF($A138=BM$83, 0, distance(VLOOKUP($A138,Cuision!$G:$P,9,FALSE),VLOOKUP($A138,Cuision!$G:$P,10,FALSE),VLOOKUP(BM$83,Cuision!$G:$P,9,FALSE),VLOOKUP(BM$83,Cuision!$G:$P,10,FALSE)))</f>
        <v>-1</v>
      </c>
      <c r="BN138" s="33">
        <f>IF($A138=BN$83, 0, distance(VLOOKUP($A138,Cuision!$G:$P,9,FALSE),VLOOKUP($A138,Cuision!$G:$P,10,FALSE),VLOOKUP(BN$83,Cuision!$G:$P,9,FALSE),VLOOKUP(BN$83,Cuision!$G:$P,10,FALSE)))</f>
        <v>4331.238021210751</v>
      </c>
      <c r="BO138" s="33">
        <f>IF($A138=BO$83, 0, distance(VLOOKUP($A138,Cuision!$G:$P,9,FALSE),VLOOKUP($A138,Cuision!$G:$P,10,FALSE),VLOOKUP(BO$83,Cuision!$G:$P,9,FALSE),VLOOKUP(BO$83,Cuision!$G:$P,10,FALSE)))</f>
        <v>3226.075165795115</v>
      </c>
      <c r="BP138" s="33">
        <f>IF($A138=BP$83, 0, distance(VLOOKUP($A138,Cuision!$G:$P,9,FALSE),VLOOKUP($A138,Cuision!$G:$P,10,FALSE),VLOOKUP(BP$83,Cuision!$G:$P,9,FALSE),VLOOKUP(BP$83,Cuision!$G:$P,10,FALSE)))</f>
        <v>3891.0452197730601</v>
      </c>
      <c r="BQ138" s="33">
        <f>IF($A138=BQ$83, 0, distance(VLOOKUP($A138,Cuision!$G:$P,9,FALSE),VLOOKUP($A138,Cuision!$G:$P,10,FALSE),VLOOKUP(BQ$83,Cuision!$G:$P,9,FALSE),VLOOKUP(BQ$83,Cuision!$G:$P,10,FALSE)))</f>
        <v>-1</v>
      </c>
      <c r="BR138" s="33">
        <f>IF($A138=BR$83, 0, distance(VLOOKUP($A138,Cuision!$G:$P,9,FALSE),VLOOKUP($A138,Cuision!$G:$P,10,FALSE),VLOOKUP(BR$83,Cuision!$G:$P,9,FALSE),VLOOKUP(BR$83,Cuision!$G:$P,10,FALSE)))</f>
        <v>6433.658644858926</v>
      </c>
      <c r="BS138" s="33">
        <f>IF($A138=BS$83, 0, distance(VLOOKUP($A138,Cuision!$G:$P,9,FALSE),VLOOKUP($A138,Cuision!$G:$P,10,FALSE),VLOOKUP(BS$83,Cuision!$G:$P,9,FALSE),VLOOKUP(BS$83,Cuision!$G:$P,10,FALSE)))</f>
        <v>726.91624570839917</v>
      </c>
      <c r="BT138" s="33">
        <f>IF($A138=BT$83, 0, distance(VLOOKUP($A138,Cuision!$G:$P,9,FALSE),VLOOKUP($A138,Cuision!$G:$P,10,FALSE),VLOOKUP(BT$83,Cuision!$G:$P,9,FALSE),VLOOKUP(BT$83,Cuision!$G:$P,10,FALSE)))</f>
        <v>5004.5552194452966</v>
      </c>
      <c r="BU138" s="33">
        <f>IF($A138=BU$83, 0, distance(VLOOKUP($A138,Cuision!$G:$P,9,FALSE),VLOOKUP($A138,Cuision!$G:$P,10,FALSE),VLOOKUP(BU$83,Cuision!$G:$P,9,FALSE),VLOOKUP(BU$83,Cuision!$G:$P,10,FALSE)))</f>
        <v>2388.3934012357572</v>
      </c>
      <c r="BV138" s="33">
        <f>IF($A138=BV$83, 0, distance(VLOOKUP($A138,Cuision!$G:$P,9,FALSE),VLOOKUP($A138,Cuision!$G:$P,10,FALSE),VLOOKUP(BV$83,Cuision!$G:$P,9,FALSE),VLOOKUP(BV$83,Cuision!$G:$P,10,FALSE)))</f>
        <v>3582.658925934179</v>
      </c>
      <c r="BW138" s="33">
        <f>IF($A138=BW$83, 0, distance(VLOOKUP($A138,Cuision!$G:$P,9,FALSE),VLOOKUP($A138,Cuision!$G:$P,10,FALSE),VLOOKUP(BW$83,Cuision!$G:$P,9,FALSE),VLOOKUP(BW$83,Cuision!$G:$P,10,FALSE)))</f>
        <v>3296.4298206461663</v>
      </c>
      <c r="BX138" s="33">
        <f>IF($A138=BX$83, 0, distance(VLOOKUP($A138,Cuision!$G:$P,9,FALSE),VLOOKUP($A138,Cuision!$G:$P,10,FALSE),VLOOKUP(BX$83,Cuision!$G:$P,9,FALSE),VLOOKUP(BX$83,Cuision!$G:$P,10,FALSE)))</f>
        <v>1888.9875560274259</v>
      </c>
      <c r="BY138" s="33">
        <f>IF($A138=BY$83, 0, distance(VLOOKUP($A138,Cuision!$G:$P,9,FALSE),VLOOKUP($A138,Cuision!$G:$P,10,FALSE),VLOOKUP(BY$83,Cuision!$G:$P,9,FALSE),VLOOKUP(BY$83,Cuision!$G:$P,10,FALSE)))</f>
        <v>-1</v>
      </c>
      <c r="BZ138" s="33">
        <f>IF($A138=BZ$83, 0, distance(VLOOKUP($A138,Cuision!$G:$P,9,FALSE),VLOOKUP($A138,Cuision!$G:$P,10,FALSE),VLOOKUP(BZ$83,Cuision!$G:$P,9,FALSE),VLOOKUP(BZ$83,Cuision!$G:$P,10,FALSE)))</f>
        <v>-1</v>
      </c>
      <c r="CA138" s="33">
        <f>IF($A138=CA$83, 0, distance(VLOOKUP($A138,Cuision!$G:$P,9,FALSE),VLOOKUP($A138,Cuision!$G:$P,10,FALSE),VLOOKUP(CA$83,Cuision!$G:$P,9,FALSE),VLOOKUP(CA$83,Cuision!$G:$P,10,FALSE)))</f>
        <v>1858.7320327475625</v>
      </c>
    </row>
    <row r="139" spans="1:79" ht="14.25" x14ac:dyDescent="0.2">
      <c r="A139" s="30" t="s">
        <v>109</v>
      </c>
      <c r="B139" s="33">
        <f>IF($A139=B$83, 0, distance(VLOOKUP($A139,Cuision!$G:$P,9,FALSE),VLOOKUP($A139,Cuision!$G:$P,10,FALSE),VLOOKUP(B$83,Cuision!$G:$P,9,FALSE),VLOOKUP(B$83,Cuision!$G:$P,10,FALSE)))</f>
        <v>4226.0053181165931</v>
      </c>
      <c r="C139" s="33">
        <f>IF($A139=C$83, 0, distance(VLOOKUP($A139,Cuision!$G:$P,9,FALSE),VLOOKUP($A139,Cuision!$G:$P,10,FALSE),VLOOKUP(C$83,Cuision!$G:$P,9,FALSE),VLOOKUP(C$83,Cuision!$G:$P,10,FALSE)))</f>
        <v>4008.347494455702</v>
      </c>
      <c r="D139" s="33">
        <f>IF($A139=D$83, 0, distance(VLOOKUP($A139,Cuision!$G:$P,9,FALSE),VLOOKUP($A139,Cuision!$G:$P,10,FALSE),VLOOKUP(D$83,Cuision!$G:$P,9,FALSE),VLOOKUP(D$83,Cuision!$G:$P,10,FALSE)))</f>
        <v>3818.8305748681173</v>
      </c>
      <c r="E139" s="33">
        <f>IF($A139=E$83, 0, distance(VLOOKUP($A139,Cuision!$G:$P,9,FALSE),VLOOKUP($A139,Cuision!$G:$P,10,FALSE),VLOOKUP(E$83,Cuision!$G:$P,9,FALSE),VLOOKUP(E$83,Cuision!$G:$P,10,FALSE)))</f>
        <v>3818.8305748681173</v>
      </c>
      <c r="F139" s="33">
        <f>IF($A139=F$83, 0, distance(VLOOKUP($A139,Cuision!$G:$P,9,FALSE),VLOOKUP($A139,Cuision!$G:$P,10,FALSE),VLOOKUP(F$83,Cuision!$G:$P,9,FALSE),VLOOKUP(F$83,Cuision!$G:$P,10,FALSE)))</f>
        <v>2894.6643241480492</v>
      </c>
      <c r="G139" s="33">
        <f>IF($A139=G$83, 0, distance(VLOOKUP($A139,Cuision!$G:$P,9,FALSE),VLOOKUP($A139,Cuision!$G:$P,10,FALSE),VLOOKUP(G$83,Cuision!$G:$P,9,FALSE),VLOOKUP(G$83,Cuision!$G:$P,10,FALSE)))</f>
        <v>5795.5252267638125</v>
      </c>
      <c r="H139" s="33">
        <f>IF($A139=H$83, 0, distance(VLOOKUP($A139,Cuision!$G:$P,9,FALSE),VLOOKUP($A139,Cuision!$G:$P,10,FALSE),VLOOKUP(H$83,Cuision!$G:$P,9,FALSE),VLOOKUP(H$83,Cuision!$G:$P,10,FALSE)))</f>
        <v>2821.7610130336552</v>
      </c>
      <c r="I139" s="33">
        <f>IF($A139=I$83, 0, distance(VLOOKUP($A139,Cuision!$G:$P,9,FALSE),VLOOKUP($A139,Cuision!$G:$P,10,FALSE),VLOOKUP(I$83,Cuision!$G:$P,9,FALSE),VLOOKUP(I$83,Cuision!$G:$P,10,FALSE)))</f>
        <v>5792.9057687975146</v>
      </c>
      <c r="J139" s="33">
        <f>IF($A139=J$83, 0, distance(VLOOKUP($A139,Cuision!$G:$P,9,FALSE),VLOOKUP($A139,Cuision!$G:$P,10,FALSE),VLOOKUP(J$83,Cuision!$G:$P,9,FALSE),VLOOKUP(J$83,Cuision!$G:$P,10,FALSE)))</f>
        <v>11070.297528927775</v>
      </c>
      <c r="K139" s="33">
        <f>IF($A139=K$83, 0, distance(VLOOKUP($A139,Cuision!$G:$P,9,FALSE),VLOOKUP($A139,Cuision!$G:$P,10,FALSE),VLOOKUP(K$83,Cuision!$G:$P,9,FALSE),VLOOKUP(K$83,Cuision!$G:$P,10,FALSE)))</f>
        <v>1545.2346993489566</v>
      </c>
      <c r="L139" s="33">
        <f>IF($A139=L$83, 0, distance(VLOOKUP($A139,Cuision!$G:$P,9,FALSE),VLOOKUP($A139,Cuision!$G:$P,10,FALSE),VLOOKUP(L$83,Cuision!$G:$P,9,FALSE),VLOOKUP(L$83,Cuision!$G:$P,10,FALSE)))</f>
        <v>5704.9644932308629</v>
      </c>
      <c r="M139" s="33">
        <f>IF($A139=M$83, 0, distance(VLOOKUP($A139,Cuision!$G:$P,9,FALSE),VLOOKUP($A139,Cuision!$G:$P,10,FALSE),VLOOKUP(M$83,Cuision!$G:$P,9,FALSE),VLOOKUP(M$83,Cuision!$G:$P,10,FALSE)))</f>
        <v>-1</v>
      </c>
      <c r="N139" s="33">
        <f>IF($A139=N$83, 0, distance(VLOOKUP($A139,Cuision!$G:$P,9,FALSE),VLOOKUP($A139,Cuision!$G:$P,10,FALSE),VLOOKUP(N$83,Cuision!$G:$P,9,FALSE),VLOOKUP(N$83,Cuision!$G:$P,10,FALSE)))</f>
        <v>475.0815349941451</v>
      </c>
      <c r="O139" s="33">
        <f>IF($A139=O$83, 0, distance(VLOOKUP($A139,Cuision!$G:$P,9,FALSE),VLOOKUP($A139,Cuision!$G:$P,10,FALSE),VLOOKUP(O$83,Cuision!$G:$P,9,FALSE),VLOOKUP(O$83,Cuision!$G:$P,10,FALSE)))</f>
        <v>1292.2858423960856</v>
      </c>
      <c r="P139" s="33">
        <f>IF($A139=P$83, 0, distance(VLOOKUP($A139,Cuision!$G:$P,9,FALSE),VLOOKUP($A139,Cuision!$G:$P,10,FALSE),VLOOKUP(P$83,Cuision!$G:$P,9,FALSE),VLOOKUP(P$83,Cuision!$G:$P,10,FALSE)))</f>
        <v>4374.772351817498</v>
      </c>
      <c r="Q139" s="33">
        <f>IF($A139=Q$83, 0, distance(VLOOKUP($A139,Cuision!$G:$P,9,FALSE),VLOOKUP($A139,Cuision!$G:$P,10,FALSE),VLOOKUP(Q$83,Cuision!$G:$P,9,FALSE),VLOOKUP(Q$83,Cuision!$G:$P,10,FALSE)))</f>
        <v>-1</v>
      </c>
      <c r="R139" s="33">
        <f>IF($A139=R$83, 0, distance(VLOOKUP($A139,Cuision!$G:$P,9,FALSE),VLOOKUP($A139,Cuision!$G:$P,10,FALSE),VLOOKUP(R$83,Cuision!$G:$P,9,FALSE),VLOOKUP(R$83,Cuision!$G:$P,10,FALSE)))</f>
        <v>1254.6271238950251</v>
      </c>
      <c r="S139" s="33">
        <f>IF($A139=S$83, 0, distance(VLOOKUP($A139,Cuision!$G:$P,9,FALSE),VLOOKUP($A139,Cuision!$G:$P,10,FALSE),VLOOKUP(S$83,Cuision!$G:$P,9,FALSE),VLOOKUP(S$83,Cuision!$G:$P,10,FALSE)))</f>
        <v>-1</v>
      </c>
      <c r="T139" s="33">
        <f>IF($A139=T$83, 0, distance(VLOOKUP($A139,Cuision!$G:$P,9,FALSE),VLOOKUP($A139,Cuision!$G:$P,10,FALSE),VLOOKUP(T$83,Cuision!$G:$P,9,FALSE),VLOOKUP(T$83,Cuision!$G:$P,10,FALSE)))</f>
        <v>6162.5265800903917</v>
      </c>
      <c r="U139" s="33">
        <f>IF($A139=U$83, 0, distance(VLOOKUP($A139,Cuision!$G:$P,9,FALSE),VLOOKUP($A139,Cuision!$G:$P,10,FALSE),VLOOKUP(U$83,Cuision!$G:$P,9,FALSE),VLOOKUP(U$83,Cuision!$G:$P,10,FALSE)))</f>
        <v>-1</v>
      </c>
      <c r="V139" s="33">
        <f>IF($A139=V$83, 0, distance(VLOOKUP($A139,Cuision!$G:$P,9,FALSE),VLOOKUP($A139,Cuision!$G:$P,10,FALSE),VLOOKUP(V$83,Cuision!$G:$P,9,FALSE),VLOOKUP(V$83,Cuision!$G:$P,10,FALSE)))</f>
        <v>3818.8305748681173</v>
      </c>
      <c r="W139" s="33">
        <f>IF($A139=W$83, 0, distance(VLOOKUP($A139,Cuision!$G:$P,9,FALSE),VLOOKUP($A139,Cuision!$G:$P,10,FALSE),VLOOKUP(W$83,Cuision!$G:$P,9,FALSE),VLOOKUP(W$83,Cuision!$G:$P,10,FALSE)))</f>
        <v>6970.1962086668345</v>
      </c>
      <c r="X139" s="33">
        <f>IF($A139=X$83, 0, distance(VLOOKUP($A139,Cuision!$G:$P,9,FALSE),VLOOKUP($A139,Cuision!$G:$P,10,FALSE),VLOOKUP(X$83,Cuision!$G:$P,9,FALSE),VLOOKUP(X$83,Cuision!$G:$P,10,FALSE)))</f>
        <v>475.0815349941451</v>
      </c>
      <c r="Y139" s="33">
        <f>IF($A139=Y$83, 0, distance(VLOOKUP($A139,Cuision!$G:$P,9,FALSE),VLOOKUP($A139,Cuision!$G:$P,10,FALSE),VLOOKUP(Y$83,Cuision!$G:$P,9,FALSE),VLOOKUP(Y$83,Cuision!$G:$P,10,FALSE)))</f>
        <v>6176.8506995570151</v>
      </c>
      <c r="Z139" s="33">
        <f>IF($A139=Z$83, 0, distance(VLOOKUP($A139,Cuision!$G:$P,9,FALSE),VLOOKUP($A139,Cuision!$G:$P,10,FALSE),VLOOKUP(Z$83,Cuision!$G:$P,9,FALSE),VLOOKUP(Z$83,Cuision!$G:$P,10,FALSE)))</f>
        <v>-1</v>
      </c>
      <c r="AA139" s="33">
        <f>IF($A139=AA$83, 0, distance(VLOOKUP($A139,Cuision!$G:$P,9,FALSE),VLOOKUP($A139,Cuision!$G:$P,10,FALSE),VLOOKUP(AA$83,Cuision!$G:$P,9,FALSE),VLOOKUP(AA$83,Cuision!$G:$P,10,FALSE)))</f>
        <v>4546.0465721407681</v>
      </c>
      <c r="AB139" s="33">
        <f>IF($A139=AB$83, 0, distance(VLOOKUP($A139,Cuision!$G:$P,9,FALSE),VLOOKUP($A139,Cuision!$G:$P,10,FALSE),VLOOKUP(AB$83,Cuision!$G:$P,9,FALSE),VLOOKUP(AB$83,Cuision!$G:$P,10,FALSE)))</f>
        <v>1545.8561362809646</v>
      </c>
      <c r="AC139" s="33">
        <f>IF($A139=AC$83, 0, distance(VLOOKUP($A139,Cuision!$G:$P,9,FALSE),VLOOKUP($A139,Cuision!$G:$P,10,FALSE),VLOOKUP(AC$83,Cuision!$G:$P,9,FALSE),VLOOKUP(AC$83,Cuision!$G:$P,10,FALSE)))</f>
        <v>3360.9841592238572</v>
      </c>
      <c r="AD139" s="33">
        <f>IF($A139=AD$83, 0, distance(VLOOKUP($A139,Cuision!$G:$P,9,FALSE),VLOOKUP($A139,Cuision!$G:$P,10,FALSE),VLOOKUP(AD$83,Cuision!$G:$P,9,FALSE),VLOOKUP(AD$83,Cuision!$G:$P,10,FALSE)))</f>
        <v>7636.8488811724828</v>
      </c>
      <c r="AE139" s="33">
        <f>IF($A139=AE$83, 0, distance(VLOOKUP($A139,Cuision!$G:$P,9,FALSE),VLOOKUP($A139,Cuision!$G:$P,10,FALSE),VLOOKUP(AE$83,Cuision!$G:$P,9,FALSE),VLOOKUP(AE$83,Cuision!$G:$P,10,FALSE)))</f>
        <v>2124.9220126873065</v>
      </c>
      <c r="AF139" s="33">
        <f>IF($A139=AF$83, 0, distance(VLOOKUP($A139,Cuision!$G:$P,9,FALSE),VLOOKUP($A139,Cuision!$G:$P,10,FALSE),VLOOKUP(AF$83,Cuision!$G:$P,9,FALSE),VLOOKUP(AF$83,Cuision!$G:$P,10,FALSE)))</f>
        <v>1128.2362005181431</v>
      </c>
      <c r="AG139" s="33">
        <f>IF($A139=AG$83, 0, distance(VLOOKUP($A139,Cuision!$G:$P,9,FALSE),VLOOKUP($A139,Cuision!$G:$P,10,FALSE),VLOOKUP(AG$83,Cuision!$G:$P,9,FALSE),VLOOKUP(AG$83,Cuision!$G:$P,10,FALSE)))</f>
        <v>1622.9940334241837</v>
      </c>
      <c r="AH139" s="33">
        <f>IF($A139=AH$83, 0, distance(VLOOKUP($A139,Cuision!$G:$P,9,FALSE),VLOOKUP($A139,Cuision!$G:$P,10,FALSE),VLOOKUP(AH$83,Cuision!$G:$P,9,FALSE),VLOOKUP(AH$83,Cuision!$G:$P,10,FALSE)))</f>
        <v>-1</v>
      </c>
      <c r="AI139" s="33">
        <f>IF($A139=AI$83, 0, distance(VLOOKUP($A139,Cuision!$G:$P,9,FALSE),VLOOKUP($A139,Cuision!$G:$P,10,FALSE),VLOOKUP(AI$83,Cuision!$G:$P,9,FALSE),VLOOKUP(AI$83,Cuision!$G:$P,10,FALSE)))</f>
        <v>1721.690103600368</v>
      </c>
      <c r="AJ139" s="33">
        <f>IF($A139=AJ$83, 0, distance(VLOOKUP($A139,Cuision!$G:$P,9,FALSE),VLOOKUP($A139,Cuision!$G:$P,10,FALSE),VLOOKUP(AJ$83,Cuision!$G:$P,9,FALSE),VLOOKUP(AJ$83,Cuision!$G:$P,10,FALSE)))</f>
        <v>2894.6643241480492</v>
      </c>
      <c r="AK139" s="33">
        <f>IF($A139=AK$83, 0, distance(VLOOKUP($A139,Cuision!$G:$P,9,FALSE),VLOOKUP($A139,Cuision!$G:$P,10,FALSE),VLOOKUP(AK$83,Cuision!$G:$P,9,FALSE),VLOOKUP(AK$83,Cuision!$G:$P,10,FALSE)))</f>
        <v>8182.0842485105613</v>
      </c>
      <c r="AL139" s="33">
        <f>IF($A139=AL$83, 0, distance(VLOOKUP($A139,Cuision!$G:$P,9,FALSE),VLOOKUP($A139,Cuision!$G:$P,10,FALSE),VLOOKUP(AL$83,Cuision!$G:$P,9,FALSE),VLOOKUP(AL$83,Cuision!$G:$P,10,FALSE)))</f>
        <v>5289.3578334777412</v>
      </c>
      <c r="AM139" s="33">
        <f>IF($A139=AM$83, 0, distance(VLOOKUP($A139,Cuision!$G:$P,9,FALSE),VLOOKUP($A139,Cuision!$G:$P,10,FALSE),VLOOKUP(AM$83,Cuision!$G:$P,9,FALSE),VLOOKUP(AM$83,Cuision!$G:$P,10,FALSE)))</f>
        <v>-1</v>
      </c>
      <c r="AN139" s="33">
        <f>IF($A139=AN$83, 0, distance(VLOOKUP($A139,Cuision!$G:$P,9,FALSE),VLOOKUP($A139,Cuision!$G:$P,10,FALSE),VLOOKUP(AN$83,Cuision!$G:$P,9,FALSE),VLOOKUP(AN$83,Cuision!$G:$P,10,FALSE)))</f>
        <v>1631.2564619587445</v>
      </c>
      <c r="AO139" s="33">
        <f>IF($A139=AO$83, 0, distance(VLOOKUP($A139,Cuision!$G:$P,9,FALSE),VLOOKUP($A139,Cuision!$G:$P,10,FALSE),VLOOKUP(AO$83,Cuision!$G:$P,9,FALSE),VLOOKUP(AO$83,Cuision!$G:$P,10,FALSE)))</f>
        <v>475.0815349941451</v>
      </c>
      <c r="AP139" s="33">
        <f>IF($A139=AP$83, 0, distance(VLOOKUP($A139,Cuision!$G:$P,9,FALSE),VLOOKUP($A139,Cuision!$G:$P,10,FALSE),VLOOKUP(AP$83,Cuision!$G:$P,9,FALSE),VLOOKUP(AP$83,Cuision!$G:$P,10,FALSE)))</f>
        <v>4830.0302722295401</v>
      </c>
      <c r="AQ139" s="33">
        <f>IF($A139=AQ$83, 0, distance(VLOOKUP($A139,Cuision!$G:$P,9,FALSE),VLOOKUP($A139,Cuision!$G:$P,10,FALSE),VLOOKUP(AQ$83,Cuision!$G:$P,9,FALSE),VLOOKUP(AQ$83,Cuision!$G:$P,10,FALSE)))</f>
        <v>7810.3788900848749</v>
      </c>
      <c r="AR139" s="33">
        <f>IF($A139=AR$83, 0, distance(VLOOKUP($A139,Cuision!$G:$P,9,FALSE),VLOOKUP($A139,Cuision!$G:$P,10,FALSE),VLOOKUP(AR$83,Cuision!$G:$P,9,FALSE),VLOOKUP(AR$83,Cuision!$G:$P,10,FALSE)))</f>
        <v>1254.6271238950251</v>
      </c>
      <c r="AS139" s="33">
        <f>IF($A139=AS$83, 0, distance(VLOOKUP($A139,Cuision!$G:$P,9,FALSE),VLOOKUP($A139,Cuision!$G:$P,10,FALSE),VLOOKUP(AS$83,Cuision!$G:$P,9,FALSE),VLOOKUP(AS$83,Cuision!$G:$P,10,FALSE)))</f>
        <v>1180.7777714430811</v>
      </c>
      <c r="AT139" s="33">
        <f>IF($A139=AT$83, 0, distance(VLOOKUP($A139,Cuision!$G:$P,9,FALSE),VLOOKUP($A139,Cuision!$G:$P,10,FALSE),VLOOKUP(AT$83,Cuision!$G:$P,9,FALSE),VLOOKUP(AT$83,Cuision!$G:$P,10,FALSE)))</f>
        <v>7158.0757364630626</v>
      </c>
      <c r="AU139" s="33">
        <f>IF($A139=AU$83, 0, distance(VLOOKUP($A139,Cuision!$G:$P,9,FALSE),VLOOKUP($A139,Cuision!$G:$P,10,FALSE),VLOOKUP(AU$83,Cuision!$G:$P,9,FALSE),VLOOKUP(AU$83,Cuision!$G:$P,10,FALSE)))</f>
        <v>6669.5360068183354</v>
      </c>
      <c r="AV139" s="33">
        <f>IF($A139=AV$83, 0, distance(VLOOKUP($A139,Cuision!$G:$P,9,FALSE),VLOOKUP($A139,Cuision!$G:$P,10,FALSE),VLOOKUP(AV$83,Cuision!$G:$P,9,FALSE),VLOOKUP(AV$83,Cuision!$G:$P,10,FALSE)))</f>
        <v>2182.4061909499342</v>
      </c>
      <c r="AW139" s="33">
        <f>IF($A139=AW$83, 0, distance(VLOOKUP($A139,Cuision!$G:$P,9,FALSE),VLOOKUP($A139,Cuision!$G:$P,10,FALSE),VLOOKUP(AW$83,Cuision!$G:$P,9,FALSE),VLOOKUP(AW$83,Cuision!$G:$P,10,FALSE)))</f>
        <v>6573.792746673892</v>
      </c>
      <c r="AX139" s="33">
        <f>IF($A139=AX$83, 0, distance(VLOOKUP($A139,Cuision!$G:$P,9,FALSE),VLOOKUP($A139,Cuision!$G:$P,10,FALSE),VLOOKUP(AX$83,Cuision!$G:$P,9,FALSE),VLOOKUP(AX$83,Cuision!$G:$P,10,FALSE)))</f>
        <v>4429.3902059897155</v>
      </c>
      <c r="AY139" s="33">
        <f>IF($A139=AY$83, 0, distance(VLOOKUP($A139,Cuision!$G:$P,9,FALSE),VLOOKUP($A139,Cuision!$G:$P,10,FALSE),VLOOKUP(AY$83,Cuision!$G:$P,9,FALSE),VLOOKUP(AY$83,Cuision!$G:$P,10,FALSE)))</f>
        <v>-1</v>
      </c>
      <c r="AZ139" s="33">
        <f>IF($A139=AZ$83, 0, distance(VLOOKUP($A139,Cuision!$G:$P,9,FALSE),VLOOKUP($A139,Cuision!$G:$P,10,FALSE),VLOOKUP(AZ$83,Cuision!$G:$P,9,FALSE),VLOOKUP(AZ$83,Cuision!$G:$P,10,FALSE)))</f>
        <v>7146.0200239087426</v>
      </c>
      <c r="BA139" s="33">
        <f>IF($A139=BA$83, 0, distance(VLOOKUP($A139,Cuision!$G:$P,9,FALSE),VLOOKUP($A139,Cuision!$G:$P,10,FALSE),VLOOKUP(BA$83,Cuision!$G:$P,9,FALSE),VLOOKUP(BA$83,Cuision!$G:$P,10,FALSE)))</f>
        <v>1417.1285413016483</v>
      </c>
      <c r="BB139" s="33">
        <f>IF($A139=BB$83, 0, distance(VLOOKUP($A139,Cuision!$G:$P,9,FALSE),VLOOKUP($A139,Cuision!$G:$P,10,FALSE),VLOOKUP(BB$83,Cuision!$G:$P,9,FALSE),VLOOKUP(BB$83,Cuision!$G:$P,10,FALSE)))</f>
        <v>5603.2639833207013</v>
      </c>
      <c r="BC139" s="33">
        <f>IF($A139=BC$83, 0, distance(VLOOKUP($A139,Cuision!$G:$P,9,FALSE),VLOOKUP($A139,Cuision!$G:$P,10,FALSE),VLOOKUP(BC$83,Cuision!$G:$P,9,FALSE),VLOOKUP(BC$83,Cuision!$G:$P,10,FALSE)))</f>
        <v>2894.6643241480492</v>
      </c>
      <c r="BD139" s="33">
        <f>IF($A139=BD$83, 0, distance(VLOOKUP($A139,Cuision!$G:$P,9,FALSE),VLOOKUP($A139,Cuision!$G:$P,10,FALSE),VLOOKUP(BD$83,Cuision!$G:$P,9,FALSE),VLOOKUP(BD$83,Cuision!$G:$P,10,FALSE)))</f>
        <v>5454.6982814498542</v>
      </c>
      <c r="BE139" s="33">
        <f>IF($A139=BE$83, 0, distance(VLOOKUP($A139,Cuision!$G:$P,9,FALSE),VLOOKUP($A139,Cuision!$G:$P,10,FALSE),VLOOKUP(BE$83,Cuision!$G:$P,9,FALSE),VLOOKUP(BE$83,Cuision!$G:$P,10,FALSE)))</f>
        <v>0</v>
      </c>
      <c r="BF139" s="33">
        <f>IF($A139=BF$83, 0, distance(VLOOKUP($A139,Cuision!$G:$P,9,FALSE),VLOOKUP($A139,Cuision!$G:$P,10,FALSE),VLOOKUP(BF$83,Cuision!$G:$P,9,FALSE),VLOOKUP(BF$83,Cuision!$G:$P,10,FALSE)))</f>
        <v>4450.7603009674567</v>
      </c>
      <c r="BG139" s="33">
        <f>IF($A139=BG$83, 0, distance(VLOOKUP($A139,Cuision!$G:$P,9,FALSE),VLOOKUP($A139,Cuision!$G:$P,10,FALSE),VLOOKUP(BG$83,Cuision!$G:$P,9,FALSE),VLOOKUP(BG$83,Cuision!$G:$P,10,FALSE)))</f>
        <v>3254.8336950998355</v>
      </c>
      <c r="BH139" s="33">
        <f>IF($A139=BH$83, 0, distance(VLOOKUP($A139,Cuision!$G:$P,9,FALSE),VLOOKUP($A139,Cuision!$G:$P,10,FALSE),VLOOKUP(BH$83,Cuision!$G:$P,9,FALSE),VLOOKUP(BH$83,Cuision!$G:$P,10,FALSE)))</f>
        <v>5590.2479585175588</v>
      </c>
      <c r="BI139" s="33">
        <f>IF($A139=BI$83, 0, distance(VLOOKUP($A139,Cuision!$G:$P,9,FALSE),VLOOKUP($A139,Cuision!$G:$P,10,FALSE),VLOOKUP(BI$83,Cuision!$G:$P,9,FALSE),VLOOKUP(BI$83,Cuision!$G:$P,10,FALSE)))</f>
        <v>1864.6410873227003</v>
      </c>
      <c r="BJ139" s="33">
        <f>IF($A139=BJ$83, 0, distance(VLOOKUP($A139,Cuision!$G:$P,9,FALSE),VLOOKUP($A139,Cuision!$G:$P,10,FALSE),VLOOKUP(BJ$83,Cuision!$G:$P,9,FALSE),VLOOKUP(BJ$83,Cuision!$G:$P,10,FALSE)))</f>
        <v>349.63292329795064</v>
      </c>
      <c r="BK139" s="33">
        <f>IF($A139=BK$83, 0, distance(VLOOKUP($A139,Cuision!$G:$P,9,FALSE),VLOOKUP($A139,Cuision!$G:$P,10,FALSE),VLOOKUP(BK$83,Cuision!$G:$P,9,FALSE),VLOOKUP(BK$83,Cuision!$G:$P,10,FALSE)))</f>
        <v>2577.6561791321515</v>
      </c>
      <c r="BL139" s="33">
        <f>IF($A139=BL$83, 0, distance(VLOOKUP($A139,Cuision!$G:$P,9,FALSE),VLOOKUP($A139,Cuision!$G:$P,10,FALSE),VLOOKUP(BL$83,Cuision!$G:$P,9,FALSE),VLOOKUP(BL$83,Cuision!$G:$P,10,FALSE)))</f>
        <v>-1</v>
      </c>
      <c r="BM139" s="33">
        <f>IF($A139=BM$83, 0, distance(VLOOKUP($A139,Cuision!$G:$P,9,FALSE),VLOOKUP($A139,Cuision!$G:$P,10,FALSE),VLOOKUP(BM$83,Cuision!$G:$P,9,FALSE),VLOOKUP(BM$83,Cuision!$G:$P,10,FALSE)))</f>
        <v>-1</v>
      </c>
      <c r="BN139" s="33">
        <f>IF($A139=BN$83, 0, distance(VLOOKUP($A139,Cuision!$G:$P,9,FALSE),VLOOKUP($A139,Cuision!$G:$P,10,FALSE),VLOOKUP(BN$83,Cuision!$G:$P,9,FALSE),VLOOKUP(BN$83,Cuision!$G:$P,10,FALSE)))</f>
        <v>1254.6271238950251</v>
      </c>
      <c r="BO139" s="33">
        <f>IF($A139=BO$83, 0, distance(VLOOKUP($A139,Cuision!$G:$P,9,FALSE),VLOOKUP($A139,Cuision!$G:$P,10,FALSE),VLOOKUP(BO$83,Cuision!$G:$P,9,FALSE),VLOOKUP(BO$83,Cuision!$G:$P,10,FALSE)))</f>
        <v>7341.8154974153995</v>
      </c>
      <c r="BP139" s="33">
        <f>IF($A139=BP$83, 0, distance(VLOOKUP($A139,Cuision!$G:$P,9,FALSE),VLOOKUP($A139,Cuision!$G:$P,10,FALSE),VLOOKUP(BP$83,Cuision!$G:$P,9,FALSE),VLOOKUP(BP$83,Cuision!$G:$P,10,FALSE)))</f>
        <v>1572.5962736476667</v>
      </c>
      <c r="BQ139" s="33">
        <f>IF($A139=BQ$83, 0, distance(VLOOKUP($A139,Cuision!$G:$P,9,FALSE),VLOOKUP($A139,Cuision!$G:$P,10,FALSE),VLOOKUP(BQ$83,Cuision!$G:$P,9,FALSE),VLOOKUP(BQ$83,Cuision!$G:$P,10,FALSE)))</f>
        <v>-1</v>
      </c>
      <c r="BR139" s="33">
        <f>IF($A139=BR$83, 0, distance(VLOOKUP($A139,Cuision!$G:$P,9,FALSE),VLOOKUP($A139,Cuision!$G:$P,10,FALSE),VLOOKUP(BR$83,Cuision!$G:$P,9,FALSE),VLOOKUP(BR$83,Cuision!$G:$P,10,FALSE)))</f>
        <v>3818.8305748681173</v>
      </c>
      <c r="BS139" s="33">
        <f>IF($A139=BS$83, 0, distance(VLOOKUP($A139,Cuision!$G:$P,9,FALSE),VLOOKUP($A139,Cuision!$G:$P,10,FALSE),VLOOKUP(BS$83,Cuision!$G:$P,9,FALSE),VLOOKUP(BS$83,Cuision!$G:$P,10,FALSE)))</f>
        <v>6176.8506995570151</v>
      </c>
      <c r="BT139" s="33">
        <f>IF($A139=BT$83, 0, distance(VLOOKUP($A139,Cuision!$G:$P,9,FALSE),VLOOKUP($A139,Cuision!$G:$P,10,FALSE),VLOOKUP(BT$83,Cuision!$G:$P,9,FALSE),VLOOKUP(BT$83,Cuision!$G:$P,10,FALSE)))</f>
        <v>475.0815349941451</v>
      </c>
      <c r="BU139" s="33">
        <f>IF($A139=BU$83, 0, distance(VLOOKUP($A139,Cuision!$G:$P,9,FALSE),VLOOKUP($A139,Cuision!$G:$P,10,FALSE),VLOOKUP(BU$83,Cuision!$G:$P,9,FALSE),VLOOKUP(BU$83,Cuision!$G:$P,10,FALSE)))</f>
        <v>6642.0704414722422</v>
      </c>
      <c r="BV139" s="33">
        <f>IF($A139=BV$83, 0, distance(VLOOKUP($A139,Cuision!$G:$P,9,FALSE),VLOOKUP($A139,Cuision!$G:$P,10,FALSE),VLOOKUP(BV$83,Cuision!$G:$P,9,FALSE),VLOOKUP(BV$83,Cuision!$G:$P,10,FALSE)))</f>
        <v>2209.5748481428527</v>
      </c>
      <c r="BW139" s="33">
        <f>IF($A139=BW$83, 0, distance(VLOOKUP($A139,Cuision!$G:$P,9,FALSE),VLOOKUP($A139,Cuision!$G:$P,10,FALSE),VLOOKUP(BW$83,Cuision!$G:$P,9,FALSE),VLOOKUP(BW$83,Cuision!$G:$P,10,FALSE)))</f>
        <v>2189.6159847047056</v>
      </c>
      <c r="BX139" s="33">
        <f>IF($A139=BX$83, 0, distance(VLOOKUP($A139,Cuision!$G:$P,9,FALSE),VLOOKUP($A139,Cuision!$G:$P,10,FALSE),VLOOKUP(BX$83,Cuision!$G:$P,9,FALSE),VLOOKUP(BX$83,Cuision!$G:$P,10,FALSE)))</f>
        <v>4057.5590484383711</v>
      </c>
      <c r="BY139" s="33">
        <f>IF($A139=BY$83, 0, distance(VLOOKUP($A139,Cuision!$G:$P,9,FALSE),VLOOKUP($A139,Cuision!$G:$P,10,FALSE),VLOOKUP(BY$83,Cuision!$G:$P,9,FALSE),VLOOKUP(BY$83,Cuision!$G:$P,10,FALSE)))</f>
        <v>-1</v>
      </c>
      <c r="BZ139" s="33">
        <f>IF($A139=BZ$83, 0, distance(VLOOKUP($A139,Cuision!$G:$P,9,FALSE),VLOOKUP($A139,Cuision!$G:$P,10,FALSE),VLOOKUP(BZ$83,Cuision!$G:$P,9,FALSE),VLOOKUP(BZ$83,Cuision!$G:$P,10,FALSE)))</f>
        <v>-1</v>
      </c>
      <c r="CA139" s="33">
        <f>IF($A139=CA$83, 0, distance(VLOOKUP($A139,Cuision!$G:$P,9,FALSE),VLOOKUP($A139,Cuision!$G:$P,10,FALSE),VLOOKUP(CA$83,Cuision!$G:$P,9,FALSE),VLOOKUP(CA$83,Cuision!$G:$P,10,FALSE)))</f>
        <v>6605.0760570647917</v>
      </c>
    </row>
    <row r="140" spans="1:79" ht="14.25" x14ac:dyDescent="0.2">
      <c r="A140" s="30" t="s">
        <v>110</v>
      </c>
      <c r="B140" s="33">
        <f>IF($A140=B$83, 0, distance(VLOOKUP($A140,Cuision!$G:$P,9,FALSE),VLOOKUP($A140,Cuision!$G:$P,10,FALSE),VLOOKUP(B$83,Cuision!$G:$P,9,FALSE),VLOOKUP(B$83,Cuision!$G:$P,10,FALSE)))</f>
        <v>228.28799733819278</v>
      </c>
      <c r="C140" s="33">
        <f>IF($A140=C$83, 0, distance(VLOOKUP($A140,Cuision!$G:$P,9,FALSE),VLOOKUP($A140,Cuision!$G:$P,10,FALSE),VLOOKUP(C$83,Cuision!$G:$P,9,FALSE),VLOOKUP(C$83,Cuision!$G:$P,10,FALSE)))</f>
        <v>3873.4883802325439</v>
      </c>
      <c r="D140" s="33">
        <f>IF($A140=D$83, 0, distance(VLOOKUP($A140,Cuision!$G:$P,9,FALSE),VLOOKUP($A140,Cuision!$G:$P,10,FALSE),VLOOKUP(D$83,Cuision!$G:$P,9,FALSE),VLOOKUP(D$83,Cuision!$G:$P,10,FALSE)))</f>
        <v>7065.4977601354203</v>
      </c>
      <c r="E140" s="33">
        <f>IF($A140=E$83, 0, distance(VLOOKUP($A140,Cuision!$G:$P,9,FALSE),VLOOKUP($A140,Cuision!$G:$P,10,FALSE),VLOOKUP(E$83,Cuision!$G:$P,9,FALSE),VLOOKUP(E$83,Cuision!$G:$P,10,FALSE)))</f>
        <v>7065.4977601354203</v>
      </c>
      <c r="F140" s="33">
        <f>IF($A140=F$83, 0, distance(VLOOKUP($A140,Cuision!$G:$P,9,FALSE),VLOOKUP($A140,Cuision!$G:$P,10,FALSE),VLOOKUP(F$83,Cuision!$G:$P,9,FALSE),VLOOKUP(F$83,Cuision!$G:$P,10,FALSE)))</f>
        <v>1814.9299588358174</v>
      </c>
      <c r="G140" s="33">
        <f>IF($A140=G$83, 0, distance(VLOOKUP($A140,Cuision!$G:$P,9,FALSE),VLOOKUP($A140,Cuision!$G:$P,10,FALSE),VLOOKUP(G$83,Cuision!$G:$P,9,FALSE),VLOOKUP(G$83,Cuision!$G:$P,10,FALSE)))</f>
        <v>9685.919529601626</v>
      </c>
      <c r="H140" s="33">
        <f>IF($A140=H$83, 0, distance(VLOOKUP($A140,Cuision!$G:$P,9,FALSE),VLOOKUP($A140,Cuision!$G:$P,10,FALSE),VLOOKUP(H$83,Cuision!$G:$P,9,FALSE),VLOOKUP(H$83,Cuision!$G:$P,10,FALSE)))</f>
        <v>1629.3425288133901</v>
      </c>
      <c r="I140" s="33">
        <f>IF($A140=I$83, 0, distance(VLOOKUP($A140,Cuision!$G:$P,9,FALSE),VLOOKUP($A140,Cuision!$G:$P,10,FALSE),VLOOKUP(I$83,Cuision!$G:$P,9,FALSE),VLOOKUP(I$83,Cuision!$G:$P,10,FALSE)))</f>
        <v>1577.2093681748613</v>
      </c>
      <c r="J140" s="33">
        <f>IF($A140=J$83, 0, distance(VLOOKUP($A140,Cuision!$G:$P,9,FALSE),VLOOKUP($A140,Cuision!$G:$P,10,FALSE),VLOOKUP(J$83,Cuision!$G:$P,9,FALSE),VLOOKUP(J$83,Cuision!$G:$P,10,FALSE)))</f>
        <v>6843.7847043956808</v>
      </c>
      <c r="K140" s="33">
        <f>IF($A140=K$83, 0, distance(VLOOKUP($A140,Cuision!$G:$P,9,FALSE),VLOOKUP($A140,Cuision!$G:$P,10,FALSE),VLOOKUP(K$83,Cuision!$G:$P,9,FALSE),VLOOKUP(K$83,Cuision!$G:$P,10,FALSE)))</f>
        <v>3044.9530915722271</v>
      </c>
      <c r="L140" s="33">
        <f>IF($A140=L$83, 0, distance(VLOOKUP($A140,Cuision!$G:$P,9,FALSE),VLOOKUP($A140,Cuision!$G:$P,10,FALSE),VLOOKUP(L$83,Cuision!$G:$P,9,FALSE),VLOOKUP(L$83,Cuision!$G:$P,10,FALSE)))</f>
        <v>1256.4733607257567</v>
      </c>
      <c r="M140" s="33">
        <f>IF($A140=M$83, 0, distance(VLOOKUP($A140,Cuision!$G:$P,9,FALSE),VLOOKUP($A140,Cuision!$G:$P,10,FALSE),VLOOKUP(M$83,Cuision!$G:$P,9,FALSE),VLOOKUP(M$83,Cuision!$G:$P,10,FALSE)))</f>
        <v>-1</v>
      </c>
      <c r="N140" s="33">
        <f>IF($A140=N$83, 0, distance(VLOOKUP($A140,Cuision!$G:$P,9,FALSE),VLOOKUP($A140,Cuision!$G:$P,10,FALSE),VLOOKUP(N$83,Cuision!$G:$P,9,FALSE),VLOOKUP(N$83,Cuision!$G:$P,10,FALSE)))</f>
        <v>4121.6564447714727</v>
      </c>
      <c r="O140" s="33">
        <f>IF($A140=O$83, 0, distance(VLOOKUP($A140,Cuision!$G:$P,9,FALSE),VLOOKUP($A140,Cuision!$G:$P,10,FALSE),VLOOKUP(O$83,Cuision!$G:$P,9,FALSE),VLOOKUP(O$83,Cuision!$G:$P,10,FALSE)))</f>
        <v>3564.0440398163296</v>
      </c>
      <c r="P140" s="33">
        <f>IF($A140=P$83, 0, distance(VLOOKUP($A140,Cuision!$G:$P,9,FALSE),VLOOKUP($A140,Cuision!$G:$P,10,FALSE),VLOOKUP(P$83,Cuision!$G:$P,9,FALSE),VLOOKUP(P$83,Cuision!$G:$P,10,FALSE)))</f>
        <v>8584.6487244139735</v>
      </c>
      <c r="Q140" s="33">
        <f>IF($A140=Q$83, 0, distance(VLOOKUP($A140,Cuision!$G:$P,9,FALSE),VLOOKUP($A140,Cuision!$G:$P,10,FALSE),VLOOKUP(Q$83,Cuision!$G:$P,9,FALSE),VLOOKUP(Q$83,Cuision!$G:$P,10,FALSE)))</f>
        <v>-1</v>
      </c>
      <c r="R140" s="33">
        <f>IF($A140=R$83, 0, distance(VLOOKUP($A140,Cuision!$G:$P,9,FALSE),VLOOKUP($A140,Cuision!$G:$P,10,FALSE),VLOOKUP(R$83,Cuision!$G:$P,9,FALSE),VLOOKUP(R$83,Cuision!$G:$P,10,FALSE)))</f>
        <v>3747.4201000013099</v>
      </c>
      <c r="S140" s="33">
        <f>IF($A140=S$83, 0, distance(VLOOKUP($A140,Cuision!$G:$P,9,FALSE),VLOOKUP($A140,Cuision!$G:$P,10,FALSE),VLOOKUP(S$83,Cuision!$G:$P,9,FALSE),VLOOKUP(S$83,Cuision!$G:$P,10,FALSE)))</f>
        <v>-1</v>
      </c>
      <c r="T140" s="33">
        <f>IF($A140=T$83, 0, distance(VLOOKUP($A140,Cuision!$G:$P,9,FALSE),VLOOKUP($A140,Cuision!$G:$P,10,FALSE),VLOOKUP(T$83,Cuision!$G:$P,9,FALSE),VLOOKUP(T$83,Cuision!$G:$P,10,FALSE)))</f>
        <v>1714.0735749948067</v>
      </c>
      <c r="U140" s="33">
        <f>IF($A140=U$83, 0, distance(VLOOKUP($A140,Cuision!$G:$P,9,FALSE),VLOOKUP($A140,Cuision!$G:$P,10,FALSE),VLOOKUP(U$83,Cuision!$G:$P,9,FALSE),VLOOKUP(U$83,Cuision!$G:$P,10,FALSE)))</f>
        <v>-1</v>
      </c>
      <c r="V140" s="33">
        <f>IF($A140=V$83, 0, distance(VLOOKUP($A140,Cuision!$G:$P,9,FALSE),VLOOKUP($A140,Cuision!$G:$P,10,FALSE),VLOOKUP(V$83,Cuision!$G:$P,9,FALSE),VLOOKUP(V$83,Cuision!$G:$P,10,FALSE)))</f>
        <v>7065.4977601354203</v>
      </c>
      <c r="W140" s="33">
        <f>IF($A140=W$83, 0, distance(VLOOKUP($A140,Cuision!$G:$P,9,FALSE),VLOOKUP($A140,Cuision!$G:$P,10,FALSE),VLOOKUP(W$83,Cuision!$G:$P,9,FALSE),VLOOKUP(W$83,Cuision!$G:$P,10,FALSE)))</f>
        <v>2526.0655552139765</v>
      </c>
      <c r="X140" s="33">
        <f>IF($A140=X$83, 0, distance(VLOOKUP($A140,Cuision!$G:$P,9,FALSE),VLOOKUP($A140,Cuision!$G:$P,10,FALSE),VLOOKUP(X$83,Cuision!$G:$P,9,FALSE),VLOOKUP(X$83,Cuision!$G:$P,10,FALSE)))</f>
        <v>4121.6564447714727</v>
      </c>
      <c r="Y140" s="33">
        <f>IF($A140=Y$83, 0, distance(VLOOKUP($A140,Cuision!$G:$P,9,FALSE),VLOOKUP($A140,Cuision!$G:$P,10,FALSE),VLOOKUP(Y$83,Cuision!$G:$P,9,FALSE),VLOOKUP(Y$83,Cuision!$G:$P,10,FALSE)))</f>
        <v>2412.0900397401579</v>
      </c>
      <c r="Z140" s="33">
        <f>IF($A140=Z$83, 0, distance(VLOOKUP($A140,Cuision!$G:$P,9,FALSE),VLOOKUP($A140,Cuision!$G:$P,10,FALSE),VLOOKUP(Z$83,Cuision!$G:$P,9,FALSE),VLOOKUP(Z$83,Cuision!$G:$P,10,FALSE)))</f>
        <v>-1</v>
      </c>
      <c r="AA140" s="33">
        <f>IF($A140=AA$83, 0, distance(VLOOKUP($A140,Cuision!$G:$P,9,FALSE),VLOOKUP($A140,Cuision!$G:$P,10,FALSE),VLOOKUP(AA$83,Cuision!$G:$P,9,FALSE),VLOOKUP(AA$83,Cuision!$G:$P,10,FALSE)))</f>
        <v>8188.7860250639169</v>
      </c>
      <c r="AB140" s="33">
        <f>IF($A140=AB$83, 0, distance(VLOOKUP($A140,Cuision!$G:$P,9,FALSE),VLOOKUP($A140,Cuision!$G:$P,10,FALSE),VLOOKUP(AB$83,Cuision!$G:$P,9,FALSE),VLOOKUP(AB$83,Cuision!$G:$P,10,FALSE)))</f>
        <v>3128.1184935188462</v>
      </c>
      <c r="AC140" s="33">
        <f>IF($A140=AC$83, 0, distance(VLOOKUP($A140,Cuision!$G:$P,9,FALSE),VLOOKUP($A140,Cuision!$G:$P,10,FALSE),VLOOKUP(AC$83,Cuision!$G:$P,9,FALSE),VLOOKUP(AC$83,Cuision!$G:$P,10,FALSE)))</f>
        <v>2765.5166309850683</v>
      </c>
      <c r="AD140" s="33">
        <f>IF($A140=AD$83, 0, distance(VLOOKUP($A140,Cuision!$G:$P,9,FALSE),VLOOKUP($A140,Cuision!$G:$P,10,FALSE),VLOOKUP(AD$83,Cuision!$G:$P,9,FALSE),VLOOKUP(AD$83,Cuision!$G:$P,10,FALSE)))</f>
        <v>3262.6557969860719</v>
      </c>
      <c r="AE140" s="33">
        <f>IF($A140=AE$83, 0, distance(VLOOKUP($A140,Cuision!$G:$P,9,FALSE),VLOOKUP($A140,Cuision!$G:$P,10,FALSE),VLOOKUP(AE$83,Cuision!$G:$P,9,FALSE),VLOOKUP(AE$83,Cuision!$G:$P,10,FALSE)))</f>
        <v>3253.8984755285719</v>
      </c>
      <c r="AF140" s="33">
        <f>IF($A140=AF$83, 0, distance(VLOOKUP($A140,Cuision!$G:$P,9,FALSE),VLOOKUP($A140,Cuision!$G:$P,10,FALSE),VLOOKUP(AF$83,Cuision!$G:$P,9,FALSE),VLOOKUP(AF$83,Cuision!$G:$P,10,FALSE)))</f>
        <v>3675.7059608965174</v>
      </c>
      <c r="AG140" s="33">
        <f>IF($A140=AG$83, 0, distance(VLOOKUP($A140,Cuision!$G:$P,9,FALSE),VLOOKUP($A140,Cuision!$G:$P,10,FALSE),VLOOKUP(AG$83,Cuision!$G:$P,9,FALSE),VLOOKUP(AG$83,Cuision!$G:$P,10,FALSE)))</f>
        <v>3168.4463496412645</v>
      </c>
      <c r="AH140" s="33">
        <f>IF($A140=AH$83, 0, distance(VLOOKUP($A140,Cuision!$G:$P,9,FALSE),VLOOKUP($A140,Cuision!$G:$P,10,FALSE),VLOOKUP(AH$83,Cuision!$G:$P,9,FALSE),VLOOKUP(AH$83,Cuision!$G:$P,10,FALSE)))</f>
        <v>-1</v>
      </c>
      <c r="AI140" s="33">
        <f>IF($A140=AI$83, 0, distance(VLOOKUP($A140,Cuision!$G:$P,9,FALSE),VLOOKUP($A140,Cuision!$G:$P,10,FALSE),VLOOKUP(AI$83,Cuision!$G:$P,9,FALSE),VLOOKUP(AI$83,Cuision!$G:$P,10,FALSE)))</f>
        <v>2745.5075965568417</v>
      </c>
      <c r="AJ140" s="33">
        <f>IF($A140=AJ$83, 0, distance(VLOOKUP($A140,Cuision!$G:$P,9,FALSE),VLOOKUP($A140,Cuision!$G:$P,10,FALSE),VLOOKUP(AJ$83,Cuision!$G:$P,9,FALSE),VLOOKUP(AJ$83,Cuision!$G:$P,10,FALSE)))</f>
        <v>1814.9299588358174</v>
      </c>
      <c r="AK140" s="33">
        <f>IF($A140=AK$83, 0, distance(VLOOKUP($A140,Cuision!$G:$P,9,FALSE),VLOOKUP($A140,Cuision!$G:$P,10,FALSE),VLOOKUP(AK$83,Cuision!$G:$P,9,FALSE),VLOOKUP(AK$83,Cuision!$G:$P,10,FALSE)))</f>
        <v>7541.2409987305091</v>
      </c>
      <c r="AL140" s="33">
        <f>IF($A140=AL$83, 0, distance(VLOOKUP($A140,Cuision!$G:$P,9,FALSE),VLOOKUP($A140,Cuision!$G:$P,10,FALSE),VLOOKUP(AL$83,Cuision!$G:$P,9,FALSE),VLOOKUP(AL$83,Cuision!$G:$P,10,FALSE)))</f>
        <v>838.77220273060414</v>
      </c>
      <c r="AM140" s="33">
        <f>IF($A140=AM$83, 0, distance(VLOOKUP($A140,Cuision!$G:$P,9,FALSE),VLOOKUP($A140,Cuision!$G:$P,10,FALSE),VLOOKUP(AM$83,Cuision!$G:$P,9,FALSE),VLOOKUP(AM$83,Cuision!$G:$P,10,FALSE)))</f>
        <v>-1</v>
      </c>
      <c r="AN140" s="33">
        <f>IF($A140=AN$83, 0, distance(VLOOKUP($A140,Cuision!$G:$P,9,FALSE),VLOOKUP($A140,Cuision!$G:$P,10,FALSE),VLOOKUP(AN$83,Cuision!$G:$P,9,FALSE),VLOOKUP(AN$83,Cuision!$G:$P,10,FALSE)))</f>
        <v>2922.7958139022835</v>
      </c>
      <c r="AO140" s="33">
        <f>IF($A140=AO$83, 0, distance(VLOOKUP($A140,Cuision!$G:$P,9,FALSE),VLOOKUP($A140,Cuision!$G:$P,10,FALSE),VLOOKUP(AO$83,Cuision!$G:$P,9,FALSE),VLOOKUP(AO$83,Cuision!$G:$P,10,FALSE)))</f>
        <v>4121.6564447714727</v>
      </c>
      <c r="AP140" s="33">
        <f>IF($A140=AP$83, 0, distance(VLOOKUP($A140,Cuision!$G:$P,9,FALSE),VLOOKUP($A140,Cuision!$G:$P,10,FALSE),VLOOKUP(AP$83,Cuision!$G:$P,9,FALSE),VLOOKUP(AP$83,Cuision!$G:$P,10,FALSE)))</f>
        <v>429.11697915519238</v>
      </c>
      <c r="AQ140" s="33">
        <f>IF($A140=AQ$83, 0, distance(VLOOKUP($A140,Cuision!$G:$P,9,FALSE),VLOOKUP($A140,Cuision!$G:$P,10,FALSE),VLOOKUP(AQ$83,Cuision!$G:$P,9,FALSE),VLOOKUP(AQ$83,Cuision!$G:$P,10,FALSE)))</f>
        <v>3535.428838590648</v>
      </c>
      <c r="AR140" s="33">
        <f>IF($A140=AR$83, 0, distance(VLOOKUP($A140,Cuision!$G:$P,9,FALSE),VLOOKUP($A140,Cuision!$G:$P,10,FALSE),VLOOKUP(AR$83,Cuision!$G:$P,9,FALSE),VLOOKUP(AR$83,Cuision!$G:$P,10,FALSE)))</f>
        <v>3747.4201000013099</v>
      </c>
      <c r="AS140" s="33">
        <f>IF($A140=AS$83, 0, distance(VLOOKUP($A140,Cuision!$G:$P,9,FALSE),VLOOKUP($A140,Cuision!$G:$P,10,FALSE),VLOOKUP(AS$83,Cuision!$G:$P,9,FALSE),VLOOKUP(AS$83,Cuision!$G:$P,10,FALSE)))</f>
        <v>3284.9313080380311</v>
      </c>
      <c r="AT140" s="33">
        <f>IF($A140=AT$83, 0, distance(VLOOKUP($A140,Cuision!$G:$P,9,FALSE),VLOOKUP($A140,Cuision!$G:$P,10,FALSE),VLOOKUP(AT$83,Cuision!$G:$P,9,FALSE),VLOOKUP(AT$83,Cuision!$G:$P,10,FALSE)))</f>
        <v>3712.088769198328</v>
      </c>
      <c r="AU140" s="33">
        <f>IF($A140=AU$83, 0, distance(VLOOKUP($A140,Cuision!$G:$P,9,FALSE),VLOOKUP($A140,Cuision!$G:$P,10,FALSE),VLOOKUP(AU$83,Cuision!$G:$P,9,FALSE),VLOOKUP(AU$83,Cuision!$G:$P,10,FALSE)))</f>
        <v>2998.6795269208915</v>
      </c>
      <c r="AV140" s="33">
        <f>IF($A140=AV$83, 0, distance(VLOOKUP($A140,Cuision!$G:$P,9,FALSE),VLOOKUP($A140,Cuision!$G:$P,10,FALSE),VLOOKUP(AV$83,Cuision!$G:$P,9,FALSE),VLOOKUP(AV$83,Cuision!$G:$P,10,FALSE)))</f>
        <v>2335.9004290138782</v>
      </c>
      <c r="AW140" s="33">
        <f>IF($A140=AW$83, 0, distance(VLOOKUP($A140,Cuision!$G:$P,9,FALSE),VLOOKUP($A140,Cuision!$G:$P,10,FALSE),VLOOKUP(AW$83,Cuision!$G:$P,9,FALSE),VLOOKUP(AW$83,Cuision!$G:$P,10,FALSE)))</f>
        <v>2123.9928830894314</v>
      </c>
      <c r="AX140" s="33">
        <f>IF($A140=AX$83, 0, distance(VLOOKUP($A140,Cuision!$G:$P,9,FALSE),VLOOKUP($A140,Cuision!$G:$P,10,FALSE),VLOOKUP(AX$83,Cuision!$G:$P,9,FALSE),VLOOKUP(AX$83,Cuision!$G:$P,10,FALSE)))</f>
        <v>8879.7961472442494</v>
      </c>
      <c r="AY140" s="33">
        <f>IF($A140=AY$83, 0, distance(VLOOKUP($A140,Cuision!$G:$P,9,FALSE),VLOOKUP($A140,Cuision!$G:$P,10,FALSE),VLOOKUP(AY$83,Cuision!$G:$P,9,FALSE),VLOOKUP(AY$83,Cuision!$G:$P,10,FALSE)))</f>
        <v>-1</v>
      </c>
      <c r="AZ140" s="33">
        <f>IF($A140=AZ$83, 0, distance(VLOOKUP($A140,Cuision!$G:$P,9,FALSE),VLOOKUP($A140,Cuision!$G:$P,10,FALSE),VLOOKUP(AZ$83,Cuision!$G:$P,9,FALSE),VLOOKUP(AZ$83,Cuision!$G:$P,10,FALSE)))</f>
        <v>2805.269433293111</v>
      </c>
      <c r="BA140" s="33">
        <f>IF($A140=BA$83, 0, distance(VLOOKUP($A140,Cuision!$G:$P,9,FALSE),VLOOKUP($A140,Cuision!$G:$P,10,FALSE),VLOOKUP(BA$83,Cuision!$G:$P,9,FALSE),VLOOKUP(BA$83,Cuision!$G:$P,10,FALSE)))</f>
        <v>3104.8521646371491</v>
      </c>
      <c r="BB140" s="33">
        <f>IF($A140=BB$83, 0, distance(VLOOKUP($A140,Cuision!$G:$P,9,FALSE),VLOOKUP($A140,Cuision!$G:$P,10,FALSE),VLOOKUP(BB$83,Cuision!$G:$P,9,FALSE),VLOOKUP(BB$83,Cuision!$G:$P,10,FALSE)))</f>
        <v>8728.0114932595152</v>
      </c>
      <c r="BC140" s="33">
        <f>IF($A140=BC$83, 0, distance(VLOOKUP($A140,Cuision!$G:$P,9,FALSE),VLOOKUP($A140,Cuision!$G:$P,10,FALSE),VLOOKUP(BC$83,Cuision!$G:$P,9,FALSE),VLOOKUP(BC$83,Cuision!$G:$P,10,FALSE)))</f>
        <v>1814.9299588358174</v>
      </c>
      <c r="BD140" s="33">
        <f>IF($A140=BD$83, 0, distance(VLOOKUP($A140,Cuision!$G:$P,9,FALSE),VLOOKUP($A140,Cuision!$G:$P,10,FALSE),VLOOKUP(BD$83,Cuision!$G:$P,9,FALSE),VLOOKUP(BD$83,Cuision!$G:$P,10,FALSE)))</f>
        <v>2000.1685132490272</v>
      </c>
      <c r="BE140" s="33">
        <f>IF($A140=BE$83, 0, distance(VLOOKUP($A140,Cuision!$G:$P,9,FALSE),VLOOKUP($A140,Cuision!$G:$P,10,FALSE),VLOOKUP(BE$83,Cuision!$G:$P,9,FALSE),VLOOKUP(BE$83,Cuision!$G:$P,10,FALSE)))</f>
        <v>4450.7603009674567</v>
      </c>
      <c r="BF140" s="33">
        <f>IF($A140=BF$83, 0, distance(VLOOKUP($A140,Cuision!$G:$P,9,FALSE),VLOOKUP($A140,Cuision!$G:$P,10,FALSE),VLOOKUP(BF$83,Cuision!$G:$P,9,FALSE),VLOOKUP(BF$83,Cuision!$G:$P,10,FALSE)))</f>
        <v>0</v>
      </c>
      <c r="BG140" s="33">
        <f>IF($A140=BG$83, 0, distance(VLOOKUP($A140,Cuision!$G:$P,9,FALSE),VLOOKUP($A140,Cuision!$G:$P,10,FALSE),VLOOKUP(BG$83,Cuision!$G:$P,9,FALSE),VLOOKUP(BG$83,Cuision!$G:$P,10,FALSE)))</f>
        <v>1232.9877190727557</v>
      </c>
      <c r="BH140" s="33">
        <f>IF($A140=BH$83, 0, distance(VLOOKUP($A140,Cuision!$G:$P,9,FALSE),VLOOKUP($A140,Cuision!$G:$P,10,FALSE),VLOOKUP(BH$83,Cuision!$G:$P,9,FALSE),VLOOKUP(BH$83,Cuision!$G:$P,10,FALSE)))</f>
        <v>10029.270366638144</v>
      </c>
      <c r="BI140" s="33">
        <f>IF($A140=BI$83, 0, distance(VLOOKUP($A140,Cuision!$G:$P,9,FALSE),VLOOKUP($A140,Cuision!$G:$P,10,FALSE),VLOOKUP(BI$83,Cuision!$G:$P,9,FALSE),VLOOKUP(BI$83,Cuision!$G:$P,10,FALSE)))</f>
        <v>2847.4528338019568</v>
      </c>
      <c r="BJ140" s="33">
        <f>IF($A140=BJ$83, 0, distance(VLOOKUP($A140,Cuision!$G:$P,9,FALSE),VLOOKUP($A140,Cuision!$G:$P,10,FALSE),VLOOKUP(BJ$83,Cuision!$G:$P,9,FALSE),VLOOKUP(BJ$83,Cuision!$G:$P,10,FALSE)))</f>
        <v>4433.7167876747599</v>
      </c>
      <c r="BK140" s="33">
        <f>IF($A140=BK$83, 0, distance(VLOOKUP($A140,Cuision!$G:$P,9,FALSE),VLOOKUP($A140,Cuision!$G:$P,10,FALSE),VLOOKUP(BK$83,Cuision!$G:$P,9,FALSE),VLOOKUP(BK$83,Cuision!$G:$P,10,FALSE)))</f>
        <v>2267.7289462888139</v>
      </c>
      <c r="BL140" s="33">
        <f>IF($A140=BL$83, 0, distance(VLOOKUP($A140,Cuision!$G:$P,9,FALSE),VLOOKUP($A140,Cuision!$G:$P,10,FALSE),VLOOKUP(BL$83,Cuision!$G:$P,9,FALSE),VLOOKUP(BL$83,Cuision!$G:$P,10,FALSE)))</f>
        <v>-1</v>
      </c>
      <c r="BM140" s="33">
        <f>IF($A140=BM$83, 0, distance(VLOOKUP($A140,Cuision!$G:$P,9,FALSE),VLOOKUP($A140,Cuision!$G:$P,10,FALSE),VLOOKUP(BM$83,Cuision!$G:$P,9,FALSE),VLOOKUP(BM$83,Cuision!$G:$P,10,FALSE)))</f>
        <v>-1</v>
      </c>
      <c r="BN140" s="33">
        <f>IF($A140=BN$83, 0, distance(VLOOKUP($A140,Cuision!$G:$P,9,FALSE),VLOOKUP($A140,Cuision!$G:$P,10,FALSE),VLOOKUP(BN$83,Cuision!$G:$P,9,FALSE),VLOOKUP(BN$83,Cuision!$G:$P,10,FALSE)))</f>
        <v>3747.4201000013099</v>
      </c>
      <c r="BO140" s="33">
        <f>IF($A140=BO$83, 0, distance(VLOOKUP($A140,Cuision!$G:$P,9,FALSE),VLOOKUP($A140,Cuision!$G:$P,10,FALSE),VLOOKUP(BO$83,Cuision!$G:$P,9,FALSE),VLOOKUP(BO$83,Cuision!$G:$P,10,FALSE)))</f>
        <v>2997.8352247415678</v>
      </c>
      <c r="BP140" s="33">
        <f>IF($A140=BP$83, 0, distance(VLOOKUP($A140,Cuision!$G:$P,9,FALSE),VLOOKUP($A140,Cuision!$G:$P,10,FALSE),VLOOKUP(BP$83,Cuision!$G:$P,9,FALSE),VLOOKUP(BP$83,Cuision!$G:$P,10,FALSE)))</f>
        <v>3011.0438360505696</v>
      </c>
      <c r="BQ140" s="33">
        <f>IF($A140=BQ$83, 0, distance(VLOOKUP($A140,Cuision!$G:$P,9,FALSE),VLOOKUP($A140,Cuision!$G:$P,10,FALSE),VLOOKUP(BQ$83,Cuision!$G:$P,9,FALSE),VLOOKUP(BQ$83,Cuision!$G:$P,10,FALSE)))</f>
        <v>-1</v>
      </c>
      <c r="BR140" s="33">
        <f>IF($A140=BR$83, 0, distance(VLOOKUP($A140,Cuision!$G:$P,9,FALSE),VLOOKUP($A140,Cuision!$G:$P,10,FALSE),VLOOKUP(BR$83,Cuision!$G:$P,9,FALSE),VLOOKUP(BR$83,Cuision!$G:$P,10,FALSE)))</f>
        <v>7065.4977601354203</v>
      </c>
      <c r="BS140" s="33">
        <f>IF($A140=BS$83, 0, distance(VLOOKUP($A140,Cuision!$G:$P,9,FALSE),VLOOKUP($A140,Cuision!$G:$P,10,FALSE),VLOOKUP(BS$83,Cuision!$G:$P,9,FALSE),VLOOKUP(BS$83,Cuision!$G:$P,10,FALSE)))</f>
        <v>2412.0900397401579</v>
      </c>
      <c r="BT140" s="33">
        <f>IF($A140=BT$83, 0, distance(VLOOKUP($A140,Cuision!$G:$P,9,FALSE),VLOOKUP($A140,Cuision!$G:$P,10,FALSE),VLOOKUP(BT$83,Cuision!$G:$P,9,FALSE),VLOOKUP(BT$83,Cuision!$G:$P,10,FALSE)))</f>
        <v>4121.6564447714727</v>
      </c>
      <c r="BU140" s="33">
        <f>IF($A140=BU$83, 0, distance(VLOOKUP($A140,Cuision!$G:$P,9,FALSE),VLOOKUP($A140,Cuision!$G:$P,10,FALSE),VLOOKUP(BU$83,Cuision!$G:$P,9,FALSE),VLOOKUP(BU$83,Cuision!$G:$P,10,FALSE)))</f>
        <v>2204.9183603069414</v>
      </c>
      <c r="BV140" s="33">
        <f>IF($A140=BV$83, 0, distance(VLOOKUP($A140,Cuision!$G:$P,9,FALSE),VLOOKUP($A140,Cuision!$G:$P,10,FALSE),VLOOKUP(BV$83,Cuision!$G:$P,9,FALSE),VLOOKUP(BV$83,Cuision!$G:$P,10,FALSE)))</f>
        <v>2244.2887578416403</v>
      </c>
      <c r="BW140" s="33">
        <f>IF($A140=BW$83, 0, distance(VLOOKUP($A140,Cuision!$G:$P,9,FALSE),VLOOKUP($A140,Cuision!$G:$P,10,FALSE),VLOOKUP(BW$83,Cuision!$G:$P,9,FALSE),VLOOKUP(BW$83,Cuision!$G:$P,10,FALSE)))</f>
        <v>2423.3174659367191</v>
      </c>
      <c r="BX140" s="33">
        <f>IF($A140=BX$83, 0, distance(VLOOKUP($A140,Cuision!$G:$P,9,FALSE),VLOOKUP($A140,Cuision!$G:$P,10,FALSE),VLOOKUP(BX$83,Cuision!$G:$P,9,FALSE),VLOOKUP(BX$83,Cuision!$G:$P,10,FALSE)))</f>
        <v>561.2927688436049</v>
      </c>
      <c r="BY140" s="33">
        <f>IF($A140=BY$83, 0, distance(VLOOKUP($A140,Cuision!$G:$P,9,FALSE),VLOOKUP($A140,Cuision!$G:$P,10,FALSE),VLOOKUP(BY$83,Cuision!$G:$P,9,FALSE),VLOOKUP(BY$83,Cuision!$G:$P,10,FALSE)))</f>
        <v>-1</v>
      </c>
      <c r="BZ140" s="33">
        <f>IF($A140=BZ$83, 0, distance(VLOOKUP($A140,Cuision!$G:$P,9,FALSE),VLOOKUP($A140,Cuision!$G:$P,10,FALSE),VLOOKUP(BZ$83,Cuision!$G:$P,9,FALSE),VLOOKUP(BZ$83,Cuision!$G:$P,10,FALSE)))</f>
        <v>-1</v>
      </c>
      <c r="CA140" s="33">
        <f>IF($A140=CA$83, 0, distance(VLOOKUP($A140,Cuision!$G:$P,9,FALSE),VLOOKUP($A140,Cuision!$G:$P,10,FALSE),VLOOKUP(CA$83,Cuision!$G:$P,9,FALSE),VLOOKUP(CA$83,Cuision!$G:$P,10,FALSE)))</f>
        <v>2183.0797051967866</v>
      </c>
    </row>
    <row r="141" spans="1:79" ht="14.25" x14ac:dyDescent="0.2">
      <c r="A141" s="30" t="s">
        <v>111</v>
      </c>
      <c r="B141" s="33">
        <f>IF($A141=B$83, 0, distance(VLOOKUP($A141,Cuision!$G:$P,9,FALSE),VLOOKUP($A141,Cuision!$G:$P,10,FALSE),VLOOKUP(B$83,Cuision!$G:$P,9,FALSE),VLOOKUP(B$83,Cuision!$G:$P,10,FALSE)))</f>
        <v>1005.0355974391759</v>
      </c>
      <c r="C141" s="33">
        <f>IF($A141=C$83, 0, distance(VLOOKUP($A141,Cuision!$G:$P,9,FALSE),VLOOKUP($A141,Cuision!$G:$P,10,FALSE),VLOOKUP(C$83,Cuision!$G:$P,9,FALSE),VLOOKUP(C$83,Cuision!$G:$P,10,FALSE)))</f>
        <v>3264.1427729232128</v>
      </c>
      <c r="D141" s="33">
        <f>IF($A141=D$83, 0, distance(VLOOKUP($A141,Cuision!$G:$P,9,FALSE),VLOOKUP($A141,Cuision!$G:$P,10,FALSE),VLOOKUP(D$83,Cuision!$G:$P,9,FALSE),VLOOKUP(D$83,Cuision!$G:$P,10,FALSE)))</f>
        <v>6324.1185508828385</v>
      </c>
      <c r="E141" s="33">
        <f>IF($A141=E$83, 0, distance(VLOOKUP($A141,Cuision!$G:$P,9,FALSE),VLOOKUP($A141,Cuision!$G:$P,10,FALSE),VLOOKUP(E$83,Cuision!$G:$P,9,FALSE),VLOOKUP(E$83,Cuision!$G:$P,10,FALSE)))</f>
        <v>6324.1185508828385</v>
      </c>
      <c r="F141" s="33">
        <f>IF($A141=F$83, 0, distance(VLOOKUP($A141,Cuision!$G:$P,9,FALSE),VLOOKUP($A141,Cuision!$G:$P,10,FALSE),VLOOKUP(F$83,Cuision!$G:$P,9,FALSE),VLOOKUP(F$83,Cuision!$G:$P,10,FALSE)))</f>
        <v>679.22167101187461</v>
      </c>
      <c r="G141" s="33">
        <f>IF($A141=G$83, 0, distance(VLOOKUP($A141,Cuision!$G:$P,9,FALSE),VLOOKUP($A141,Cuision!$G:$P,10,FALSE),VLOOKUP(G$83,Cuision!$G:$P,9,FALSE),VLOOKUP(G$83,Cuision!$G:$P,10,FALSE)))</f>
        <v>8560.4932060312567</v>
      </c>
      <c r="H141" s="33">
        <f>IF($A141=H$83, 0, distance(VLOOKUP($A141,Cuision!$G:$P,9,FALSE),VLOOKUP($A141,Cuision!$G:$P,10,FALSE),VLOOKUP(H$83,Cuision!$G:$P,9,FALSE),VLOOKUP(H$83,Cuision!$G:$P,10,FALSE)))</f>
        <v>487.59045027888993</v>
      </c>
      <c r="I141" s="33">
        <f>IF($A141=I$83, 0, distance(VLOOKUP($A141,Cuision!$G:$P,9,FALSE),VLOOKUP($A141,Cuision!$G:$P,10,FALSE),VLOOKUP(I$83,Cuision!$G:$P,9,FALSE),VLOOKUP(I$83,Cuision!$G:$P,10,FALSE)))</f>
        <v>2761.6530765825264</v>
      </c>
      <c r="J141" s="33">
        <f>IF($A141=J$83, 0, distance(VLOOKUP($A141,Cuision!$G:$P,9,FALSE),VLOOKUP($A141,Cuision!$G:$P,10,FALSE),VLOOKUP(J$83,Cuision!$G:$P,9,FALSE),VLOOKUP(J$83,Cuision!$G:$P,10,FALSE)))</f>
        <v>7959.7207840452274</v>
      </c>
      <c r="K141" s="33">
        <f>IF($A141=K$83, 0, distance(VLOOKUP($A141,Cuision!$G:$P,9,FALSE),VLOOKUP($A141,Cuision!$G:$P,10,FALSE),VLOOKUP(K$83,Cuision!$G:$P,9,FALSE),VLOOKUP(K$83,Cuision!$G:$P,10,FALSE)))</f>
        <v>1975.2810086302593</v>
      </c>
      <c r="L141" s="33">
        <f>IF($A141=L$83, 0, distance(VLOOKUP($A141,Cuision!$G:$P,9,FALSE),VLOOKUP($A141,Cuision!$G:$P,10,FALSE),VLOOKUP(L$83,Cuision!$G:$P,9,FALSE),VLOOKUP(L$83,Cuision!$G:$P,10,FALSE)))</f>
        <v>2463.1385573419866</v>
      </c>
      <c r="M141" s="33">
        <f>IF($A141=M$83, 0, distance(VLOOKUP($A141,Cuision!$G:$P,9,FALSE),VLOOKUP($A141,Cuision!$G:$P,10,FALSE),VLOOKUP(M$83,Cuision!$G:$P,9,FALSE),VLOOKUP(M$83,Cuision!$G:$P,10,FALSE)))</f>
        <v>-1</v>
      </c>
      <c r="N141" s="33">
        <f>IF($A141=N$83, 0, distance(VLOOKUP($A141,Cuision!$G:$P,9,FALSE),VLOOKUP($A141,Cuision!$G:$P,10,FALSE),VLOOKUP(N$83,Cuision!$G:$P,9,FALSE),VLOOKUP(N$83,Cuision!$G:$P,10,FALSE)))</f>
        <v>2967.9081899632765</v>
      </c>
      <c r="O141" s="33">
        <f>IF($A141=O$83, 0, distance(VLOOKUP($A141,Cuision!$G:$P,9,FALSE),VLOOKUP($A141,Cuision!$G:$P,10,FALSE),VLOOKUP(O$83,Cuision!$G:$P,9,FALSE),VLOOKUP(O$83,Cuision!$G:$P,10,FALSE)))</f>
        <v>2536.253562844719</v>
      </c>
      <c r="P141" s="33">
        <f>IF($A141=P$83, 0, distance(VLOOKUP($A141,Cuision!$G:$P,9,FALSE),VLOOKUP($A141,Cuision!$G:$P,10,FALSE),VLOOKUP(P$83,Cuision!$G:$P,9,FALSE),VLOOKUP(P$83,Cuision!$G:$P,10,FALSE)))</f>
        <v>7364.7569620862851</v>
      </c>
      <c r="Q141" s="33">
        <f>IF($A141=Q$83, 0, distance(VLOOKUP($A141,Cuision!$G:$P,9,FALSE),VLOOKUP($A141,Cuision!$G:$P,10,FALSE),VLOOKUP(Q$83,Cuision!$G:$P,9,FALSE),VLOOKUP(Q$83,Cuision!$G:$P,10,FALSE)))</f>
        <v>-1</v>
      </c>
      <c r="R141" s="33">
        <f>IF($A141=R$83, 0, distance(VLOOKUP($A141,Cuision!$G:$P,9,FALSE),VLOOKUP($A141,Cuision!$G:$P,10,FALSE),VLOOKUP(R$83,Cuision!$G:$P,9,FALSE),VLOOKUP(R$83,Cuision!$G:$P,10,FALSE)))</f>
        <v>2733.1643793800176</v>
      </c>
      <c r="S141" s="33">
        <f>IF($A141=S$83, 0, distance(VLOOKUP($A141,Cuision!$G:$P,9,FALSE),VLOOKUP($A141,Cuision!$G:$P,10,FALSE),VLOOKUP(S$83,Cuision!$G:$P,9,FALSE),VLOOKUP(S$83,Cuision!$G:$P,10,FALSE)))</f>
        <v>-1</v>
      </c>
      <c r="T141" s="33">
        <f>IF($A141=T$83, 0, distance(VLOOKUP($A141,Cuision!$G:$P,9,FALSE),VLOOKUP($A141,Cuision!$G:$P,10,FALSE),VLOOKUP(T$83,Cuision!$G:$P,9,FALSE),VLOOKUP(T$83,Cuision!$G:$P,10,FALSE)))</f>
        <v>2918.0500640847404</v>
      </c>
      <c r="U141" s="33">
        <f>IF($A141=U$83, 0, distance(VLOOKUP($A141,Cuision!$G:$P,9,FALSE),VLOOKUP($A141,Cuision!$G:$P,10,FALSE),VLOOKUP(U$83,Cuision!$G:$P,9,FALSE),VLOOKUP(U$83,Cuision!$G:$P,10,FALSE)))</f>
        <v>-1</v>
      </c>
      <c r="V141" s="33">
        <f>IF($A141=V$83, 0, distance(VLOOKUP($A141,Cuision!$G:$P,9,FALSE),VLOOKUP($A141,Cuision!$G:$P,10,FALSE),VLOOKUP(V$83,Cuision!$G:$P,9,FALSE),VLOOKUP(V$83,Cuision!$G:$P,10,FALSE)))</f>
        <v>6324.1185508828385</v>
      </c>
      <c r="W141" s="33">
        <f>IF($A141=W$83, 0, distance(VLOOKUP($A141,Cuision!$G:$P,9,FALSE),VLOOKUP($A141,Cuision!$G:$P,10,FALSE),VLOOKUP(W$83,Cuision!$G:$P,9,FALSE),VLOOKUP(W$83,Cuision!$G:$P,10,FALSE)))</f>
        <v>3718.9507914138094</v>
      </c>
      <c r="X141" s="33">
        <f>IF($A141=X$83, 0, distance(VLOOKUP($A141,Cuision!$G:$P,9,FALSE),VLOOKUP($A141,Cuision!$G:$P,10,FALSE),VLOOKUP(X$83,Cuision!$G:$P,9,FALSE),VLOOKUP(X$83,Cuision!$G:$P,10,FALSE)))</f>
        <v>2967.9081899632765</v>
      </c>
      <c r="Y141" s="33">
        <f>IF($A141=Y$83, 0, distance(VLOOKUP($A141,Cuision!$G:$P,9,FALSE),VLOOKUP($A141,Cuision!$G:$P,10,FALSE),VLOOKUP(Y$83,Cuision!$G:$P,9,FALSE),VLOOKUP(Y$83,Cuision!$G:$P,10,FALSE)))</f>
        <v>3480.2899702519962</v>
      </c>
      <c r="Z141" s="33">
        <f>IF($A141=Z$83, 0, distance(VLOOKUP($A141,Cuision!$G:$P,9,FALSE),VLOOKUP($A141,Cuision!$G:$P,10,FALSE),VLOOKUP(Z$83,Cuision!$G:$P,9,FALSE),VLOOKUP(Z$83,Cuision!$G:$P,10,FALSE)))</f>
        <v>-1</v>
      </c>
      <c r="AA141" s="33">
        <f>IF($A141=AA$83, 0, distance(VLOOKUP($A141,Cuision!$G:$P,9,FALSE),VLOOKUP($A141,Cuision!$G:$P,10,FALSE),VLOOKUP(AA$83,Cuision!$G:$P,9,FALSE),VLOOKUP(AA$83,Cuision!$G:$P,10,FALSE)))</f>
        <v>7373.6804424504517</v>
      </c>
      <c r="AB141" s="33">
        <f>IF($A141=AB$83, 0, distance(VLOOKUP($A141,Cuision!$G:$P,9,FALSE),VLOOKUP($A141,Cuision!$G:$P,10,FALSE),VLOOKUP(AB$83,Cuision!$G:$P,9,FALSE),VLOOKUP(AB$83,Cuision!$G:$P,10,FALSE)))</f>
        <v>2091.3888870413998</v>
      </c>
      <c r="AC141" s="33">
        <f>IF($A141=AC$83, 0, distance(VLOOKUP($A141,Cuision!$G:$P,9,FALSE),VLOOKUP($A141,Cuision!$G:$P,10,FALSE),VLOOKUP(AC$83,Cuision!$G:$P,9,FALSE),VLOOKUP(AC$83,Cuision!$G:$P,10,FALSE)))</f>
        <v>2008.0613195547601</v>
      </c>
      <c r="AD141" s="33">
        <f>IF($A141=AD$83, 0, distance(VLOOKUP($A141,Cuision!$G:$P,9,FALSE),VLOOKUP($A141,Cuision!$G:$P,10,FALSE),VLOOKUP(AD$83,Cuision!$G:$P,9,FALSE),VLOOKUP(AD$83,Cuision!$G:$P,10,FALSE)))</f>
        <v>4495.5811628617676</v>
      </c>
      <c r="AE141" s="33">
        <f>IF($A141=AE$83, 0, distance(VLOOKUP($A141,Cuision!$G:$P,9,FALSE),VLOOKUP($A141,Cuision!$G:$P,10,FALSE),VLOOKUP(AE$83,Cuision!$G:$P,9,FALSE),VLOOKUP(AE$83,Cuision!$G:$P,10,FALSE)))</f>
        <v>2482.529755240078</v>
      </c>
      <c r="AF141" s="33">
        <f>IF($A141=AF$83, 0, distance(VLOOKUP($A141,Cuision!$G:$P,9,FALSE),VLOOKUP($A141,Cuision!$G:$P,10,FALSE),VLOOKUP(AF$83,Cuision!$G:$P,9,FALSE),VLOOKUP(AF$83,Cuision!$G:$P,10,FALSE)))</f>
        <v>2616.2959161936892</v>
      </c>
      <c r="AG141" s="33">
        <f>IF($A141=AG$83, 0, distance(VLOOKUP($A141,Cuision!$G:$P,9,FALSE),VLOOKUP($A141,Cuision!$G:$P,10,FALSE),VLOOKUP(AG$83,Cuision!$G:$P,9,FALSE),VLOOKUP(AG$83,Cuision!$G:$P,10,FALSE)))</f>
        <v>2178.5370904158672</v>
      </c>
      <c r="AH141" s="33">
        <f>IF($A141=AH$83, 0, distance(VLOOKUP($A141,Cuision!$G:$P,9,FALSE),VLOOKUP($A141,Cuision!$G:$P,10,FALSE),VLOOKUP(AH$83,Cuision!$G:$P,9,FALSE),VLOOKUP(AH$83,Cuision!$G:$P,10,FALSE)))</f>
        <v>-1</v>
      </c>
      <c r="AI141" s="33">
        <f>IF($A141=AI$83, 0, distance(VLOOKUP($A141,Cuision!$G:$P,9,FALSE),VLOOKUP($A141,Cuision!$G:$P,10,FALSE),VLOOKUP(AI$83,Cuision!$G:$P,9,FALSE),VLOOKUP(AI$83,Cuision!$G:$P,10,FALSE)))</f>
        <v>1534.2014859186772</v>
      </c>
      <c r="AJ141" s="33">
        <f>IF($A141=AJ$83, 0, distance(VLOOKUP($A141,Cuision!$G:$P,9,FALSE),VLOOKUP($A141,Cuision!$G:$P,10,FALSE),VLOOKUP(AJ$83,Cuision!$G:$P,9,FALSE),VLOOKUP(AJ$83,Cuision!$G:$P,10,FALSE)))</f>
        <v>679.22167101187461</v>
      </c>
      <c r="AK141" s="33">
        <f>IF($A141=AK$83, 0, distance(VLOOKUP($A141,Cuision!$G:$P,9,FALSE),VLOOKUP($A141,Cuision!$G:$P,10,FALSE),VLOOKUP(AK$83,Cuision!$G:$P,9,FALSE),VLOOKUP(AK$83,Cuision!$G:$P,10,FALSE)))</f>
        <v>8208.5620557130642</v>
      </c>
      <c r="AL141" s="33">
        <f>IF($A141=AL$83, 0, distance(VLOOKUP($A141,Cuision!$G:$P,9,FALSE),VLOOKUP($A141,Cuision!$G:$P,10,FALSE),VLOOKUP(AL$83,Cuision!$G:$P,9,FALSE),VLOOKUP(AL$83,Cuision!$G:$P,10,FALSE)))</f>
        <v>2056.5861138231276</v>
      </c>
      <c r="AM141" s="33">
        <f>IF($A141=AM$83, 0, distance(VLOOKUP($A141,Cuision!$G:$P,9,FALSE),VLOOKUP($A141,Cuision!$G:$P,10,FALSE),VLOOKUP(AM$83,Cuision!$G:$P,9,FALSE),VLOOKUP(AM$83,Cuision!$G:$P,10,FALSE)))</f>
        <v>-1</v>
      </c>
      <c r="AN141" s="33">
        <f>IF($A141=AN$83, 0, distance(VLOOKUP($A141,Cuision!$G:$P,9,FALSE),VLOOKUP($A141,Cuision!$G:$P,10,FALSE),VLOOKUP(AN$83,Cuision!$G:$P,9,FALSE),VLOOKUP(AN$83,Cuision!$G:$P,10,FALSE)))</f>
        <v>1843.4257288469958</v>
      </c>
      <c r="AO141" s="33">
        <f>IF($A141=AO$83, 0, distance(VLOOKUP($A141,Cuision!$G:$P,9,FALSE),VLOOKUP($A141,Cuision!$G:$P,10,FALSE),VLOOKUP(AO$83,Cuision!$G:$P,9,FALSE),VLOOKUP(AO$83,Cuision!$G:$P,10,FALSE)))</f>
        <v>2967.9081899632765</v>
      </c>
      <c r="AP141" s="33">
        <f>IF($A141=AP$83, 0, distance(VLOOKUP($A141,Cuision!$G:$P,9,FALSE),VLOOKUP($A141,Cuision!$G:$P,10,FALSE),VLOOKUP(AP$83,Cuision!$G:$P,9,FALSE),VLOOKUP(AP$83,Cuision!$G:$P,10,FALSE)))</f>
        <v>1580.1260801433057</v>
      </c>
      <c r="AQ141" s="33">
        <f>IF($A141=AQ$83, 0, distance(VLOOKUP($A141,Cuision!$G:$P,9,FALSE),VLOOKUP($A141,Cuision!$G:$P,10,FALSE),VLOOKUP(AQ$83,Cuision!$G:$P,9,FALSE),VLOOKUP(AQ$83,Cuision!$G:$P,10,FALSE)))</f>
        <v>4610.5155890172064</v>
      </c>
      <c r="AR141" s="33">
        <f>IF($A141=AR$83, 0, distance(VLOOKUP($A141,Cuision!$G:$P,9,FALSE),VLOOKUP($A141,Cuision!$G:$P,10,FALSE),VLOOKUP(AR$83,Cuision!$G:$P,9,FALSE),VLOOKUP(AR$83,Cuision!$G:$P,10,FALSE)))</f>
        <v>2733.1643793800176</v>
      </c>
      <c r="AS141" s="33">
        <f>IF($A141=AS$83, 0, distance(VLOOKUP($A141,Cuision!$G:$P,9,FALSE),VLOOKUP($A141,Cuision!$G:$P,10,FALSE),VLOOKUP(AS$83,Cuision!$G:$P,9,FALSE),VLOOKUP(AS$83,Cuision!$G:$P,10,FALSE)))</f>
        <v>2121.4017617746563</v>
      </c>
      <c r="AT141" s="33">
        <f>IF($A141=AT$83, 0, distance(VLOOKUP($A141,Cuision!$G:$P,9,FALSE),VLOOKUP($A141,Cuision!$G:$P,10,FALSE),VLOOKUP(AT$83,Cuision!$G:$P,9,FALSE),VLOOKUP(AT$83,Cuision!$G:$P,10,FALSE)))</f>
        <v>4759.1444661248515</v>
      </c>
      <c r="AU141" s="33">
        <f>IF($A141=AU$83, 0, distance(VLOOKUP($A141,Cuision!$G:$P,9,FALSE),VLOOKUP($A141,Cuision!$G:$P,10,FALSE),VLOOKUP(AU$83,Cuision!$G:$P,9,FALSE),VLOOKUP(AU$83,Cuision!$G:$P,10,FALSE)))</f>
        <v>4070.735968960857</v>
      </c>
      <c r="AV141" s="33">
        <f>IF($A141=AV$83, 0, distance(VLOOKUP($A141,Cuision!$G:$P,9,FALSE),VLOOKUP($A141,Cuision!$G:$P,10,FALSE),VLOOKUP(AV$83,Cuision!$G:$P,9,FALSE),VLOOKUP(AV$83,Cuision!$G:$P,10,FALSE)))</f>
        <v>1104.4209447212893</v>
      </c>
      <c r="AW141" s="33">
        <f>IF($A141=AW$83, 0, distance(VLOOKUP($A141,Cuision!$G:$P,9,FALSE),VLOOKUP($A141,Cuision!$G:$P,10,FALSE),VLOOKUP(AW$83,Cuision!$G:$P,9,FALSE),VLOOKUP(AW$83,Cuision!$G:$P,10,FALSE)))</f>
        <v>3342.0169769782497</v>
      </c>
      <c r="AX141" s="33">
        <f>IF($A141=AX$83, 0, distance(VLOOKUP($A141,Cuision!$G:$P,9,FALSE),VLOOKUP($A141,Cuision!$G:$P,10,FALSE),VLOOKUP(AX$83,Cuision!$G:$P,9,FALSE),VLOOKUP(AX$83,Cuision!$G:$P,10,FALSE)))</f>
        <v>7668.6219543394636</v>
      </c>
      <c r="AY141" s="33">
        <f>IF($A141=AY$83, 0, distance(VLOOKUP($A141,Cuision!$G:$P,9,FALSE),VLOOKUP($A141,Cuision!$G:$P,10,FALSE),VLOOKUP(AY$83,Cuision!$G:$P,9,FALSE),VLOOKUP(AY$83,Cuision!$G:$P,10,FALSE)))</f>
        <v>-1</v>
      </c>
      <c r="AZ141" s="33">
        <f>IF($A141=AZ$83, 0, distance(VLOOKUP($A141,Cuision!$G:$P,9,FALSE),VLOOKUP($A141,Cuision!$G:$P,10,FALSE),VLOOKUP(AZ$83,Cuision!$G:$P,9,FALSE),VLOOKUP(AZ$83,Cuision!$G:$P,10,FALSE)))</f>
        <v>3911.3421561440064</v>
      </c>
      <c r="BA141" s="33">
        <f>IF($A141=BA$83, 0, distance(VLOOKUP($A141,Cuision!$G:$P,9,FALSE),VLOOKUP($A141,Cuision!$G:$P,10,FALSE),VLOOKUP(BA$83,Cuision!$G:$P,9,FALSE),VLOOKUP(BA$83,Cuision!$G:$P,10,FALSE)))</f>
        <v>1878.4358407533496</v>
      </c>
      <c r="BB141" s="33">
        <f>IF($A141=BB$83, 0, distance(VLOOKUP($A141,Cuision!$G:$P,9,FALSE),VLOOKUP($A141,Cuision!$G:$P,10,FALSE),VLOOKUP(BB$83,Cuision!$G:$P,9,FALSE),VLOOKUP(BB$83,Cuision!$G:$P,10,FALSE)))</f>
        <v>8167.961618562138</v>
      </c>
      <c r="BC141" s="33">
        <f>IF($A141=BC$83, 0, distance(VLOOKUP($A141,Cuision!$G:$P,9,FALSE),VLOOKUP($A141,Cuision!$G:$P,10,FALSE),VLOOKUP(BC$83,Cuision!$G:$P,9,FALSE),VLOOKUP(BC$83,Cuision!$G:$P,10,FALSE)))</f>
        <v>679.22167101187461</v>
      </c>
      <c r="BD141" s="33">
        <f>IF($A141=BD$83, 0, distance(VLOOKUP($A141,Cuision!$G:$P,9,FALSE),VLOOKUP($A141,Cuision!$G:$P,10,FALSE),VLOOKUP(BD$83,Cuision!$G:$P,9,FALSE),VLOOKUP(BD$83,Cuision!$G:$P,10,FALSE)))</f>
        <v>2910.881597138356</v>
      </c>
      <c r="BE141" s="33">
        <f>IF($A141=BE$83, 0, distance(VLOOKUP($A141,Cuision!$G:$P,9,FALSE),VLOOKUP($A141,Cuision!$G:$P,10,FALSE),VLOOKUP(BE$83,Cuision!$G:$P,9,FALSE),VLOOKUP(BE$83,Cuision!$G:$P,10,FALSE)))</f>
        <v>3254.8336950998355</v>
      </c>
      <c r="BF141" s="33">
        <f>IF($A141=BF$83, 0, distance(VLOOKUP($A141,Cuision!$G:$P,9,FALSE),VLOOKUP($A141,Cuision!$G:$P,10,FALSE),VLOOKUP(BF$83,Cuision!$G:$P,9,FALSE),VLOOKUP(BF$83,Cuision!$G:$P,10,FALSE)))</f>
        <v>1232.9877190727557</v>
      </c>
      <c r="BG141" s="33">
        <f>IF($A141=BG$83, 0, distance(VLOOKUP($A141,Cuision!$G:$P,9,FALSE),VLOOKUP($A141,Cuision!$G:$P,10,FALSE),VLOOKUP(BG$83,Cuision!$G:$P,9,FALSE),VLOOKUP(BG$83,Cuision!$G:$P,10,FALSE)))</f>
        <v>0</v>
      </c>
      <c r="BH141" s="33">
        <f>IF($A141=BH$83, 0, distance(VLOOKUP($A141,Cuision!$G:$P,9,FALSE),VLOOKUP($A141,Cuision!$G:$P,10,FALSE),VLOOKUP(BH$83,Cuision!$G:$P,9,FALSE),VLOOKUP(BH$83,Cuision!$G:$P,10,FALSE)))</f>
        <v>8843.3443622446102</v>
      </c>
      <c r="BI141" s="33">
        <f>IF($A141=BI$83, 0, distance(VLOOKUP($A141,Cuision!$G:$P,9,FALSE),VLOOKUP($A141,Cuision!$G:$P,10,FALSE),VLOOKUP(BI$83,Cuision!$G:$P,9,FALSE),VLOOKUP(BI$83,Cuision!$G:$P,10,FALSE)))</f>
        <v>1872.5927857988463</v>
      </c>
      <c r="BJ141" s="33">
        <f>IF($A141=BJ$83, 0, distance(VLOOKUP($A141,Cuision!$G:$P,9,FALSE),VLOOKUP($A141,Cuision!$G:$P,10,FALSE),VLOOKUP(BJ$83,Cuision!$G:$P,9,FALSE),VLOOKUP(BJ$83,Cuision!$G:$P,10,FALSE)))</f>
        <v>3276.9887887411787</v>
      </c>
      <c r="BK141" s="33">
        <f>IF($A141=BK$83, 0, distance(VLOOKUP($A141,Cuision!$G:$P,9,FALSE),VLOOKUP($A141,Cuision!$G:$P,10,FALSE),VLOOKUP(BK$83,Cuision!$G:$P,9,FALSE),VLOOKUP(BK$83,Cuision!$G:$P,10,FALSE)))</f>
        <v>1530.9795641738312</v>
      </c>
      <c r="BL141" s="33">
        <f>IF($A141=BL$83, 0, distance(VLOOKUP($A141,Cuision!$G:$P,9,FALSE),VLOOKUP($A141,Cuision!$G:$P,10,FALSE),VLOOKUP(BL$83,Cuision!$G:$P,9,FALSE),VLOOKUP(BL$83,Cuision!$G:$P,10,FALSE)))</f>
        <v>-1</v>
      </c>
      <c r="BM141" s="33">
        <f>IF($A141=BM$83, 0, distance(VLOOKUP($A141,Cuision!$G:$P,9,FALSE),VLOOKUP($A141,Cuision!$G:$P,10,FALSE),VLOOKUP(BM$83,Cuision!$G:$P,9,FALSE),VLOOKUP(BM$83,Cuision!$G:$P,10,FALSE)))</f>
        <v>-1</v>
      </c>
      <c r="BN141" s="33">
        <f>IF($A141=BN$83, 0, distance(VLOOKUP($A141,Cuision!$G:$P,9,FALSE),VLOOKUP($A141,Cuision!$G:$P,10,FALSE),VLOOKUP(BN$83,Cuision!$G:$P,9,FALSE),VLOOKUP(BN$83,Cuision!$G:$P,10,FALSE)))</f>
        <v>2733.1643793800176</v>
      </c>
      <c r="BO141" s="33">
        <f>IF($A141=BO$83, 0, distance(VLOOKUP($A141,Cuision!$G:$P,9,FALSE),VLOOKUP($A141,Cuision!$G:$P,10,FALSE),VLOOKUP(BO$83,Cuision!$G:$P,9,FALSE),VLOOKUP(BO$83,Cuision!$G:$P,10,FALSE)))</f>
        <v>4107.7113955728782</v>
      </c>
      <c r="BP141" s="33">
        <f>IF($A141=BP$83, 0, distance(VLOOKUP($A141,Cuision!$G:$P,9,FALSE),VLOOKUP($A141,Cuision!$G:$P,10,FALSE),VLOOKUP(BP$83,Cuision!$G:$P,9,FALSE),VLOOKUP(BP$83,Cuision!$G:$P,10,FALSE)))</f>
        <v>1941.1471806762447</v>
      </c>
      <c r="BQ141" s="33">
        <f>IF($A141=BQ$83, 0, distance(VLOOKUP($A141,Cuision!$G:$P,9,FALSE),VLOOKUP($A141,Cuision!$G:$P,10,FALSE),VLOOKUP(BQ$83,Cuision!$G:$P,9,FALSE),VLOOKUP(BQ$83,Cuision!$G:$P,10,FALSE)))</f>
        <v>-1</v>
      </c>
      <c r="BR141" s="33">
        <f>IF($A141=BR$83, 0, distance(VLOOKUP($A141,Cuision!$G:$P,9,FALSE),VLOOKUP($A141,Cuision!$G:$P,10,FALSE),VLOOKUP(BR$83,Cuision!$G:$P,9,FALSE),VLOOKUP(BR$83,Cuision!$G:$P,10,FALSE)))</f>
        <v>6324.1185508828385</v>
      </c>
      <c r="BS141" s="33">
        <f>IF($A141=BS$83, 0, distance(VLOOKUP($A141,Cuision!$G:$P,9,FALSE),VLOOKUP($A141,Cuision!$G:$P,10,FALSE),VLOOKUP(BS$83,Cuision!$G:$P,9,FALSE),VLOOKUP(BS$83,Cuision!$G:$P,10,FALSE)))</f>
        <v>3480.2899702519962</v>
      </c>
      <c r="BT141" s="33">
        <f>IF($A141=BT$83, 0, distance(VLOOKUP($A141,Cuision!$G:$P,9,FALSE),VLOOKUP($A141,Cuision!$G:$P,10,FALSE),VLOOKUP(BT$83,Cuision!$G:$P,9,FALSE),VLOOKUP(BT$83,Cuision!$G:$P,10,FALSE)))</f>
        <v>2967.9081899632765</v>
      </c>
      <c r="BU141" s="33">
        <f>IF($A141=BU$83, 0, distance(VLOOKUP($A141,Cuision!$G:$P,9,FALSE),VLOOKUP($A141,Cuision!$G:$P,10,FALSE),VLOOKUP(BU$83,Cuision!$G:$P,9,FALSE),VLOOKUP(BU$83,Cuision!$G:$P,10,FALSE)))</f>
        <v>3388.837142414473</v>
      </c>
      <c r="BV141" s="33">
        <f>IF($A141=BV$83, 0, distance(VLOOKUP($A141,Cuision!$G:$P,9,FALSE),VLOOKUP($A141,Cuision!$G:$P,10,FALSE),VLOOKUP(BV$83,Cuision!$G:$P,9,FALSE),VLOOKUP(BV$83,Cuision!$G:$P,10,FALSE)))</f>
        <v>1052.7546508278574</v>
      </c>
      <c r="BW141" s="33">
        <f>IF($A141=BW$83, 0, distance(VLOOKUP($A141,Cuision!$G:$P,9,FALSE),VLOOKUP($A141,Cuision!$G:$P,10,FALSE),VLOOKUP(BW$83,Cuision!$G:$P,9,FALSE),VLOOKUP(BW$83,Cuision!$G:$P,10,FALSE)))</f>
        <v>1457.5666261674357</v>
      </c>
      <c r="BX141" s="33">
        <f>IF($A141=BX$83, 0, distance(VLOOKUP($A141,Cuision!$G:$P,9,FALSE),VLOOKUP($A141,Cuision!$G:$P,10,FALSE),VLOOKUP(BX$83,Cuision!$G:$P,9,FALSE),VLOOKUP(BX$83,Cuision!$G:$P,10,FALSE)))</f>
        <v>1034.426933921588</v>
      </c>
      <c r="BY141" s="33">
        <f>IF($A141=BY$83, 0, distance(VLOOKUP($A141,Cuision!$G:$P,9,FALSE),VLOOKUP($A141,Cuision!$G:$P,10,FALSE),VLOOKUP(BY$83,Cuision!$G:$P,9,FALSE),VLOOKUP(BY$83,Cuision!$G:$P,10,FALSE)))</f>
        <v>-1</v>
      </c>
      <c r="BZ141" s="33">
        <f>IF($A141=BZ$83, 0, distance(VLOOKUP($A141,Cuision!$G:$P,9,FALSE),VLOOKUP($A141,Cuision!$G:$P,10,FALSE),VLOOKUP(BZ$83,Cuision!$G:$P,9,FALSE),VLOOKUP(BZ$83,Cuision!$G:$P,10,FALSE)))</f>
        <v>-1</v>
      </c>
      <c r="CA141" s="33">
        <f>IF($A141=CA$83, 0, distance(VLOOKUP($A141,Cuision!$G:$P,9,FALSE),VLOOKUP($A141,Cuision!$G:$P,10,FALSE),VLOOKUP(CA$83,Cuision!$G:$P,9,FALSE),VLOOKUP(CA$83,Cuision!$G:$P,10,FALSE)))</f>
        <v>3415.1189385176763</v>
      </c>
    </row>
    <row r="142" spans="1:79" ht="14.25" x14ac:dyDescent="0.2">
      <c r="A142" s="30" t="s">
        <v>112</v>
      </c>
      <c r="B142" s="33">
        <f>IF($A142=B$83, 0, distance(VLOOKUP($A142,Cuision!$G:$P,9,FALSE),VLOOKUP($A142,Cuision!$G:$P,10,FALSE),VLOOKUP(B$83,Cuision!$G:$P,9,FALSE),VLOOKUP(B$83,Cuision!$G:$P,10,FALSE)))</f>
        <v>9809.2278942604244</v>
      </c>
      <c r="C142" s="33">
        <f>IF($A142=C$83, 0, distance(VLOOKUP($A142,Cuision!$G:$P,9,FALSE),VLOOKUP($A142,Cuision!$G:$P,10,FALSE),VLOOKUP(C$83,Cuision!$G:$P,9,FALSE),VLOOKUP(C$83,Cuision!$G:$P,10,FALSE)))</f>
        <v>7520.0156746629646</v>
      </c>
      <c r="D142" s="33">
        <f>IF($A142=D$83, 0, distance(VLOOKUP($A142,Cuision!$G:$P,9,FALSE),VLOOKUP($A142,Cuision!$G:$P,10,FALSE),VLOOKUP(D$83,Cuision!$G:$P,9,FALSE),VLOOKUP(D$83,Cuision!$G:$P,10,FALSE)))</f>
        <v>3519.4446590994971</v>
      </c>
      <c r="E142" s="33">
        <f>IF($A142=E$83, 0, distance(VLOOKUP($A142,Cuision!$G:$P,9,FALSE),VLOOKUP($A142,Cuision!$G:$P,10,FALSE),VLOOKUP(E$83,Cuision!$G:$P,9,FALSE),VLOOKUP(E$83,Cuision!$G:$P,10,FALSE)))</f>
        <v>3519.4446590994971</v>
      </c>
      <c r="F142" s="33">
        <f>IF($A142=F$83, 0, distance(VLOOKUP($A142,Cuision!$G:$P,9,FALSE),VLOOKUP($A142,Cuision!$G:$P,10,FALSE),VLOOKUP(F$83,Cuision!$G:$P,9,FALSE),VLOOKUP(F$83,Cuision!$G:$P,10,FALSE)))</f>
        <v>8397.292438003582</v>
      </c>
      <c r="G142" s="33">
        <f>IF($A142=G$83, 0, distance(VLOOKUP($A142,Cuision!$G:$P,9,FALSE),VLOOKUP($A142,Cuision!$G:$P,10,FALSE),VLOOKUP(G$83,Cuision!$G:$P,9,FALSE),VLOOKUP(G$83,Cuision!$G:$P,10,FALSE)))</f>
        <v>1949.6726685500655</v>
      </c>
      <c r="H142" s="33">
        <f>IF($A142=H$83, 0, distance(VLOOKUP($A142,Cuision!$G:$P,9,FALSE),VLOOKUP($A142,Cuision!$G:$P,10,FALSE),VLOOKUP(H$83,Cuision!$G:$P,9,FALSE),VLOOKUP(H$83,Cuision!$G:$P,10,FALSE)))</f>
        <v>8408.1360233452251</v>
      </c>
      <c r="I142" s="33">
        <f>IF($A142=I$83, 0, distance(VLOOKUP($A142,Cuision!$G:$P,9,FALSE),VLOOKUP($A142,Cuision!$G:$P,10,FALSE),VLOOKUP(I$83,Cuision!$G:$P,9,FALSE),VLOOKUP(I$83,Cuision!$G:$P,10,FALSE)))</f>
        <v>10908.491845794124</v>
      </c>
      <c r="J142" s="33">
        <f>IF($A142=J$83, 0, distance(VLOOKUP($A142,Cuision!$G:$P,9,FALSE),VLOOKUP($A142,Cuision!$G:$P,10,FALSE),VLOOKUP(J$83,Cuision!$G:$P,9,FALSE),VLOOKUP(J$83,Cuision!$G:$P,10,FALSE)))</f>
        <v>7988.7016953824141</v>
      </c>
      <c r="K142" s="33">
        <f>IF($A142=K$83, 0, distance(VLOOKUP($A142,Cuision!$G:$P,9,FALSE),VLOOKUP($A142,Cuision!$G:$P,10,FALSE),VLOOKUP(K$83,Cuision!$G:$P,9,FALSE),VLOOKUP(K$83,Cuision!$G:$P,10,FALSE)))</f>
        <v>6991.6845605697372</v>
      </c>
      <c r="L142" s="33">
        <f>IF($A142=L$83, 0, distance(VLOOKUP($A142,Cuision!$G:$P,9,FALSE),VLOOKUP($A142,Cuision!$G:$P,10,FALSE),VLOOKUP(L$83,Cuision!$G:$P,9,FALSE),VLOOKUP(L$83,Cuision!$G:$P,10,FALSE)))</f>
        <v>11283.460247244439</v>
      </c>
      <c r="M142" s="33">
        <f>IF($A142=M$83, 0, distance(VLOOKUP($A142,Cuision!$G:$P,9,FALSE),VLOOKUP($A142,Cuision!$G:$P,10,FALSE),VLOOKUP(M$83,Cuision!$G:$P,9,FALSE),VLOOKUP(M$83,Cuision!$G:$P,10,FALSE)))</f>
        <v>-1</v>
      </c>
      <c r="N142" s="33">
        <f>IF($A142=N$83, 0, distance(VLOOKUP($A142,Cuision!$G:$P,9,FALSE),VLOOKUP($A142,Cuision!$G:$P,10,FALSE),VLOOKUP(N$83,Cuision!$G:$P,9,FALSE),VLOOKUP(N$83,Cuision!$G:$P,10,FALSE)))</f>
        <v>5907.6861597019188</v>
      </c>
      <c r="O142" s="33">
        <f>IF($A142=O$83, 0, distance(VLOOKUP($A142,Cuision!$G:$P,9,FALSE),VLOOKUP($A142,Cuision!$G:$P,10,FALSE),VLOOKUP(O$83,Cuision!$G:$P,9,FALSE),VLOOKUP(O$83,Cuision!$G:$P,10,FALSE)))</f>
        <v>6492.324428941286</v>
      </c>
      <c r="P142" s="33">
        <f>IF($A142=P$83, 0, distance(VLOOKUP($A142,Cuision!$G:$P,9,FALSE),VLOOKUP($A142,Cuision!$G:$P,10,FALSE),VLOOKUP(P$83,Cuision!$G:$P,9,FALSE),VLOOKUP(P$83,Cuision!$G:$P,10,FALSE)))</f>
        <v>1966.951209775483</v>
      </c>
      <c r="Q142" s="33">
        <f>IF($A142=Q$83, 0, distance(VLOOKUP($A142,Cuision!$G:$P,9,FALSE),VLOOKUP($A142,Cuision!$G:$P,10,FALSE),VLOOKUP(Q$83,Cuision!$G:$P,9,FALSE),VLOOKUP(Q$83,Cuision!$G:$P,10,FALSE)))</f>
        <v>-1</v>
      </c>
      <c r="R142" s="33">
        <f>IF($A142=R$83, 0, distance(VLOOKUP($A142,Cuision!$G:$P,9,FALSE),VLOOKUP($A142,Cuision!$G:$P,10,FALSE),VLOOKUP(R$83,Cuision!$G:$P,9,FALSE),VLOOKUP(R$83,Cuision!$G:$P,10,FALSE)))</f>
        <v>6318.3047804818971</v>
      </c>
      <c r="S142" s="33">
        <f>IF($A142=S$83, 0, distance(VLOOKUP($A142,Cuision!$G:$P,9,FALSE),VLOOKUP($A142,Cuision!$G:$P,10,FALSE),VLOOKUP(S$83,Cuision!$G:$P,9,FALSE),VLOOKUP(S$83,Cuision!$G:$P,10,FALSE)))</f>
        <v>-1</v>
      </c>
      <c r="T142" s="33">
        <f>IF($A142=T$83, 0, distance(VLOOKUP($A142,Cuision!$G:$P,9,FALSE),VLOOKUP($A142,Cuision!$G:$P,10,FALSE),VLOOKUP(T$83,Cuision!$G:$P,9,FALSE),VLOOKUP(T$83,Cuision!$G:$P,10,FALSE)))</f>
        <v>11736.255544229556</v>
      </c>
      <c r="U142" s="33">
        <f>IF($A142=U$83, 0, distance(VLOOKUP($A142,Cuision!$G:$P,9,FALSE),VLOOKUP($A142,Cuision!$G:$P,10,FALSE),VLOOKUP(U$83,Cuision!$G:$P,9,FALSE),VLOOKUP(U$83,Cuision!$G:$P,10,FALSE)))</f>
        <v>-1</v>
      </c>
      <c r="V142" s="33">
        <f>IF($A142=V$83, 0, distance(VLOOKUP($A142,Cuision!$G:$P,9,FALSE),VLOOKUP($A142,Cuision!$G:$P,10,FALSE),VLOOKUP(V$83,Cuision!$G:$P,9,FALSE),VLOOKUP(V$83,Cuision!$G:$P,10,FALSE)))</f>
        <v>3519.4446590994971</v>
      </c>
      <c r="W142" s="33">
        <f>IF($A142=W$83, 0, distance(VLOOKUP($A142,Cuision!$G:$P,9,FALSE),VLOOKUP($A142,Cuision!$G:$P,10,FALSE),VLOOKUP(W$83,Cuision!$G:$P,9,FALSE),VLOOKUP(W$83,Cuision!$G:$P,10,FALSE)))</f>
        <v>12300.216454881487</v>
      </c>
      <c r="X142" s="33">
        <f>IF($A142=X$83, 0, distance(VLOOKUP($A142,Cuision!$G:$P,9,FALSE),VLOOKUP($A142,Cuision!$G:$P,10,FALSE),VLOOKUP(X$83,Cuision!$G:$P,9,FALSE),VLOOKUP(X$83,Cuision!$G:$P,10,FALSE)))</f>
        <v>5907.6861597019188</v>
      </c>
      <c r="Y142" s="33">
        <f>IF($A142=Y$83, 0, distance(VLOOKUP($A142,Cuision!$G:$P,9,FALSE),VLOOKUP($A142,Cuision!$G:$P,10,FALSE),VLOOKUP(Y$83,Cuision!$G:$P,9,FALSE),VLOOKUP(Y$83,Cuision!$G:$P,10,FALSE)))</f>
        <v>10343.564435599781</v>
      </c>
      <c r="Z142" s="33">
        <f>IF($A142=Z$83, 0, distance(VLOOKUP($A142,Cuision!$G:$P,9,FALSE),VLOOKUP($A142,Cuision!$G:$P,10,FALSE),VLOOKUP(Z$83,Cuision!$G:$P,9,FALSE),VLOOKUP(Z$83,Cuision!$G:$P,10,FALSE)))</f>
        <v>-1</v>
      </c>
      <c r="AA142" s="33">
        <f>IF($A142=AA$83, 0, distance(VLOOKUP($A142,Cuision!$G:$P,9,FALSE),VLOOKUP($A142,Cuision!$G:$P,10,FALSE),VLOOKUP(AA$83,Cuision!$G:$P,9,FALSE),VLOOKUP(AA$83,Cuision!$G:$P,10,FALSE)))</f>
        <v>2456.6929830177237</v>
      </c>
      <c r="AB142" s="33">
        <f>IF($A142=AB$83, 0, distance(VLOOKUP($A142,Cuision!$G:$P,9,FALSE),VLOOKUP($A142,Cuision!$G:$P,10,FALSE),VLOOKUP(AB$83,Cuision!$G:$P,9,FALSE),VLOOKUP(AB$83,Cuision!$G:$P,10,FALSE)))</f>
        <v>6917.9767305937576</v>
      </c>
      <c r="AC142" s="33">
        <f>IF($A142=AC$83, 0, distance(VLOOKUP($A142,Cuision!$G:$P,9,FALSE),VLOOKUP($A142,Cuision!$G:$P,10,FALSE),VLOOKUP(AC$83,Cuision!$G:$P,9,FALSE),VLOOKUP(AC$83,Cuision!$G:$P,10,FALSE)))</f>
        <v>8078.2109864208724</v>
      </c>
      <c r="AD142" s="33">
        <f>IF($A142=AD$83, 0, distance(VLOOKUP($A142,Cuision!$G:$P,9,FALSE),VLOOKUP($A142,Cuision!$G:$P,10,FALSE),VLOOKUP(AD$83,Cuision!$G:$P,9,FALSE),VLOOKUP(AD$83,Cuision!$G:$P,10,FALSE)))</f>
        <v>11212.894083197296</v>
      </c>
      <c r="AE142" s="33">
        <f>IF($A142=AE$83, 0, distance(VLOOKUP($A142,Cuision!$G:$P,9,FALSE),VLOOKUP($A142,Cuision!$G:$P,10,FALSE),VLOOKUP(AE$83,Cuision!$G:$P,9,FALSE),VLOOKUP(AE$83,Cuision!$G:$P,10,FALSE)))</f>
        <v>6933.1432686807902</v>
      </c>
      <c r="AF142" s="33">
        <f>IF($A142=AF$83, 0, distance(VLOOKUP($A142,Cuision!$G:$P,9,FALSE),VLOOKUP($A142,Cuision!$G:$P,10,FALSE),VLOOKUP(AF$83,Cuision!$G:$P,9,FALSE),VLOOKUP(AF$83,Cuision!$G:$P,10,FALSE)))</f>
        <v>6370.405461622885</v>
      </c>
      <c r="AG142" s="33">
        <f>IF($A142=AG$83, 0, distance(VLOOKUP($A142,Cuision!$G:$P,9,FALSE),VLOOKUP($A142,Cuision!$G:$P,10,FALSE),VLOOKUP(AG$83,Cuision!$G:$P,9,FALSE),VLOOKUP(AG$83,Cuision!$G:$P,10,FALSE)))</f>
        <v>6894.7560260622367</v>
      </c>
      <c r="AH142" s="33">
        <f>IF($A142=AH$83, 0, distance(VLOOKUP($A142,Cuision!$G:$P,9,FALSE),VLOOKUP($A142,Cuision!$G:$P,10,FALSE),VLOOKUP(AH$83,Cuision!$G:$P,9,FALSE),VLOOKUP(AH$83,Cuision!$G:$P,10,FALSE)))</f>
        <v>-1</v>
      </c>
      <c r="AI142" s="33">
        <f>IF($A142=AI$83, 0, distance(VLOOKUP($A142,Cuision!$G:$P,9,FALSE),VLOOKUP($A142,Cuision!$G:$P,10,FALSE),VLOOKUP(AI$83,Cuision!$G:$P,9,FALSE),VLOOKUP(AI$83,Cuision!$G:$P,10,FALSE)))</f>
        <v>7309.2070033061364</v>
      </c>
      <c r="AJ142" s="33">
        <f>IF($A142=AJ$83, 0, distance(VLOOKUP($A142,Cuision!$G:$P,9,FALSE),VLOOKUP($A142,Cuision!$G:$P,10,FALSE),VLOOKUP(AJ$83,Cuision!$G:$P,9,FALSE),VLOOKUP(AJ$83,Cuision!$G:$P,10,FALSE)))</f>
        <v>8397.292438003582</v>
      </c>
      <c r="AK142" s="33">
        <f>IF($A142=AK$83, 0, distance(VLOOKUP($A142,Cuision!$G:$P,9,FALSE),VLOOKUP($A142,Cuision!$G:$P,10,FALSE),VLOOKUP(AK$83,Cuision!$G:$P,9,FALSE),VLOOKUP(AK$83,Cuision!$G:$P,10,FALSE)))</f>
        <v>5775.7094701914239</v>
      </c>
      <c r="AL142" s="33">
        <f>IF($A142=AL$83, 0, distance(VLOOKUP($A142,Cuision!$G:$P,9,FALSE),VLOOKUP($A142,Cuision!$G:$P,10,FALSE),VLOOKUP(AL$83,Cuision!$G:$P,9,FALSE),VLOOKUP(AL$83,Cuision!$G:$P,10,FALSE)))</f>
        <v>10863.559843675141</v>
      </c>
      <c r="AM142" s="33">
        <f>IF($A142=AM$83, 0, distance(VLOOKUP($A142,Cuision!$G:$P,9,FALSE),VLOOKUP($A142,Cuision!$G:$P,10,FALSE),VLOOKUP(AM$83,Cuision!$G:$P,9,FALSE),VLOOKUP(AM$83,Cuision!$G:$P,10,FALSE)))</f>
        <v>-1</v>
      </c>
      <c r="AN142" s="33">
        <f>IF($A142=AN$83, 0, distance(VLOOKUP($A142,Cuision!$G:$P,9,FALSE),VLOOKUP($A142,Cuision!$G:$P,10,FALSE),VLOOKUP(AN$83,Cuision!$G:$P,9,FALSE),VLOOKUP(AN$83,Cuision!$G:$P,10,FALSE)))</f>
        <v>7111.0245285963238</v>
      </c>
      <c r="AO142" s="33">
        <f>IF($A142=AO$83, 0, distance(VLOOKUP($A142,Cuision!$G:$P,9,FALSE),VLOOKUP($A142,Cuision!$G:$P,10,FALSE),VLOOKUP(AO$83,Cuision!$G:$P,9,FALSE),VLOOKUP(AO$83,Cuision!$G:$P,10,FALSE)))</f>
        <v>5907.6861597019188</v>
      </c>
      <c r="AP142" s="33">
        <f>IF($A142=AP$83, 0, distance(VLOOKUP($A142,Cuision!$G:$P,9,FALSE),VLOOKUP($A142,Cuision!$G:$P,10,FALSE),VLOOKUP(AP$83,Cuision!$G:$P,9,FALSE),VLOOKUP(AP$83,Cuision!$G:$P,10,FALSE)))</f>
        <v>10420.116119456934</v>
      </c>
      <c r="AQ142" s="33">
        <f>IF($A142=AQ$83, 0, distance(VLOOKUP($A142,Cuision!$G:$P,9,FALSE),VLOOKUP($A142,Cuision!$G:$P,10,FALSE),VLOOKUP(AQ$83,Cuision!$G:$P,9,FALSE),VLOOKUP(AQ$83,Cuision!$G:$P,10,FALSE)))</f>
        <v>11147.43576475581</v>
      </c>
      <c r="AR142" s="33">
        <f>IF($A142=AR$83, 0, distance(VLOOKUP($A142,Cuision!$G:$P,9,FALSE),VLOOKUP($A142,Cuision!$G:$P,10,FALSE),VLOOKUP(AR$83,Cuision!$G:$P,9,FALSE),VLOOKUP(AR$83,Cuision!$G:$P,10,FALSE)))</f>
        <v>6318.3047804818971</v>
      </c>
      <c r="AS142" s="33">
        <f>IF($A142=AS$83, 0, distance(VLOOKUP($A142,Cuision!$G:$P,9,FALSE),VLOOKUP($A142,Cuision!$G:$P,10,FALSE),VLOOKUP(AS$83,Cuision!$G:$P,9,FALSE),VLOOKUP(AS$83,Cuision!$G:$P,10,FALSE)))</f>
        <v>6746.3647448987876</v>
      </c>
      <c r="AT142" s="33">
        <f>IF($A142=AT$83, 0, distance(VLOOKUP($A142,Cuision!$G:$P,9,FALSE),VLOOKUP($A142,Cuision!$G:$P,10,FALSE),VLOOKUP(AT$83,Cuision!$G:$P,9,FALSE),VLOOKUP(AT$83,Cuision!$G:$P,10,FALSE)))</f>
        <v>9625.8129266165888</v>
      </c>
      <c r="AU142" s="33">
        <f>IF($A142=AU$83, 0, distance(VLOOKUP($A142,Cuision!$G:$P,9,FALSE),VLOOKUP($A142,Cuision!$G:$P,10,FALSE),VLOOKUP(AU$83,Cuision!$G:$P,9,FALSE),VLOOKUP(AU$83,Cuision!$G:$P,10,FALSE)))</f>
        <v>10131.757015900102</v>
      </c>
      <c r="AV142" s="33">
        <f>IF($A142=AV$83, 0, distance(VLOOKUP($A142,Cuision!$G:$P,9,FALSE),VLOOKUP($A142,Cuision!$G:$P,10,FALSE),VLOOKUP(AV$83,Cuision!$G:$P,9,FALSE),VLOOKUP(AV$83,Cuision!$G:$P,10,FALSE)))</f>
        <v>7751.6364449845378</v>
      </c>
      <c r="AW142" s="33">
        <f>IF($A142=AW$83, 0, distance(VLOOKUP($A142,Cuision!$G:$P,9,FALSE),VLOOKUP($A142,Cuision!$G:$P,10,FALSE),VLOOKUP(AW$83,Cuision!$G:$P,9,FALSE),VLOOKUP(AW$83,Cuision!$G:$P,10,FALSE)))</f>
        <v>12025.753732276624</v>
      </c>
      <c r="AX142" s="33">
        <f>IF($A142=AX$83, 0, distance(VLOOKUP($A142,Cuision!$G:$P,9,FALSE),VLOOKUP($A142,Cuision!$G:$P,10,FALSE),VLOOKUP(AX$83,Cuision!$G:$P,9,FALSE),VLOOKUP(AX$83,Cuision!$G:$P,10,FALSE)))</f>
        <v>1194.3647619567323</v>
      </c>
      <c r="AY142" s="33">
        <f>IF($A142=AY$83, 0, distance(VLOOKUP($A142,Cuision!$G:$P,9,FALSE),VLOOKUP($A142,Cuision!$G:$P,10,FALSE),VLOOKUP(AY$83,Cuision!$G:$P,9,FALSE),VLOOKUP(AY$83,Cuision!$G:$P,10,FALSE)))</f>
        <v>-1</v>
      </c>
      <c r="AZ142" s="33">
        <f>IF($A142=AZ$83, 0, distance(VLOOKUP($A142,Cuision!$G:$P,9,FALSE),VLOOKUP($A142,Cuision!$G:$P,10,FALSE),VLOOKUP(AZ$83,Cuision!$G:$P,9,FALSE),VLOOKUP(AZ$83,Cuision!$G:$P,10,FALSE)))</f>
        <v>11815.095101409905</v>
      </c>
      <c r="BA142" s="33">
        <f>IF($A142=BA$83, 0, distance(VLOOKUP($A142,Cuision!$G:$P,9,FALSE),VLOOKUP($A142,Cuision!$G:$P,10,FALSE),VLOOKUP(BA$83,Cuision!$G:$P,9,FALSE),VLOOKUP(BA$83,Cuision!$G:$P,10,FALSE)))</f>
        <v>6973.2294042879212</v>
      </c>
      <c r="BB142" s="33">
        <f>IF($A142=BB$83, 0, distance(VLOOKUP($A142,Cuision!$G:$P,9,FALSE),VLOOKUP($A142,Cuision!$G:$P,10,FALSE),VLOOKUP(BB$83,Cuision!$G:$P,9,FALSE),VLOOKUP(BB$83,Cuision!$G:$P,10,FALSE)))</f>
        <v>2643.7551126383933</v>
      </c>
      <c r="BC142" s="33">
        <f>IF($A142=BC$83, 0, distance(VLOOKUP($A142,Cuision!$G:$P,9,FALSE),VLOOKUP($A142,Cuision!$G:$P,10,FALSE),VLOOKUP(BC$83,Cuision!$G:$P,9,FALSE),VLOOKUP(BC$83,Cuision!$G:$P,10,FALSE)))</f>
        <v>8397.292438003582</v>
      </c>
      <c r="BD142" s="33">
        <f>IF($A142=BD$83, 0, distance(VLOOKUP($A142,Cuision!$G:$P,9,FALSE),VLOOKUP($A142,Cuision!$G:$P,10,FALSE),VLOOKUP(BD$83,Cuision!$G:$P,9,FALSE),VLOOKUP(BD$83,Cuision!$G:$P,10,FALSE)))</f>
        <v>9947.6516829761931</v>
      </c>
      <c r="BE142" s="33">
        <f>IF($A142=BE$83, 0, distance(VLOOKUP($A142,Cuision!$G:$P,9,FALSE),VLOOKUP($A142,Cuision!$G:$P,10,FALSE),VLOOKUP(BE$83,Cuision!$G:$P,9,FALSE),VLOOKUP(BE$83,Cuision!$G:$P,10,FALSE)))</f>
        <v>5590.2479585175588</v>
      </c>
      <c r="BF142" s="33">
        <f>IF($A142=BF$83, 0, distance(VLOOKUP($A142,Cuision!$G:$P,9,FALSE),VLOOKUP($A142,Cuision!$G:$P,10,FALSE),VLOOKUP(BF$83,Cuision!$G:$P,9,FALSE),VLOOKUP(BF$83,Cuision!$G:$P,10,FALSE)))</f>
        <v>10029.270366638144</v>
      </c>
      <c r="BG142" s="33">
        <f>IF($A142=BG$83, 0, distance(VLOOKUP($A142,Cuision!$G:$P,9,FALSE),VLOOKUP($A142,Cuision!$G:$P,10,FALSE),VLOOKUP(BG$83,Cuision!$G:$P,9,FALSE),VLOOKUP(BG$83,Cuision!$G:$P,10,FALSE)))</f>
        <v>8843.3443622446102</v>
      </c>
      <c r="BH142" s="33">
        <f>IF($A142=BH$83, 0, distance(VLOOKUP($A142,Cuision!$G:$P,9,FALSE),VLOOKUP($A142,Cuision!$G:$P,10,FALSE),VLOOKUP(BH$83,Cuision!$G:$P,9,FALSE),VLOOKUP(BH$83,Cuision!$G:$P,10,FALSE)))</f>
        <v>0</v>
      </c>
      <c r="BI142" s="33">
        <f>IF($A142=BI$83, 0, distance(VLOOKUP($A142,Cuision!$G:$P,9,FALSE),VLOOKUP($A142,Cuision!$G:$P,10,FALSE),VLOOKUP(BI$83,Cuision!$G:$P,9,FALSE),VLOOKUP(BI$83,Cuision!$G:$P,10,FALSE)))</f>
        <v>7212.9166096863946</v>
      </c>
      <c r="BJ142" s="33">
        <f>IF($A142=BJ$83, 0, distance(VLOOKUP($A142,Cuision!$G:$P,9,FALSE),VLOOKUP($A142,Cuision!$G:$P,10,FALSE),VLOOKUP(BJ$83,Cuision!$G:$P,9,FALSE),VLOOKUP(BJ$83,Cuision!$G:$P,10,FALSE)))</f>
        <v>5595.632135877524</v>
      </c>
      <c r="BK142" s="33">
        <f>IF($A142=BK$83, 0, distance(VLOOKUP($A142,Cuision!$G:$P,9,FALSE),VLOOKUP($A142,Cuision!$G:$P,10,FALSE),VLOOKUP(BK$83,Cuision!$G:$P,9,FALSE),VLOOKUP(BK$83,Cuision!$G:$P,10,FALSE)))</f>
        <v>7855.7149884328819</v>
      </c>
      <c r="BL142" s="33">
        <f>IF($A142=BL$83, 0, distance(VLOOKUP($A142,Cuision!$G:$P,9,FALSE),VLOOKUP($A142,Cuision!$G:$P,10,FALSE),VLOOKUP(BL$83,Cuision!$G:$P,9,FALSE),VLOOKUP(BL$83,Cuision!$G:$P,10,FALSE)))</f>
        <v>-1</v>
      </c>
      <c r="BM142" s="33">
        <f>IF($A142=BM$83, 0, distance(VLOOKUP($A142,Cuision!$G:$P,9,FALSE),VLOOKUP($A142,Cuision!$G:$P,10,FALSE),VLOOKUP(BM$83,Cuision!$G:$P,9,FALSE),VLOOKUP(BM$83,Cuision!$G:$P,10,FALSE)))</f>
        <v>-1</v>
      </c>
      <c r="BN142" s="33">
        <f>IF($A142=BN$83, 0, distance(VLOOKUP($A142,Cuision!$G:$P,9,FALSE),VLOOKUP($A142,Cuision!$G:$P,10,FALSE),VLOOKUP(BN$83,Cuision!$G:$P,9,FALSE),VLOOKUP(BN$83,Cuision!$G:$P,10,FALSE)))</f>
        <v>6318.3047804818971</v>
      </c>
      <c r="BO142" s="33">
        <f>IF($A142=BO$83, 0, distance(VLOOKUP($A142,Cuision!$G:$P,9,FALSE),VLOOKUP($A142,Cuision!$G:$P,10,FALSE),VLOOKUP(BO$83,Cuision!$G:$P,9,FALSE),VLOOKUP(BO$83,Cuision!$G:$P,10,FALSE)))</f>
        <v>11691.039019222369</v>
      </c>
      <c r="BP142" s="33">
        <f>IF($A142=BP$83, 0, distance(VLOOKUP($A142,Cuision!$G:$P,9,FALSE),VLOOKUP($A142,Cuision!$G:$P,10,FALSE),VLOOKUP(BP$83,Cuision!$G:$P,9,FALSE),VLOOKUP(BP$83,Cuision!$G:$P,10,FALSE)))</f>
        <v>7025.2419087470644</v>
      </c>
      <c r="BQ142" s="33">
        <f>IF($A142=BQ$83, 0, distance(VLOOKUP($A142,Cuision!$G:$P,9,FALSE),VLOOKUP($A142,Cuision!$G:$P,10,FALSE),VLOOKUP(BQ$83,Cuision!$G:$P,9,FALSE),VLOOKUP(BQ$83,Cuision!$G:$P,10,FALSE)))</f>
        <v>-1</v>
      </c>
      <c r="BR142" s="33">
        <f>IF($A142=BR$83, 0, distance(VLOOKUP($A142,Cuision!$G:$P,9,FALSE),VLOOKUP($A142,Cuision!$G:$P,10,FALSE),VLOOKUP(BR$83,Cuision!$G:$P,9,FALSE),VLOOKUP(BR$83,Cuision!$G:$P,10,FALSE)))</f>
        <v>3519.4446590994971</v>
      </c>
      <c r="BS142" s="33">
        <f>IF($A142=BS$83, 0, distance(VLOOKUP($A142,Cuision!$G:$P,9,FALSE),VLOOKUP($A142,Cuision!$G:$P,10,FALSE),VLOOKUP(BS$83,Cuision!$G:$P,9,FALSE),VLOOKUP(BS$83,Cuision!$G:$P,10,FALSE)))</f>
        <v>10343.564435599781</v>
      </c>
      <c r="BT142" s="33">
        <f>IF($A142=BT$83, 0, distance(VLOOKUP($A142,Cuision!$G:$P,9,FALSE),VLOOKUP($A142,Cuision!$G:$P,10,FALSE),VLOOKUP(BT$83,Cuision!$G:$P,9,FALSE),VLOOKUP(BT$83,Cuision!$G:$P,10,FALSE)))</f>
        <v>5907.6861597019188</v>
      </c>
      <c r="BU142" s="33">
        <f>IF($A142=BU$83, 0, distance(VLOOKUP($A142,Cuision!$G:$P,9,FALSE),VLOOKUP($A142,Cuision!$G:$P,10,FALSE),VLOOKUP(BU$83,Cuision!$G:$P,9,FALSE),VLOOKUP(BU$83,Cuision!$G:$P,10,FALSE)))</f>
        <v>12232.172464640274</v>
      </c>
      <c r="BV142" s="33">
        <f>IF($A142=BV$83, 0, distance(VLOOKUP($A142,Cuision!$G:$P,9,FALSE),VLOOKUP($A142,Cuision!$G:$P,10,FALSE),VLOOKUP(BV$83,Cuision!$G:$P,9,FALSE),VLOOKUP(BV$83,Cuision!$G:$P,10,FALSE)))</f>
        <v>7799.389233470707</v>
      </c>
      <c r="BW142" s="33">
        <f>IF($A142=BW$83, 0, distance(VLOOKUP($A142,Cuision!$G:$P,9,FALSE),VLOOKUP($A142,Cuision!$G:$P,10,FALSE),VLOOKUP(BW$83,Cuision!$G:$P,9,FALSE),VLOOKUP(BW$83,Cuision!$G:$P,10,FALSE)))</f>
        <v>7627.7462636686123</v>
      </c>
      <c r="BX142" s="33">
        <f>IF($A142=BX$83, 0, distance(VLOOKUP($A142,Cuision!$G:$P,9,FALSE),VLOOKUP($A142,Cuision!$G:$P,10,FALSE),VLOOKUP(BX$83,Cuision!$G:$P,9,FALSE),VLOOKUP(BX$83,Cuision!$G:$P,10,FALSE)))</f>
        <v>9568.3342843674927</v>
      </c>
      <c r="BY142" s="33">
        <f>IF($A142=BY$83, 0, distance(VLOOKUP($A142,Cuision!$G:$P,9,FALSE),VLOOKUP($A142,Cuision!$G:$P,10,FALSE),VLOOKUP(BY$83,Cuision!$G:$P,9,FALSE),VLOOKUP(BY$83,Cuision!$G:$P,10,FALSE)))</f>
        <v>-1</v>
      </c>
      <c r="BZ142" s="33">
        <f>IF($A142=BZ$83, 0, distance(VLOOKUP($A142,Cuision!$G:$P,9,FALSE),VLOOKUP($A142,Cuision!$G:$P,10,FALSE),VLOOKUP(BZ$83,Cuision!$G:$P,9,FALSE),VLOOKUP(BZ$83,Cuision!$G:$P,10,FALSE)))</f>
        <v>-1</v>
      </c>
      <c r="CA142" s="33">
        <f>IF($A142=CA$83, 0, distance(VLOOKUP($A142,Cuision!$G:$P,9,FALSE),VLOOKUP($A142,Cuision!$G:$P,10,FALSE),VLOOKUP(CA$83,Cuision!$G:$P,9,FALSE),VLOOKUP(CA$83,Cuision!$G:$P,10,FALSE)))</f>
        <v>11787.376156111419</v>
      </c>
    </row>
    <row r="143" spans="1:79" ht="14.25" x14ac:dyDescent="0.2">
      <c r="A143" s="30" t="s">
        <v>113</v>
      </c>
      <c r="B143" s="33">
        <f>IF($A143=B$83, 0, distance(VLOOKUP($A143,Cuision!$G:$P,9,FALSE),VLOOKUP($A143,Cuision!$G:$P,10,FALSE),VLOOKUP(B$83,Cuision!$G:$P,9,FALSE),VLOOKUP(B$83,Cuision!$G:$P,10,FALSE)))</f>
        <v>2646.8925726926414</v>
      </c>
      <c r="C143" s="33">
        <f>IF($A143=C$83, 0, distance(VLOOKUP($A143,Cuision!$G:$P,9,FALSE),VLOOKUP($A143,Cuision!$G:$P,10,FALSE),VLOOKUP(C$83,Cuision!$G:$P,9,FALSE),VLOOKUP(C$83,Cuision!$G:$P,10,FALSE)))</f>
        <v>4290.6805634270131</v>
      </c>
      <c r="D143" s="33">
        <f>IF($A143=D$83, 0, distance(VLOOKUP($A143,Cuision!$G:$P,9,FALSE),VLOOKUP($A143,Cuision!$G:$P,10,FALSE),VLOOKUP(D$83,Cuision!$G:$P,9,FALSE),VLOOKUP(D$83,Cuision!$G:$P,10,FALSE)))</f>
        <v>4460.1322200226678</v>
      </c>
      <c r="E143" s="33">
        <f>IF($A143=E$83, 0, distance(VLOOKUP($A143,Cuision!$G:$P,9,FALSE),VLOOKUP($A143,Cuision!$G:$P,10,FALSE),VLOOKUP(E$83,Cuision!$G:$P,9,FALSE),VLOOKUP(E$83,Cuision!$G:$P,10,FALSE)))</f>
        <v>4460.1322200226678</v>
      </c>
      <c r="F143" s="33">
        <f>IF($A143=F$83, 0, distance(VLOOKUP($A143,Cuision!$G:$P,9,FALSE),VLOOKUP($A143,Cuision!$G:$P,10,FALSE),VLOOKUP(F$83,Cuision!$G:$P,9,FALSE),VLOOKUP(F$83,Cuision!$G:$P,10,FALSE)))</f>
        <v>1928.4684225148196</v>
      </c>
      <c r="G143" s="33">
        <f>IF($A143=G$83, 0, distance(VLOOKUP($A143,Cuision!$G:$P,9,FALSE),VLOOKUP($A143,Cuision!$G:$P,10,FALSE),VLOOKUP(G$83,Cuision!$G:$P,9,FALSE),VLOOKUP(G$83,Cuision!$G:$P,10,FALSE)))</f>
        <v>7659.6451282334619</v>
      </c>
      <c r="H143" s="33">
        <f>IF($A143=H$83, 0, distance(VLOOKUP($A143,Cuision!$G:$P,9,FALSE),VLOOKUP($A143,Cuision!$G:$P,10,FALSE),VLOOKUP(H$83,Cuision!$G:$P,9,FALSE),VLOOKUP(H$83,Cuision!$G:$P,10,FALSE)))</f>
        <v>1388.0275300993678</v>
      </c>
      <c r="I143" s="33">
        <f>IF($A143=I$83, 0, distance(VLOOKUP($A143,Cuision!$G:$P,9,FALSE),VLOOKUP($A143,Cuision!$G:$P,10,FALSE),VLOOKUP(I$83,Cuision!$G:$P,9,FALSE),VLOOKUP(I$83,Cuision!$G:$P,10,FALSE)))</f>
        <v>3987.6579961973844</v>
      </c>
      <c r="J143" s="33">
        <f>IF($A143=J$83, 0, distance(VLOOKUP($A143,Cuision!$G:$P,9,FALSE),VLOOKUP($A143,Cuision!$G:$P,10,FALSE),VLOOKUP(J$83,Cuision!$G:$P,9,FALSE),VLOOKUP(J$83,Cuision!$G:$P,10,FALSE)))</f>
        <v>9667.4892553540685</v>
      </c>
      <c r="K143" s="33">
        <f>IF($A143=K$83, 0, distance(VLOOKUP($A143,Cuision!$G:$P,9,FALSE),VLOOKUP($A143,Cuision!$G:$P,10,FALSE),VLOOKUP(K$83,Cuision!$G:$P,9,FALSE),VLOOKUP(K$83,Cuision!$G:$P,10,FALSE)))</f>
        <v>345.12126606863819</v>
      </c>
      <c r="L143" s="33">
        <f>IF($A143=L$83, 0, distance(VLOOKUP($A143,Cuision!$G:$P,9,FALSE),VLOOKUP($A143,Cuision!$G:$P,10,FALSE),VLOOKUP(L$83,Cuision!$G:$P,9,FALSE),VLOOKUP(L$83,Cuision!$G:$P,10,FALSE)))</f>
        <v>4075.714247931362</v>
      </c>
      <c r="M143" s="33">
        <f>IF($A143=M$83, 0, distance(VLOOKUP($A143,Cuision!$G:$P,9,FALSE),VLOOKUP($A143,Cuision!$G:$P,10,FALSE),VLOOKUP(M$83,Cuision!$G:$P,9,FALSE),VLOOKUP(M$83,Cuision!$G:$P,10,FALSE)))</f>
        <v>-1</v>
      </c>
      <c r="N143" s="33">
        <f>IF($A143=N$83, 0, distance(VLOOKUP($A143,Cuision!$G:$P,9,FALSE),VLOOKUP($A143,Cuision!$G:$P,10,FALSE),VLOOKUP(N$83,Cuision!$G:$P,9,FALSE),VLOOKUP(N$83,Cuision!$G:$P,10,FALSE)))</f>
        <v>1422.4027836810858</v>
      </c>
      <c r="O143" s="33">
        <f>IF($A143=O$83, 0, distance(VLOOKUP($A143,Cuision!$G:$P,9,FALSE),VLOOKUP($A143,Cuision!$G:$P,10,FALSE),VLOOKUP(O$83,Cuision!$G:$P,9,FALSE),VLOOKUP(O$83,Cuision!$G:$P,10,FALSE)))</f>
        <v>720.59523334443782</v>
      </c>
      <c r="P143" s="33">
        <f>IF($A143=P$83, 0, distance(VLOOKUP($A143,Cuision!$G:$P,9,FALSE),VLOOKUP($A143,Cuision!$G:$P,10,FALSE),VLOOKUP(P$83,Cuision!$G:$P,9,FALSE),VLOOKUP(P$83,Cuision!$G:$P,10,FALSE)))</f>
        <v>6230.6233158800196</v>
      </c>
      <c r="Q143" s="33">
        <f>IF($A143=Q$83, 0, distance(VLOOKUP($A143,Cuision!$G:$P,9,FALSE),VLOOKUP($A143,Cuision!$G:$P,10,FALSE),VLOOKUP(Q$83,Cuision!$G:$P,9,FALSE),VLOOKUP(Q$83,Cuision!$G:$P,10,FALSE)))</f>
        <v>-1</v>
      </c>
      <c r="R143" s="33">
        <f>IF($A143=R$83, 0, distance(VLOOKUP($A143,Cuision!$G:$P,9,FALSE),VLOOKUP($A143,Cuision!$G:$P,10,FALSE),VLOOKUP(R$83,Cuision!$G:$P,9,FALSE),VLOOKUP(R$83,Cuision!$G:$P,10,FALSE)))</f>
        <v>899.98395122183263</v>
      </c>
      <c r="S143" s="33">
        <f>IF($A143=S$83, 0, distance(VLOOKUP($A143,Cuision!$G:$P,9,FALSE),VLOOKUP($A143,Cuision!$G:$P,10,FALSE),VLOOKUP(S$83,Cuision!$G:$P,9,FALSE),VLOOKUP(S$83,Cuision!$G:$P,10,FALSE)))</f>
        <v>-1</v>
      </c>
      <c r="T143" s="33">
        <f>IF($A143=T$83, 0, distance(VLOOKUP($A143,Cuision!$G:$P,9,FALSE),VLOOKUP($A143,Cuision!$G:$P,10,FALSE),VLOOKUP(T$83,Cuision!$G:$P,9,FALSE),VLOOKUP(T$83,Cuision!$G:$P,10,FALSE)))</f>
        <v>4523.4150950801468</v>
      </c>
      <c r="U143" s="33">
        <f>IF($A143=U$83, 0, distance(VLOOKUP($A143,Cuision!$G:$P,9,FALSE),VLOOKUP($A143,Cuision!$G:$P,10,FALSE),VLOOKUP(U$83,Cuision!$G:$P,9,FALSE),VLOOKUP(U$83,Cuision!$G:$P,10,FALSE)))</f>
        <v>-1</v>
      </c>
      <c r="V143" s="33">
        <f>IF($A143=V$83, 0, distance(VLOOKUP($A143,Cuision!$G:$P,9,FALSE),VLOOKUP($A143,Cuision!$G:$P,10,FALSE),VLOOKUP(V$83,Cuision!$G:$P,9,FALSE),VLOOKUP(V$83,Cuision!$G:$P,10,FALSE)))</f>
        <v>4460.1322200226678</v>
      </c>
      <c r="W143" s="33">
        <f>IF($A143=W$83, 0, distance(VLOOKUP($A143,Cuision!$G:$P,9,FALSE),VLOOKUP($A143,Cuision!$G:$P,10,FALSE),VLOOKUP(W$83,Cuision!$G:$P,9,FALSE),VLOOKUP(W$83,Cuision!$G:$P,10,FALSE)))</f>
        <v>5331.6379537383536</v>
      </c>
      <c r="X143" s="33">
        <f>IF($A143=X$83, 0, distance(VLOOKUP($A143,Cuision!$G:$P,9,FALSE),VLOOKUP($A143,Cuision!$G:$P,10,FALSE),VLOOKUP(X$83,Cuision!$G:$P,9,FALSE),VLOOKUP(X$83,Cuision!$G:$P,10,FALSE)))</f>
        <v>1422.4027836810858</v>
      </c>
      <c r="Y143" s="33">
        <f>IF($A143=Y$83, 0, distance(VLOOKUP($A143,Cuision!$G:$P,9,FALSE),VLOOKUP($A143,Cuision!$G:$P,10,FALSE),VLOOKUP(Y$83,Cuision!$G:$P,9,FALSE),VLOOKUP(Y$83,Cuision!$G:$P,10,FALSE)))</f>
        <v>4312.429239981142</v>
      </c>
      <c r="Z143" s="33">
        <f>IF($A143=Z$83, 0, distance(VLOOKUP($A143,Cuision!$G:$P,9,FALSE),VLOOKUP($A143,Cuision!$G:$P,10,FALSE),VLOOKUP(Z$83,Cuision!$G:$P,9,FALSE),VLOOKUP(Z$83,Cuision!$G:$P,10,FALSE)))</f>
        <v>-1</v>
      </c>
      <c r="AA143" s="33">
        <f>IF($A143=AA$83, 0, distance(VLOOKUP($A143,Cuision!$G:$P,9,FALSE),VLOOKUP($A143,Cuision!$G:$P,10,FALSE),VLOOKUP(AA$83,Cuision!$G:$P,9,FALSE),VLOOKUP(AA$83,Cuision!$G:$P,10,FALSE)))</f>
        <v>5501.3502123560629</v>
      </c>
      <c r="AB143" s="33">
        <f>IF($A143=AB$83, 0, distance(VLOOKUP($A143,Cuision!$G:$P,9,FALSE),VLOOKUP($A143,Cuision!$G:$P,10,FALSE),VLOOKUP(AB$83,Cuision!$G:$P,9,FALSE),VLOOKUP(AB$83,Cuision!$G:$P,10,FALSE)))</f>
        <v>321.38283503268286</v>
      </c>
      <c r="AC143" s="33">
        <f>IF($A143=AC$83, 0, distance(VLOOKUP($A143,Cuision!$G:$P,9,FALSE),VLOOKUP($A143,Cuision!$G:$P,10,FALSE),VLOOKUP(AC$83,Cuision!$G:$P,9,FALSE),VLOOKUP(AC$83,Cuision!$G:$P,10,FALSE)))</f>
        <v>3148.1691234483469</v>
      </c>
      <c r="AD143" s="33">
        <f>IF($A143=AD$83, 0, distance(VLOOKUP($A143,Cuision!$G:$P,9,FALSE),VLOOKUP($A143,Cuision!$G:$P,10,FALSE),VLOOKUP(AD$83,Cuision!$G:$P,9,FALSE),VLOOKUP(AD$83,Cuision!$G:$P,10,FALSE)))</f>
        <v>5834.9604137037531</v>
      </c>
      <c r="AE143" s="33">
        <f>IF($A143=AE$83, 0, distance(VLOOKUP($A143,Cuision!$G:$P,9,FALSE),VLOOKUP($A143,Cuision!$G:$P,10,FALSE),VLOOKUP(AE$83,Cuision!$G:$P,9,FALSE),VLOOKUP(AE$83,Cuision!$G:$P,10,FALSE)))</f>
        <v>764.59908345489487</v>
      </c>
      <c r="AF143" s="33">
        <f>IF($A143=AF$83, 0, distance(VLOOKUP($A143,Cuision!$G:$P,9,FALSE),VLOOKUP($A143,Cuision!$G:$P,10,FALSE),VLOOKUP(AF$83,Cuision!$G:$P,9,FALSE),VLOOKUP(AF$83,Cuision!$G:$P,10,FALSE)))</f>
        <v>849.27507609202871</v>
      </c>
      <c r="AG143" s="33">
        <f>IF($A143=AG$83, 0, distance(VLOOKUP($A143,Cuision!$G:$P,9,FALSE),VLOOKUP($A143,Cuision!$G:$P,10,FALSE),VLOOKUP(AG$83,Cuision!$G:$P,9,FALSE),VLOOKUP(AG$83,Cuision!$G:$P,10,FALSE)))</f>
        <v>321.03523503103781</v>
      </c>
      <c r="AH143" s="33">
        <f>IF($A143=AH$83, 0, distance(VLOOKUP($A143,Cuision!$G:$P,9,FALSE),VLOOKUP($A143,Cuision!$G:$P,10,FALSE),VLOOKUP(AH$83,Cuision!$G:$P,9,FALSE),VLOOKUP(AH$83,Cuision!$G:$P,10,FALSE)))</f>
        <v>-1</v>
      </c>
      <c r="AI143" s="33">
        <f>IF($A143=AI$83, 0, distance(VLOOKUP($A143,Cuision!$G:$P,9,FALSE),VLOOKUP($A143,Cuision!$G:$P,10,FALSE),VLOOKUP(AI$83,Cuision!$G:$P,9,FALSE),VLOOKUP(AI$83,Cuision!$G:$P,10,FALSE)))</f>
        <v>993.17826260410095</v>
      </c>
      <c r="AJ143" s="33">
        <f>IF($A143=AJ$83, 0, distance(VLOOKUP($A143,Cuision!$G:$P,9,FALSE),VLOOKUP($A143,Cuision!$G:$P,10,FALSE),VLOOKUP(AJ$83,Cuision!$G:$P,9,FALSE),VLOOKUP(AJ$83,Cuision!$G:$P,10,FALSE)))</f>
        <v>1928.4684225148196</v>
      </c>
      <c r="AK143" s="33">
        <f>IF($A143=AK$83, 0, distance(VLOOKUP($A143,Cuision!$G:$P,9,FALSE),VLOOKUP($A143,Cuision!$G:$P,10,FALSE),VLOOKUP(AK$83,Cuision!$G:$P,9,FALSE),VLOOKUP(AK$83,Cuision!$G:$P,10,FALSE)))</f>
        <v>7448.7281022794868</v>
      </c>
      <c r="AL143" s="33">
        <f>IF($A143=AL$83, 0, distance(VLOOKUP($A143,Cuision!$G:$P,9,FALSE),VLOOKUP($A143,Cuision!$G:$P,10,FALSE),VLOOKUP(AL$83,Cuision!$G:$P,9,FALSE),VLOOKUP(AL$83,Cuision!$G:$P,10,FALSE)))</f>
        <v>3658.2080615956324</v>
      </c>
      <c r="AM143" s="33">
        <f>IF($A143=AM$83, 0, distance(VLOOKUP($A143,Cuision!$G:$P,9,FALSE),VLOOKUP($A143,Cuision!$G:$P,10,FALSE),VLOOKUP(AM$83,Cuision!$G:$P,9,FALSE),VLOOKUP(AM$83,Cuision!$G:$P,10,FALSE)))</f>
        <v>-1</v>
      </c>
      <c r="AN143" s="33">
        <f>IF($A143=AN$83, 0, distance(VLOOKUP($A143,Cuision!$G:$P,9,FALSE),VLOOKUP($A143,Cuision!$G:$P,10,FALSE),VLOOKUP(AN$83,Cuision!$G:$P,9,FALSE),VLOOKUP(AN$83,Cuision!$G:$P,10,FALSE)))</f>
        <v>338.3331559200725</v>
      </c>
      <c r="AO143" s="33">
        <f>IF($A143=AO$83, 0, distance(VLOOKUP($A143,Cuision!$G:$P,9,FALSE),VLOOKUP($A143,Cuision!$G:$P,10,FALSE),VLOOKUP(AO$83,Cuision!$G:$P,9,FALSE),VLOOKUP(AO$83,Cuision!$G:$P,10,FALSE)))</f>
        <v>1422.4027836810858</v>
      </c>
      <c r="AP143" s="33">
        <f>IF($A143=AP$83, 0, distance(VLOOKUP($A143,Cuision!$G:$P,9,FALSE),VLOOKUP($A143,Cuision!$G:$P,10,FALSE),VLOOKUP(AP$83,Cuision!$G:$P,9,FALSE),VLOOKUP(AP$83,Cuision!$G:$P,10,FALSE)))</f>
        <v>3269.6805055945129</v>
      </c>
      <c r="AQ143" s="33">
        <f>IF($A143=AQ$83, 0, distance(VLOOKUP($A143,Cuision!$G:$P,9,FALSE),VLOOKUP($A143,Cuision!$G:$P,10,FALSE),VLOOKUP(AQ$83,Cuision!$G:$P,9,FALSE),VLOOKUP(AQ$83,Cuision!$G:$P,10,FALSE)))</f>
        <v>6381.7831116655998</v>
      </c>
      <c r="AR143" s="33">
        <f>IF($A143=AR$83, 0, distance(VLOOKUP($A143,Cuision!$G:$P,9,FALSE),VLOOKUP($A143,Cuision!$G:$P,10,FALSE),VLOOKUP(AR$83,Cuision!$G:$P,9,FALSE),VLOOKUP(AR$83,Cuision!$G:$P,10,FALSE)))</f>
        <v>899.98395122183263</v>
      </c>
      <c r="AS143" s="33">
        <f>IF($A143=AS$83, 0, distance(VLOOKUP($A143,Cuision!$G:$P,9,FALSE),VLOOKUP($A143,Cuision!$G:$P,10,FALSE),VLOOKUP(AS$83,Cuision!$G:$P,9,FALSE),VLOOKUP(AS$83,Cuision!$G:$P,10,FALSE)))</f>
        <v>818.18108770577578</v>
      </c>
      <c r="AT143" s="33">
        <f>IF($A143=AT$83, 0, distance(VLOOKUP($A143,Cuision!$G:$P,9,FALSE),VLOOKUP($A143,Cuision!$G:$P,10,FALSE),VLOOKUP(AT$83,Cuision!$G:$P,9,FALSE),VLOOKUP(AT$83,Cuision!$G:$P,10,FALSE)))</f>
        <v>5330.1917295835356</v>
      </c>
      <c r="AU143" s="33">
        <f>IF($A143=AU$83, 0, distance(VLOOKUP($A143,Cuision!$G:$P,9,FALSE),VLOOKUP($A143,Cuision!$G:$P,10,FALSE),VLOOKUP(AU$83,Cuision!$G:$P,9,FALSE),VLOOKUP(AU$83,Cuision!$G:$P,10,FALSE)))</f>
        <v>4809.3553455859537</v>
      </c>
      <c r="AV143" s="33">
        <f>IF($A143=AV$83, 0, distance(VLOOKUP($A143,Cuision!$G:$P,9,FALSE),VLOOKUP($A143,Cuision!$G:$P,10,FALSE),VLOOKUP(AV$83,Cuision!$G:$P,9,FALSE),VLOOKUP(AV$83,Cuision!$G:$P,10,FALSE)))</f>
        <v>1288.299462227174</v>
      </c>
      <c r="AW143" s="33">
        <f>IF($A143=AW$83, 0, distance(VLOOKUP($A143,Cuision!$G:$P,9,FALSE),VLOOKUP($A143,Cuision!$G:$P,10,FALSE),VLOOKUP(AW$83,Cuision!$G:$P,9,FALSE),VLOOKUP(AW$83,Cuision!$G:$P,10,FALSE)))</f>
        <v>4890.6461668090669</v>
      </c>
      <c r="AX143" s="33">
        <f>IF($A143=AX$83, 0, distance(VLOOKUP($A143,Cuision!$G:$P,9,FALSE),VLOOKUP($A143,Cuision!$G:$P,10,FALSE),VLOOKUP(AX$83,Cuision!$G:$P,9,FALSE),VLOOKUP(AX$83,Cuision!$G:$P,10,FALSE)))</f>
        <v>6138.1035150702673</v>
      </c>
      <c r="AY143" s="33">
        <f>IF($A143=AY$83, 0, distance(VLOOKUP($A143,Cuision!$G:$P,9,FALSE),VLOOKUP($A143,Cuision!$G:$P,10,FALSE),VLOOKUP(AY$83,Cuision!$G:$P,9,FALSE),VLOOKUP(AY$83,Cuision!$G:$P,10,FALSE)))</f>
        <v>-1</v>
      </c>
      <c r="AZ143" s="33">
        <f>IF($A143=AZ$83, 0, distance(VLOOKUP($A143,Cuision!$G:$P,9,FALSE),VLOOKUP($A143,Cuision!$G:$P,10,FALSE),VLOOKUP(AZ$83,Cuision!$G:$P,9,FALSE),VLOOKUP(AZ$83,Cuision!$G:$P,10,FALSE)))</f>
        <v>5652.7081731207763</v>
      </c>
      <c r="BA143" s="33">
        <f>IF($A143=BA$83, 0, distance(VLOOKUP($A143,Cuision!$G:$P,9,FALSE),VLOOKUP($A143,Cuision!$G:$P,10,FALSE),VLOOKUP(BA$83,Cuision!$G:$P,9,FALSE),VLOOKUP(BA$83,Cuision!$G:$P,10,FALSE)))</f>
        <v>1230.0504772175584</v>
      </c>
      <c r="BB143" s="33">
        <f>IF($A143=BB$83, 0, distance(VLOOKUP($A143,Cuision!$G:$P,9,FALSE),VLOOKUP($A143,Cuision!$G:$P,10,FALSE),VLOOKUP(BB$83,Cuision!$G:$P,9,FALSE),VLOOKUP(BB$83,Cuision!$G:$P,10,FALSE)))</f>
        <v>6325.2760917070427</v>
      </c>
      <c r="BC143" s="33">
        <f>IF($A143=BC$83, 0, distance(VLOOKUP($A143,Cuision!$G:$P,9,FALSE),VLOOKUP($A143,Cuision!$G:$P,10,FALSE),VLOOKUP(BC$83,Cuision!$G:$P,9,FALSE),VLOOKUP(BC$83,Cuision!$G:$P,10,FALSE)))</f>
        <v>1928.4684225148196</v>
      </c>
      <c r="BD143" s="33">
        <f>IF($A143=BD$83, 0, distance(VLOOKUP($A143,Cuision!$G:$P,9,FALSE),VLOOKUP($A143,Cuision!$G:$P,10,FALSE),VLOOKUP(BD$83,Cuision!$G:$P,9,FALSE),VLOOKUP(BD$83,Cuision!$G:$P,10,FALSE)))</f>
        <v>3590.1031243962657</v>
      </c>
      <c r="BE143" s="33">
        <f>IF($A143=BE$83, 0, distance(VLOOKUP($A143,Cuision!$G:$P,9,FALSE),VLOOKUP($A143,Cuision!$G:$P,10,FALSE),VLOOKUP(BE$83,Cuision!$G:$P,9,FALSE),VLOOKUP(BE$83,Cuision!$G:$P,10,FALSE)))</f>
        <v>1864.6410873227003</v>
      </c>
      <c r="BF143" s="33">
        <f>IF($A143=BF$83, 0, distance(VLOOKUP($A143,Cuision!$G:$P,9,FALSE),VLOOKUP($A143,Cuision!$G:$P,10,FALSE),VLOOKUP(BF$83,Cuision!$G:$P,9,FALSE),VLOOKUP(BF$83,Cuision!$G:$P,10,FALSE)))</f>
        <v>2847.4528338019568</v>
      </c>
      <c r="BG143" s="33">
        <f>IF($A143=BG$83, 0, distance(VLOOKUP($A143,Cuision!$G:$P,9,FALSE),VLOOKUP($A143,Cuision!$G:$P,10,FALSE),VLOOKUP(BG$83,Cuision!$G:$P,9,FALSE),VLOOKUP(BG$83,Cuision!$G:$P,10,FALSE)))</f>
        <v>1872.5927857988463</v>
      </c>
      <c r="BH143" s="33">
        <f>IF($A143=BH$83, 0, distance(VLOOKUP($A143,Cuision!$G:$P,9,FALSE),VLOOKUP($A143,Cuision!$G:$P,10,FALSE),VLOOKUP(BH$83,Cuision!$G:$P,9,FALSE),VLOOKUP(BH$83,Cuision!$G:$P,10,FALSE)))</f>
        <v>7212.9166096863946</v>
      </c>
      <c r="BI143" s="33">
        <f>IF($A143=BI$83, 0, distance(VLOOKUP($A143,Cuision!$G:$P,9,FALSE),VLOOKUP($A143,Cuision!$G:$P,10,FALSE),VLOOKUP(BI$83,Cuision!$G:$P,9,FALSE),VLOOKUP(BI$83,Cuision!$G:$P,10,FALSE)))</f>
        <v>0</v>
      </c>
      <c r="BJ143" s="33">
        <f>IF($A143=BJ$83, 0, distance(VLOOKUP($A143,Cuision!$G:$P,9,FALSE),VLOOKUP($A143,Cuision!$G:$P,10,FALSE),VLOOKUP(BJ$83,Cuision!$G:$P,9,FALSE),VLOOKUP(BJ$83,Cuision!$G:$P,10,FALSE)))</f>
        <v>1713.964654048908</v>
      </c>
      <c r="BK143" s="33">
        <f>IF($A143=BK$83, 0, distance(VLOOKUP($A143,Cuision!$G:$P,9,FALSE),VLOOKUP($A143,Cuision!$G:$P,10,FALSE),VLOOKUP(BK$83,Cuision!$G:$P,9,FALSE),VLOOKUP(BK$83,Cuision!$G:$P,10,FALSE)))</f>
        <v>715.06377547302293</v>
      </c>
      <c r="BL143" s="33">
        <f>IF($A143=BL$83, 0, distance(VLOOKUP($A143,Cuision!$G:$P,9,FALSE),VLOOKUP($A143,Cuision!$G:$P,10,FALSE),VLOOKUP(BL$83,Cuision!$G:$P,9,FALSE),VLOOKUP(BL$83,Cuision!$G:$P,10,FALSE)))</f>
        <v>-1</v>
      </c>
      <c r="BM143" s="33">
        <f>IF($A143=BM$83, 0, distance(VLOOKUP($A143,Cuision!$G:$P,9,FALSE),VLOOKUP($A143,Cuision!$G:$P,10,FALSE),VLOOKUP(BM$83,Cuision!$G:$P,9,FALSE),VLOOKUP(BM$83,Cuision!$G:$P,10,FALSE)))</f>
        <v>-1</v>
      </c>
      <c r="BN143" s="33">
        <f>IF($A143=BN$83, 0, distance(VLOOKUP($A143,Cuision!$G:$P,9,FALSE),VLOOKUP($A143,Cuision!$G:$P,10,FALSE),VLOOKUP(BN$83,Cuision!$G:$P,9,FALSE),VLOOKUP(BN$83,Cuision!$G:$P,10,FALSE)))</f>
        <v>899.98395122183263</v>
      </c>
      <c r="BO143" s="33">
        <f>IF($A143=BO$83, 0, distance(VLOOKUP($A143,Cuision!$G:$P,9,FALSE),VLOOKUP($A143,Cuision!$G:$P,10,FALSE),VLOOKUP(BO$83,Cuision!$G:$P,9,FALSE),VLOOKUP(BO$83,Cuision!$G:$P,10,FALSE)))</f>
        <v>5844.9753942884972</v>
      </c>
      <c r="BP143" s="33">
        <f>IF($A143=BP$83, 0, distance(VLOOKUP($A143,Cuision!$G:$P,9,FALSE),VLOOKUP($A143,Cuision!$G:$P,10,FALSE),VLOOKUP(BP$83,Cuision!$G:$P,9,FALSE),VLOOKUP(BP$83,Cuision!$G:$P,10,FALSE)))</f>
        <v>330.37539249134534</v>
      </c>
      <c r="BQ143" s="33">
        <f>IF($A143=BQ$83, 0, distance(VLOOKUP($A143,Cuision!$G:$P,9,FALSE),VLOOKUP($A143,Cuision!$G:$P,10,FALSE),VLOOKUP(BQ$83,Cuision!$G:$P,9,FALSE),VLOOKUP(BQ$83,Cuision!$G:$P,10,FALSE)))</f>
        <v>-1</v>
      </c>
      <c r="BR143" s="33">
        <f>IF($A143=BR$83, 0, distance(VLOOKUP($A143,Cuision!$G:$P,9,FALSE),VLOOKUP($A143,Cuision!$G:$P,10,FALSE),VLOOKUP(BR$83,Cuision!$G:$P,9,FALSE),VLOOKUP(BR$83,Cuision!$G:$P,10,FALSE)))</f>
        <v>4460.1322200226678</v>
      </c>
      <c r="BS143" s="33">
        <f>IF($A143=BS$83, 0, distance(VLOOKUP($A143,Cuision!$G:$P,9,FALSE),VLOOKUP($A143,Cuision!$G:$P,10,FALSE),VLOOKUP(BS$83,Cuision!$G:$P,9,FALSE),VLOOKUP(BS$83,Cuision!$G:$P,10,FALSE)))</f>
        <v>4312.429239981142</v>
      </c>
      <c r="BT143" s="33">
        <f>IF($A143=BT$83, 0, distance(VLOOKUP($A143,Cuision!$G:$P,9,FALSE),VLOOKUP($A143,Cuision!$G:$P,10,FALSE),VLOOKUP(BT$83,Cuision!$G:$P,9,FALSE),VLOOKUP(BT$83,Cuision!$G:$P,10,FALSE)))</f>
        <v>1422.4027836810858</v>
      </c>
      <c r="BU143" s="33">
        <f>IF($A143=BU$83, 0, distance(VLOOKUP($A143,Cuision!$G:$P,9,FALSE),VLOOKUP($A143,Cuision!$G:$P,10,FALSE),VLOOKUP(BU$83,Cuision!$G:$P,9,FALSE),VLOOKUP(BU$83,Cuision!$G:$P,10,FALSE)))</f>
        <v>5026.8580624090728</v>
      </c>
      <c r="BV143" s="33">
        <f>IF($A143=BV$83, 0, distance(VLOOKUP($A143,Cuision!$G:$P,9,FALSE),VLOOKUP($A143,Cuision!$G:$P,10,FALSE),VLOOKUP(BV$83,Cuision!$G:$P,9,FALSE),VLOOKUP(BV$83,Cuision!$G:$P,10,FALSE)))</f>
        <v>1019.570282335486</v>
      </c>
      <c r="BW143" s="33">
        <f>IF($A143=BW$83, 0, distance(VLOOKUP($A143,Cuision!$G:$P,9,FALSE),VLOOKUP($A143,Cuision!$G:$P,10,FALSE),VLOOKUP(BW$83,Cuision!$G:$P,9,FALSE),VLOOKUP(BW$83,Cuision!$G:$P,10,FALSE)))</f>
        <v>428.11736945245462</v>
      </c>
      <c r="BX143" s="33">
        <f>IF($A143=BX$83, 0, distance(VLOOKUP($A143,Cuision!$G:$P,9,FALSE),VLOOKUP($A143,Cuision!$G:$P,10,FALSE),VLOOKUP(BX$83,Cuision!$G:$P,9,FALSE),VLOOKUP(BX$83,Cuision!$G:$P,10,FALSE)))</f>
        <v>2355.4783293215141</v>
      </c>
      <c r="BY143" s="33">
        <f>IF($A143=BY$83, 0, distance(VLOOKUP($A143,Cuision!$G:$P,9,FALSE),VLOOKUP($A143,Cuision!$G:$P,10,FALSE),VLOOKUP(BY$83,Cuision!$G:$P,9,FALSE),VLOOKUP(BY$83,Cuision!$G:$P,10,FALSE)))</f>
        <v>-1</v>
      </c>
      <c r="BZ143" s="33">
        <f>IF($A143=BZ$83, 0, distance(VLOOKUP($A143,Cuision!$G:$P,9,FALSE),VLOOKUP($A143,Cuision!$G:$P,10,FALSE),VLOOKUP(BZ$83,Cuision!$G:$P,9,FALSE),VLOOKUP(BZ$83,Cuision!$G:$P,10,FALSE)))</f>
        <v>-1</v>
      </c>
      <c r="CA143" s="33">
        <f>IF($A143=CA$83, 0, distance(VLOOKUP($A143,Cuision!$G:$P,9,FALSE),VLOOKUP($A143,Cuision!$G:$P,10,FALSE),VLOOKUP(CA$83,Cuision!$G:$P,9,FALSE),VLOOKUP(CA$83,Cuision!$G:$P,10,FALSE)))</f>
        <v>4865.5876942176601</v>
      </c>
    </row>
    <row r="144" spans="1:79" ht="14.25" x14ac:dyDescent="0.2">
      <c r="A144" s="30" t="s">
        <v>114</v>
      </c>
      <c r="B144" s="33">
        <f>IF($A144=B$83, 0, distance(VLOOKUP($A144,Cuision!$G:$P,9,FALSE),VLOOKUP($A144,Cuision!$G:$P,10,FALSE),VLOOKUP(B$83,Cuision!$G:$P,9,FALSE),VLOOKUP(B$83,Cuision!$G:$P,10,FALSE)))</f>
        <v>4214.0383498075198</v>
      </c>
      <c r="C144" s="33">
        <f>IF($A144=C$83, 0, distance(VLOOKUP($A144,Cuision!$G:$P,9,FALSE),VLOOKUP($A144,Cuision!$G:$P,10,FALSE),VLOOKUP(C$83,Cuision!$G:$P,9,FALSE),VLOOKUP(C$83,Cuision!$G:$P,10,FALSE)))</f>
        <v>4314.723391324771</v>
      </c>
      <c r="D144" s="33">
        <f>IF($A144=D$83, 0, distance(VLOOKUP($A144,Cuision!$G:$P,9,FALSE),VLOOKUP($A144,Cuision!$G:$P,10,FALSE),VLOOKUP(D$83,Cuision!$G:$P,9,FALSE),VLOOKUP(D$83,Cuision!$G:$P,10,FALSE)))</f>
        <v>3565.0654515008168</v>
      </c>
      <c r="E144" s="33">
        <f>IF($A144=E$83, 0, distance(VLOOKUP($A144,Cuision!$G:$P,9,FALSE),VLOOKUP($A144,Cuision!$G:$P,10,FALSE),VLOOKUP(E$83,Cuision!$G:$P,9,FALSE),VLOOKUP(E$83,Cuision!$G:$P,10,FALSE)))</f>
        <v>3565.0654515008168</v>
      </c>
      <c r="F144" s="33">
        <f>IF($A144=F$83, 0, distance(VLOOKUP($A144,Cuision!$G:$P,9,FALSE),VLOOKUP($A144,Cuision!$G:$P,10,FALSE),VLOOKUP(F$83,Cuision!$G:$P,9,FALSE),VLOOKUP(F$83,Cuision!$G:$P,10,FALSE)))</f>
        <v>2990.3877013395577</v>
      </c>
      <c r="G144" s="33">
        <f>IF($A144=G$83, 0, distance(VLOOKUP($A144,Cuision!$G:$P,9,FALSE),VLOOKUP($A144,Cuision!$G:$P,10,FALSE),VLOOKUP(G$83,Cuision!$G:$P,9,FALSE),VLOOKUP(G$83,Cuision!$G:$P,10,FALSE)))</f>
        <v>5965.0511577783336</v>
      </c>
      <c r="H144" s="33">
        <f>IF($A144=H$83, 0, distance(VLOOKUP($A144,Cuision!$G:$P,9,FALSE),VLOOKUP($A144,Cuision!$G:$P,10,FALSE),VLOOKUP(H$83,Cuision!$G:$P,9,FALSE),VLOOKUP(H$83,Cuision!$G:$P,10,FALSE)))</f>
        <v>2818.9762230506462</v>
      </c>
      <c r="I144" s="33">
        <f>IF($A144=I$83, 0, distance(VLOOKUP($A144,Cuision!$G:$P,9,FALSE),VLOOKUP($A144,Cuision!$G:$P,10,FALSE),VLOOKUP(I$83,Cuision!$G:$P,9,FALSE),VLOOKUP(I$83,Cuision!$G:$P,10,FALSE)))</f>
        <v>5694.9582605596634</v>
      </c>
      <c r="J144" s="33">
        <f>IF($A144=J$83, 0, distance(VLOOKUP($A144,Cuision!$G:$P,9,FALSE),VLOOKUP($A144,Cuision!$G:$P,10,FALSE),VLOOKUP(J$83,Cuision!$G:$P,9,FALSE),VLOOKUP(J$83,Cuision!$G:$P,10,FALSE)))</f>
        <v>11216.375969416535</v>
      </c>
      <c r="K144" s="33">
        <f>IF($A144=K$83, 0, distance(VLOOKUP($A144,Cuision!$G:$P,9,FALSE),VLOOKUP($A144,Cuision!$G:$P,10,FALSE),VLOOKUP(K$83,Cuision!$G:$P,9,FALSE),VLOOKUP(K$83,Cuision!$G:$P,10,FALSE)))</f>
        <v>1427.685701070026</v>
      </c>
      <c r="L144" s="33">
        <f>IF($A144=L$83, 0, distance(VLOOKUP($A144,Cuision!$G:$P,9,FALSE),VLOOKUP($A144,Cuision!$G:$P,10,FALSE),VLOOKUP(L$83,Cuision!$G:$P,9,FALSE),VLOOKUP(L$83,Cuision!$G:$P,10,FALSE)))</f>
        <v>5689.5281105558252</v>
      </c>
      <c r="M144" s="33">
        <f>IF($A144=M$83, 0, distance(VLOOKUP($A144,Cuision!$G:$P,9,FALSE),VLOOKUP($A144,Cuision!$G:$P,10,FALSE),VLOOKUP(M$83,Cuision!$G:$P,9,FALSE),VLOOKUP(M$83,Cuision!$G:$P,10,FALSE)))</f>
        <v>-1</v>
      </c>
      <c r="N144" s="33">
        <f>IF($A144=N$83, 0, distance(VLOOKUP($A144,Cuision!$G:$P,9,FALSE),VLOOKUP($A144,Cuision!$G:$P,10,FALSE),VLOOKUP(N$83,Cuision!$G:$P,9,FALSE),VLOOKUP(N$83,Cuision!$G:$P,10,FALSE)))</f>
        <v>312.06072791659329</v>
      </c>
      <c r="O144" s="33">
        <f>IF($A144=O$83, 0, distance(VLOOKUP($A144,Cuision!$G:$P,9,FALSE),VLOOKUP($A144,Cuision!$G:$P,10,FALSE),VLOOKUP(O$83,Cuision!$G:$P,9,FALSE),VLOOKUP(O$83,Cuision!$G:$P,10,FALSE)))</f>
        <v>1063.8700590329406</v>
      </c>
      <c r="P144" s="33">
        <f>IF($A144=P$83, 0, distance(VLOOKUP($A144,Cuision!$G:$P,9,FALSE),VLOOKUP($A144,Cuision!$G:$P,10,FALSE),VLOOKUP(P$83,Cuision!$G:$P,9,FALSE),VLOOKUP(P$83,Cuision!$G:$P,10,FALSE)))</f>
        <v>4523.9382412492259</v>
      </c>
      <c r="Q144" s="33">
        <f>IF($A144=Q$83, 0, distance(VLOOKUP($A144,Cuision!$G:$P,9,FALSE),VLOOKUP($A144,Cuision!$G:$P,10,FALSE),VLOOKUP(Q$83,Cuision!$G:$P,9,FALSE),VLOOKUP(Q$83,Cuision!$G:$P,10,FALSE)))</f>
        <v>-1</v>
      </c>
      <c r="R144" s="33">
        <f>IF($A144=R$83, 0, distance(VLOOKUP($A144,Cuision!$G:$P,9,FALSE),VLOOKUP($A144,Cuision!$G:$P,10,FALSE),VLOOKUP(R$83,Cuision!$G:$P,9,FALSE),VLOOKUP(R$83,Cuision!$G:$P,10,FALSE)))</f>
        <v>984.87470919039413</v>
      </c>
      <c r="S144" s="33">
        <f>IF($A144=S$83, 0, distance(VLOOKUP($A144,Cuision!$G:$P,9,FALSE),VLOOKUP($A144,Cuision!$G:$P,10,FALSE),VLOOKUP(S$83,Cuision!$G:$P,9,FALSE),VLOOKUP(S$83,Cuision!$G:$P,10,FALSE)))</f>
        <v>-1</v>
      </c>
      <c r="T144" s="33">
        <f>IF($A144=T$83, 0, distance(VLOOKUP($A144,Cuision!$G:$P,9,FALSE),VLOOKUP($A144,Cuision!$G:$P,10,FALSE),VLOOKUP(T$83,Cuision!$G:$P,9,FALSE),VLOOKUP(T$83,Cuision!$G:$P,10,FALSE)))</f>
        <v>6146.445774302153</v>
      </c>
      <c r="U144" s="33">
        <f>IF($A144=U$83, 0, distance(VLOOKUP($A144,Cuision!$G:$P,9,FALSE),VLOOKUP($A144,Cuision!$G:$P,10,FALSE),VLOOKUP(U$83,Cuision!$G:$P,9,FALSE),VLOOKUP(U$83,Cuision!$G:$P,10,FALSE)))</f>
        <v>-1</v>
      </c>
      <c r="V144" s="33">
        <f>IF($A144=V$83, 0, distance(VLOOKUP($A144,Cuision!$G:$P,9,FALSE),VLOOKUP($A144,Cuision!$G:$P,10,FALSE),VLOOKUP(V$83,Cuision!$G:$P,9,FALSE),VLOOKUP(V$83,Cuision!$G:$P,10,FALSE)))</f>
        <v>3565.0654515008168</v>
      </c>
      <c r="W144" s="33">
        <f>IF($A144=W$83, 0, distance(VLOOKUP($A144,Cuision!$G:$P,9,FALSE),VLOOKUP($A144,Cuision!$G:$P,10,FALSE),VLOOKUP(W$83,Cuision!$G:$P,9,FALSE),VLOOKUP(W$83,Cuision!$G:$P,10,FALSE)))</f>
        <v>6959.3649400565628</v>
      </c>
      <c r="X144" s="33">
        <f>IF($A144=X$83, 0, distance(VLOOKUP($A144,Cuision!$G:$P,9,FALSE),VLOOKUP($A144,Cuision!$G:$P,10,FALSE),VLOOKUP(X$83,Cuision!$G:$P,9,FALSE),VLOOKUP(X$83,Cuision!$G:$P,10,FALSE)))</f>
        <v>312.06072791659329</v>
      </c>
      <c r="Y144" s="33">
        <f>IF($A144=Y$83, 0, distance(VLOOKUP($A144,Cuision!$G:$P,9,FALSE),VLOOKUP($A144,Cuision!$G:$P,10,FALSE),VLOOKUP(Y$83,Cuision!$G:$P,9,FALSE),VLOOKUP(Y$83,Cuision!$G:$P,10,FALSE)))</f>
        <v>6006.0762107798828</v>
      </c>
      <c r="Z144" s="33">
        <f>IF($A144=Z$83, 0, distance(VLOOKUP($A144,Cuision!$G:$P,9,FALSE),VLOOKUP($A144,Cuision!$G:$P,10,FALSE),VLOOKUP(Z$83,Cuision!$G:$P,9,FALSE),VLOOKUP(Z$83,Cuision!$G:$P,10,FALSE)))</f>
        <v>-1</v>
      </c>
      <c r="AA144" s="33">
        <f>IF($A144=AA$83, 0, distance(VLOOKUP($A144,Cuision!$G:$P,9,FALSE),VLOOKUP($A144,Cuision!$G:$P,10,FALSE),VLOOKUP(AA$83,Cuision!$G:$P,9,FALSE),VLOOKUP(AA$83,Cuision!$G:$P,10,FALSE)))</f>
        <v>4359.3179587346585</v>
      </c>
      <c r="AB144" s="33">
        <f>IF($A144=AB$83, 0, distance(VLOOKUP($A144,Cuision!$G:$P,9,FALSE),VLOOKUP($A144,Cuision!$G:$P,10,FALSE),VLOOKUP(AB$83,Cuision!$G:$P,9,FALSE),VLOOKUP(AB$83,Cuision!$G:$P,10,FALSE)))</f>
        <v>1393.440359478737</v>
      </c>
      <c r="AC144" s="33">
        <f>IF($A144=AC$83, 0, distance(VLOOKUP($A144,Cuision!$G:$P,9,FALSE),VLOOKUP($A144,Cuision!$G:$P,10,FALSE),VLOOKUP(AC$83,Cuision!$G:$P,9,FALSE),VLOOKUP(AC$83,Cuision!$G:$P,10,FALSE)))</f>
        <v>3596.6355545508072</v>
      </c>
      <c r="AD144" s="33">
        <f>IF($A144=AD$83, 0, distance(VLOOKUP($A144,Cuision!$G:$P,9,FALSE),VLOOKUP($A144,Cuision!$G:$P,10,FALSE),VLOOKUP(AD$83,Cuision!$G:$P,9,FALSE),VLOOKUP(AD$83,Cuision!$G:$P,10,FALSE)))</f>
        <v>7544.1508647528235</v>
      </c>
      <c r="AE144" s="33">
        <f>IF($A144=AE$83, 0, distance(VLOOKUP($A144,Cuision!$G:$P,9,FALSE),VLOOKUP($A144,Cuision!$G:$P,10,FALSE),VLOOKUP(AE$83,Cuision!$G:$P,9,FALSE),VLOOKUP(AE$83,Cuision!$G:$P,10,FALSE)))</f>
        <v>1861.4118320072016</v>
      </c>
      <c r="AF144" s="33">
        <f>IF($A144=AF$83, 0, distance(VLOOKUP($A144,Cuision!$G:$P,9,FALSE),VLOOKUP($A144,Cuision!$G:$P,10,FALSE),VLOOKUP(AF$83,Cuision!$G:$P,9,FALSE),VLOOKUP(AF$83,Cuision!$G:$P,10,FALSE)))</f>
        <v>902.20674307723357</v>
      </c>
      <c r="AG144" s="33">
        <f>IF($A144=AG$83, 0, distance(VLOOKUP($A144,Cuision!$G:$P,9,FALSE),VLOOKUP($A144,Cuision!$G:$P,10,FALSE),VLOOKUP(AG$83,Cuision!$G:$P,9,FALSE),VLOOKUP(AG$83,Cuision!$G:$P,10,FALSE)))</f>
        <v>1436.5847478067926</v>
      </c>
      <c r="AH144" s="33">
        <f>IF($A144=AH$83, 0, distance(VLOOKUP($A144,Cuision!$G:$P,9,FALSE),VLOOKUP($A144,Cuision!$G:$P,10,FALSE),VLOOKUP(AH$83,Cuision!$G:$P,9,FALSE),VLOOKUP(AH$83,Cuision!$G:$P,10,FALSE)))</f>
        <v>-1</v>
      </c>
      <c r="AI144" s="33">
        <f>IF($A144=AI$83, 0, distance(VLOOKUP($A144,Cuision!$G:$P,9,FALSE),VLOOKUP($A144,Cuision!$G:$P,10,FALSE),VLOOKUP(AI$83,Cuision!$G:$P,9,FALSE),VLOOKUP(AI$83,Cuision!$G:$P,10,FALSE)))</f>
        <v>1771.0451774153153</v>
      </c>
      <c r="AJ144" s="33">
        <f>IF($A144=AJ$83, 0, distance(VLOOKUP($A144,Cuision!$G:$P,9,FALSE),VLOOKUP($A144,Cuision!$G:$P,10,FALSE),VLOOKUP(AJ$83,Cuision!$G:$P,9,FALSE),VLOOKUP(AJ$83,Cuision!$G:$P,10,FALSE)))</f>
        <v>2990.3877013395577</v>
      </c>
      <c r="AK144" s="33">
        <f>IF($A144=AK$83, 0, distance(VLOOKUP($A144,Cuision!$G:$P,9,FALSE),VLOOKUP($A144,Cuision!$G:$P,10,FALSE),VLOOKUP(AK$83,Cuision!$G:$P,9,FALSE),VLOOKUP(AK$83,Cuision!$G:$P,10,FALSE)))</f>
        <v>7840.890556497623</v>
      </c>
      <c r="AL144" s="33">
        <f>IF($A144=AL$83, 0, distance(VLOOKUP($A144,Cuision!$G:$P,9,FALSE),VLOOKUP($A144,Cuision!$G:$P,10,FALSE),VLOOKUP(AL$83,Cuision!$G:$P,9,FALSE),VLOOKUP(AL$83,Cuision!$G:$P,10,FALSE)))</f>
        <v>5270.2248016218673</v>
      </c>
      <c r="AM144" s="33">
        <f>IF($A144=AM$83, 0, distance(VLOOKUP($A144,Cuision!$G:$P,9,FALSE),VLOOKUP($A144,Cuision!$G:$P,10,FALSE),VLOOKUP(AM$83,Cuision!$G:$P,9,FALSE),VLOOKUP(AM$83,Cuision!$G:$P,10,FALSE)))</f>
        <v>-1</v>
      </c>
      <c r="AN144" s="33">
        <f>IF($A144=AN$83, 0, distance(VLOOKUP($A144,Cuision!$G:$P,9,FALSE),VLOOKUP($A144,Cuision!$G:$P,10,FALSE),VLOOKUP(AN$83,Cuision!$G:$P,9,FALSE),VLOOKUP(AN$83,Cuision!$G:$P,10,FALSE)))</f>
        <v>1534.0482754298985</v>
      </c>
      <c r="AO144" s="33">
        <f>IF($A144=AO$83, 0, distance(VLOOKUP($A144,Cuision!$G:$P,9,FALSE),VLOOKUP($A144,Cuision!$G:$P,10,FALSE),VLOOKUP(AO$83,Cuision!$G:$P,9,FALSE),VLOOKUP(AO$83,Cuision!$G:$P,10,FALSE)))</f>
        <v>312.06072791659329</v>
      </c>
      <c r="AP144" s="33">
        <f>IF($A144=AP$83, 0, distance(VLOOKUP($A144,Cuision!$G:$P,9,FALSE),VLOOKUP($A144,Cuision!$G:$P,10,FALSE),VLOOKUP(AP$83,Cuision!$G:$P,9,FALSE),VLOOKUP(AP$83,Cuision!$G:$P,10,FALSE)))</f>
        <v>4830.4662832354943</v>
      </c>
      <c r="AQ144" s="33">
        <f>IF($A144=AQ$83, 0, distance(VLOOKUP($A144,Cuision!$G:$P,9,FALSE),VLOOKUP($A144,Cuision!$G:$P,10,FALSE),VLOOKUP(AQ$83,Cuision!$G:$P,9,FALSE),VLOOKUP(AQ$83,Cuision!$G:$P,10,FALSE)))</f>
        <v>7879.2905767524699</v>
      </c>
      <c r="AR144" s="33">
        <f>IF($A144=AR$83, 0, distance(VLOOKUP($A144,Cuision!$G:$P,9,FALSE),VLOOKUP($A144,Cuision!$G:$P,10,FALSE),VLOOKUP(AR$83,Cuision!$G:$P,9,FALSE),VLOOKUP(AR$83,Cuision!$G:$P,10,FALSE)))</f>
        <v>984.87470919039413</v>
      </c>
      <c r="AS144" s="33">
        <f>IF($A144=AS$83, 0, distance(VLOOKUP($A144,Cuision!$G:$P,9,FALSE),VLOOKUP($A144,Cuision!$G:$P,10,FALSE),VLOOKUP(AS$83,Cuision!$G:$P,9,FALSE),VLOOKUP(AS$83,Cuision!$G:$P,10,FALSE)))</f>
        <v>1156.233440946429</v>
      </c>
      <c r="AT144" s="33">
        <f>IF($A144=AT$83, 0, distance(VLOOKUP($A144,Cuision!$G:$P,9,FALSE),VLOOKUP($A144,Cuision!$G:$P,10,FALSE),VLOOKUP(AT$83,Cuision!$G:$P,9,FALSE),VLOOKUP(AT$83,Cuision!$G:$P,10,FALSE)))</f>
        <v>6923.3376816774917</v>
      </c>
      <c r="AU144" s="33">
        <f>IF($A144=AU$83, 0, distance(VLOOKUP($A144,Cuision!$G:$P,9,FALSE),VLOOKUP($A144,Cuision!$G:$P,10,FALSE),VLOOKUP(AU$83,Cuision!$G:$P,9,FALSE),VLOOKUP(AU$83,Cuision!$G:$P,10,FALSE)))</f>
        <v>6472.6943473632464</v>
      </c>
      <c r="AV144" s="33">
        <f>IF($A144=AV$83, 0, distance(VLOOKUP($A144,Cuision!$G:$P,9,FALSE),VLOOKUP($A144,Cuision!$G:$P,10,FALSE),VLOOKUP(AV$83,Cuision!$G:$P,9,FALSE),VLOOKUP(AV$83,Cuision!$G:$P,10,FALSE)))</f>
        <v>2251.6298251363155</v>
      </c>
      <c r="AW144" s="33">
        <f>IF($A144=AW$83, 0, distance(VLOOKUP($A144,Cuision!$G:$P,9,FALSE),VLOOKUP($A144,Cuision!$G:$P,10,FALSE),VLOOKUP(AW$83,Cuision!$G:$P,9,FALSE),VLOOKUP(AW$83,Cuision!$G:$P,10,FALSE)))</f>
        <v>6542.2173619937312</v>
      </c>
      <c r="AX144" s="33">
        <f>IF($A144=AX$83, 0, distance(VLOOKUP($A144,Cuision!$G:$P,9,FALSE),VLOOKUP($A144,Cuision!$G:$P,10,FALSE),VLOOKUP(AX$83,Cuision!$G:$P,9,FALSE),VLOOKUP(AX$83,Cuision!$G:$P,10,FALSE)))</f>
        <v>4465.784946937496</v>
      </c>
      <c r="AY144" s="33">
        <f>IF($A144=AY$83, 0, distance(VLOOKUP($A144,Cuision!$G:$P,9,FALSE),VLOOKUP($A144,Cuision!$G:$P,10,FALSE),VLOOKUP(AY$83,Cuision!$G:$P,9,FALSE),VLOOKUP(AY$83,Cuision!$G:$P,10,FALSE)))</f>
        <v>-1</v>
      </c>
      <c r="AZ144" s="33">
        <f>IF($A144=AZ$83, 0, distance(VLOOKUP($A144,Cuision!$G:$P,9,FALSE),VLOOKUP($A144,Cuision!$G:$P,10,FALSE),VLOOKUP(AZ$83,Cuision!$G:$P,9,FALSE),VLOOKUP(AZ$83,Cuision!$G:$P,10,FALSE)))</f>
        <v>7188.2648106325823</v>
      </c>
      <c r="BA144" s="33">
        <f>IF($A144=BA$83, 0, distance(VLOOKUP($A144,Cuision!$G:$P,9,FALSE),VLOOKUP($A144,Cuision!$G:$P,10,FALSE),VLOOKUP(BA$83,Cuision!$G:$P,9,FALSE),VLOOKUP(BA$83,Cuision!$G:$P,10,FALSE)))</f>
        <v>1528.1350405712205</v>
      </c>
      <c r="BB144" s="33">
        <f>IF($A144=BB$83, 0, distance(VLOOKUP($A144,Cuision!$G:$P,9,FALSE),VLOOKUP($A144,Cuision!$G:$P,10,FALSE),VLOOKUP(BB$83,Cuision!$G:$P,9,FALSE),VLOOKUP(BB$83,Cuision!$G:$P,10,FALSE)))</f>
        <v>5388.3360943164917</v>
      </c>
      <c r="BC144" s="33">
        <f>IF($A144=BC$83, 0, distance(VLOOKUP($A144,Cuision!$G:$P,9,FALSE),VLOOKUP($A144,Cuision!$G:$P,10,FALSE),VLOOKUP(BC$83,Cuision!$G:$P,9,FALSE),VLOOKUP(BC$83,Cuision!$G:$P,10,FALSE)))</f>
        <v>2990.3877013395577</v>
      </c>
      <c r="BD144" s="33">
        <f>IF($A144=BD$83, 0, distance(VLOOKUP($A144,Cuision!$G:$P,9,FALSE),VLOOKUP($A144,Cuision!$G:$P,10,FALSE),VLOOKUP(BD$83,Cuision!$G:$P,9,FALSE),VLOOKUP(BD$83,Cuision!$G:$P,10,FALSE)))</f>
        <v>5279.6594717784064</v>
      </c>
      <c r="BE144" s="33">
        <f>IF($A144=BE$83, 0, distance(VLOOKUP($A144,Cuision!$G:$P,9,FALSE),VLOOKUP($A144,Cuision!$G:$P,10,FALSE),VLOOKUP(BE$83,Cuision!$G:$P,9,FALSE),VLOOKUP(BE$83,Cuision!$G:$P,10,FALSE)))</f>
        <v>349.63292329795064</v>
      </c>
      <c r="BF144" s="33">
        <f>IF($A144=BF$83, 0, distance(VLOOKUP($A144,Cuision!$G:$P,9,FALSE),VLOOKUP($A144,Cuision!$G:$P,10,FALSE),VLOOKUP(BF$83,Cuision!$G:$P,9,FALSE),VLOOKUP(BF$83,Cuision!$G:$P,10,FALSE)))</f>
        <v>4433.7167876747599</v>
      </c>
      <c r="BG144" s="33">
        <f>IF($A144=BG$83, 0, distance(VLOOKUP($A144,Cuision!$G:$P,9,FALSE),VLOOKUP($A144,Cuision!$G:$P,10,FALSE),VLOOKUP(BG$83,Cuision!$G:$P,9,FALSE),VLOOKUP(BG$83,Cuision!$G:$P,10,FALSE)))</f>
        <v>3276.9887887411787</v>
      </c>
      <c r="BH144" s="33">
        <f>IF($A144=BH$83, 0, distance(VLOOKUP($A144,Cuision!$G:$P,9,FALSE),VLOOKUP($A144,Cuision!$G:$P,10,FALSE),VLOOKUP(BH$83,Cuision!$G:$P,9,FALSE),VLOOKUP(BH$83,Cuision!$G:$P,10,FALSE)))</f>
        <v>5595.632135877524</v>
      </c>
      <c r="BI144" s="33">
        <f>IF($A144=BI$83, 0, distance(VLOOKUP($A144,Cuision!$G:$P,9,FALSE),VLOOKUP($A144,Cuision!$G:$P,10,FALSE),VLOOKUP(BI$83,Cuision!$G:$P,9,FALSE),VLOOKUP(BI$83,Cuision!$G:$P,10,FALSE)))</f>
        <v>1713.964654048908</v>
      </c>
      <c r="BJ144" s="33">
        <f>IF($A144=BJ$83, 0, distance(VLOOKUP($A144,Cuision!$G:$P,9,FALSE),VLOOKUP($A144,Cuision!$G:$P,10,FALSE),VLOOKUP(BJ$83,Cuision!$G:$P,9,FALSE),VLOOKUP(BJ$83,Cuision!$G:$P,10,FALSE)))</f>
        <v>0</v>
      </c>
      <c r="BK144" s="33">
        <f>IF($A144=BK$83, 0, distance(VLOOKUP($A144,Cuision!$G:$P,9,FALSE),VLOOKUP($A144,Cuision!$G:$P,10,FALSE),VLOOKUP(BK$83,Cuision!$G:$P,9,FALSE),VLOOKUP(BK$83,Cuision!$G:$P,10,FALSE)))</f>
        <v>2426.6873708377721</v>
      </c>
      <c r="BL144" s="33">
        <f>IF($A144=BL$83, 0, distance(VLOOKUP($A144,Cuision!$G:$P,9,FALSE),VLOOKUP($A144,Cuision!$G:$P,10,FALSE),VLOOKUP(BL$83,Cuision!$G:$P,9,FALSE),VLOOKUP(BL$83,Cuision!$G:$P,10,FALSE)))</f>
        <v>-1</v>
      </c>
      <c r="BM144" s="33">
        <f>IF($A144=BM$83, 0, distance(VLOOKUP($A144,Cuision!$G:$P,9,FALSE),VLOOKUP($A144,Cuision!$G:$P,10,FALSE),VLOOKUP(BM$83,Cuision!$G:$P,9,FALSE),VLOOKUP(BM$83,Cuision!$G:$P,10,FALSE)))</f>
        <v>-1</v>
      </c>
      <c r="BN144" s="33">
        <f>IF($A144=BN$83, 0, distance(VLOOKUP($A144,Cuision!$G:$P,9,FALSE),VLOOKUP($A144,Cuision!$G:$P,10,FALSE),VLOOKUP(BN$83,Cuision!$G:$P,9,FALSE),VLOOKUP(BN$83,Cuision!$G:$P,10,FALSE)))</f>
        <v>984.87470919039413</v>
      </c>
      <c r="BO144" s="33">
        <f>IF($A144=BO$83, 0, distance(VLOOKUP($A144,Cuision!$G:$P,9,FALSE),VLOOKUP($A144,Cuision!$G:$P,10,FALSE),VLOOKUP(BO$83,Cuision!$G:$P,9,FALSE),VLOOKUP(BO$83,Cuision!$G:$P,10,FALSE)))</f>
        <v>7384.6491963596191</v>
      </c>
      <c r="BP144" s="33">
        <f>IF($A144=BP$83, 0, distance(VLOOKUP($A144,Cuision!$G:$P,9,FALSE),VLOOKUP($A144,Cuision!$G:$P,10,FALSE),VLOOKUP(BP$83,Cuision!$G:$P,9,FALSE),VLOOKUP(BP$83,Cuision!$G:$P,10,FALSE)))</f>
        <v>1458.9985700733262</v>
      </c>
      <c r="BQ144" s="33">
        <f>IF($A144=BQ$83, 0, distance(VLOOKUP($A144,Cuision!$G:$P,9,FALSE),VLOOKUP($A144,Cuision!$G:$P,10,FALSE),VLOOKUP(BQ$83,Cuision!$G:$P,9,FALSE),VLOOKUP(BQ$83,Cuision!$G:$P,10,FALSE)))</f>
        <v>-1</v>
      </c>
      <c r="BR144" s="33">
        <f>IF($A144=BR$83, 0, distance(VLOOKUP($A144,Cuision!$G:$P,9,FALSE),VLOOKUP($A144,Cuision!$G:$P,10,FALSE),VLOOKUP(BR$83,Cuision!$G:$P,9,FALSE),VLOOKUP(BR$83,Cuision!$G:$P,10,FALSE)))</f>
        <v>3565.0654515008168</v>
      </c>
      <c r="BS144" s="33">
        <f>IF($A144=BS$83, 0, distance(VLOOKUP($A144,Cuision!$G:$P,9,FALSE),VLOOKUP($A144,Cuision!$G:$P,10,FALSE),VLOOKUP(BS$83,Cuision!$G:$P,9,FALSE),VLOOKUP(BS$83,Cuision!$G:$P,10,FALSE)))</f>
        <v>6006.0762107798828</v>
      </c>
      <c r="BT144" s="33">
        <f>IF($A144=BT$83, 0, distance(VLOOKUP($A144,Cuision!$G:$P,9,FALSE),VLOOKUP($A144,Cuision!$G:$P,10,FALSE),VLOOKUP(BT$83,Cuision!$G:$P,9,FALSE),VLOOKUP(BT$83,Cuision!$G:$P,10,FALSE)))</f>
        <v>312.06072791659329</v>
      </c>
      <c r="BU144" s="33">
        <f>IF($A144=BU$83, 0, distance(VLOOKUP($A144,Cuision!$G:$P,9,FALSE),VLOOKUP($A144,Cuision!$G:$P,10,FALSE),VLOOKUP(BU$83,Cuision!$G:$P,9,FALSE),VLOOKUP(BU$83,Cuision!$G:$P,10,FALSE)))</f>
        <v>6638.1816679708372</v>
      </c>
      <c r="BV144" s="33">
        <f>IF($A144=BV$83, 0, distance(VLOOKUP($A144,Cuision!$G:$P,9,FALSE),VLOOKUP($A144,Cuision!$G:$P,10,FALSE),VLOOKUP(BV$83,Cuision!$G:$P,9,FALSE),VLOOKUP(BV$83,Cuision!$G:$P,10,FALSE)))</f>
        <v>2224.4671514687739</v>
      </c>
      <c r="BW144" s="33">
        <f>IF($A144=BW$83, 0, distance(VLOOKUP($A144,Cuision!$G:$P,9,FALSE),VLOOKUP($A144,Cuision!$G:$P,10,FALSE),VLOOKUP(BW$83,Cuision!$G:$P,9,FALSE),VLOOKUP(BW$83,Cuision!$G:$P,10,FALSE)))</f>
        <v>2082.1389371382102</v>
      </c>
      <c r="BX144" s="33">
        <f>IF($A144=BX$83, 0, distance(VLOOKUP($A144,Cuision!$G:$P,9,FALSE),VLOOKUP($A144,Cuision!$G:$P,10,FALSE),VLOOKUP(BX$83,Cuision!$G:$P,9,FALSE),VLOOKUP(BX$83,Cuision!$G:$P,10,FALSE)))</f>
        <v>4002.4195859167403</v>
      </c>
      <c r="BY144" s="33">
        <f>IF($A144=BY$83, 0, distance(VLOOKUP($A144,Cuision!$G:$P,9,FALSE),VLOOKUP($A144,Cuision!$G:$P,10,FALSE),VLOOKUP(BY$83,Cuision!$G:$P,9,FALSE),VLOOKUP(BY$83,Cuision!$G:$P,10,FALSE)))</f>
        <v>-1</v>
      </c>
      <c r="BZ144" s="33">
        <f>IF($A144=BZ$83, 0, distance(VLOOKUP($A144,Cuision!$G:$P,9,FALSE),VLOOKUP($A144,Cuision!$G:$P,10,FALSE),VLOOKUP(BZ$83,Cuision!$G:$P,9,FALSE),VLOOKUP(BZ$83,Cuision!$G:$P,10,FALSE)))</f>
        <v>-1</v>
      </c>
      <c r="CA144" s="33">
        <f>IF($A144=CA$83, 0, distance(VLOOKUP($A144,Cuision!$G:$P,9,FALSE),VLOOKUP($A144,Cuision!$G:$P,10,FALSE),VLOOKUP(CA$83,Cuision!$G:$P,9,FALSE),VLOOKUP(CA$83,Cuision!$G:$P,10,FALSE)))</f>
        <v>6547.3410334943455</v>
      </c>
    </row>
    <row r="145" spans="1:79" ht="14.25" x14ac:dyDescent="0.2">
      <c r="A145" s="30" t="s">
        <v>115</v>
      </c>
      <c r="B145" s="33">
        <f>IF($A145=B$83, 0, distance(VLOOKUP($A145,Cuision!$G:$P,9,FALSE),VLOOKUP($A145,Cuision!$G:$P,10,FALSE),VLOOKUP(B$83,Cuision!$G:$P,9,FALSE),VLOOKUP(B$83,Cuision!$G:$P,10,FALSE)))</f>
        <v>2091.3371789759003</v>
      </c>
      <c r="C145" s="33">
        <f>IF($A145=C$83, 0, distance(VLOOKUP($A145,Cuision!$G:$P,9,FALSE),VLOOKUP($A145,Cuision!$G:$P,10,FALSE),VLOOKUP(C$83,Cuision!$G:$P,9,FALSE),VLOOKUP(C$83,Cuision!$G:$P,10,FALSE)))</f>
        <v>4462.1928054881882</v>
      </c>
      <c r="D145" s="33">
        <f>IF($A145=D$83, 0, distance(VLOOKUP($A145,Cuision!$G:$P,9,FALSE),VLOOKUP($A145,Cuision!$G:$P,10,FALSE),VLOOKUP(D$83,Cuision!$G:$P,9,FALSE),VLOOKUP(D$83,Cuision!$G:$P,10,FALSE)))</f>
        <v>4860.2850342260354</v>
      </c>
      <c r="E145" s="33">
        <f>IF($A145=E$83, 0, distance(VLOOKUP($A145,Cuision!$G:$P,9,FALSE),VLOOKUP($A145,Cuision!$G:$P,10,FALSE),VLOOKUP(E$83,Cuision!$G:$P,9,FALSE),VLOOKUP(E$83,Cuision!$G:$P,10,FALSE)))</f>
        <v>4860.2850342260354</v>
      </c>
      <c r="F145" s="33">
        <f>IF($A145=F$83, 0, distance(VLOOKUP($A145,Cuision!$G:$P,9,FALSE),VLOOKUP($A145,Cuision!$G:$P,10,FALSE),VLOOKUP(F$83,Cuision!$G:$P,9,FALSE),VLOOKUP(F$83,Cuision!$G:$P,10,FALSE)))</f>
        <v>1843.6098621288322</v>
      </c>
      <c r="G145" s="33">
        <f>IF($A145=G$83, 0, distance(VLOOKUP($A145,Cuision!$G:$P,9,FALSE),VLOOKUP($A145,Cuision!$G:$P,10,FALSE),VLOOKUP(G$83,Cuision!$G:$P,9,FALSE),VLOOKUP(G$83,Cuision!$G:$P,10,FALSE)))</f>
        <v>8373.1717491996897</v>
      </c>
      <c r="H145" s="33">
        <f>IF($A145=H$83, 0, distance(VLOOKUP($A145,Cuision!$G:$P,9,FALSE),VLOOKUP($A145,Cuision!$G:$P,10,FALSE),VLOOKUP(H$83,Cuision!$G:$P,9,FALSE),VLOOKUP(H$83,Cuision!$G:$P,10,FALSE)))</f>
        <v>1120.6156631860385</v>
      </c>
      <c r="I145" s="33">
        <f>IF($A145=I$83, 0, distance(VLOOKUP($A145,Cuision!$G:$P,9,FALSE),VLOOKUP($A145,Cuision!$G:$P,10,FALSE),VLOOKUP(I$83,Cuision!$G:$P,9,FALSE),VLOOKUP(I$83,Cuision!$G:$P,10,FALSE)))</f>
        <v>3287.6032701656195</v>
      </c>
      <c r="J145" s="33">
        <f>IF($A145=J$83, 0, distance(VLOOKUP($A145,Cuision!$G:$P,9,FALSE),VLOOKUP($A145,Cuision!$G:$P,10,FALSE),VLOOKUP(J$83,Cuision!$G:$P,9,FALSE),VLOOKUP(J$83,Cuision!$G:$P,10,FALSE)))</f>
        <v>8997.683992211998</v>
      </c>
      <c r="K145" s="33">
        <f>IF($A145=K$83, 0, distance(VLOOKUP($A145,Cuision!$G:$P,9,FALSE),VLOOKUP($A145,Cuision!$G:$P,10,FALSE),VLOOKUP(K$83,Cuision!$G:$P,9,FALSE),VLOOKUP(K$83,Cuision!$G:$P,10,FALSE)))</f>
        <v>1037.4672626876531</v>
      </c>
      <c r="L145" s="33">
        <f>IF($A145=L$83, 0, distance(VLOOKUP($A145,Cuision!$G:$P,9,FALSE),VLOOKUP($A145,Cuision!$G:$P,10,FALSE),VLOOKUP(L$83,Cuision!$G:$P,9,FALSE),VLOOKUP(L$83,Cuision!$G:$P,10,FALSE)))</f>
        <v>3448.2332370575282</v>
      </c>
      <c r="M145" s="33">
        <f>IF($A145=M$83, 0, distance(VLOOKUP($A145,Cuision!$G:$P,9,FALSE),VLOOKUP($A145,Cuision!$G:$P,10,FALSE),VLOOKUP(M$83,Cuision!$G:$P,9,FALSE),VLOOKUP(M$83,Cuision!$G:$P,10,FALSE)))</f>
        <v>-1</v>
      </c>
      <c r="N145" s="33">
        <f>IF($A145=N$83, 0, distance(VLOOKUP($A145,Cuision!$G:$P,9,FALSE),VLOOKUP($A145,Cuision!$G:$P,10,FALSE),VLOOKUP(N$83,Cuision!$G:$P,9,FALSE),VLOOKUP(N$83,Cuision!$G:$P,10,FALSE)))</f>
        <v>2137.3495652072015</v>
      </c>
      <c r="O145" s="33">
        <f>IF($A145=O$83, 0, distance(VLOOKUP($A145,Cuision!$G:$P,9,FALSE),VLOOKUP($A145,Cuision!$G:$P,10,FALSE),VLOOKUP(O$83,Cuision!$G:$P,9,FALSE),VLOOKUP(O$83,Cuision!$G:$P,10,FALSE)))</f>
        <v>1400.0586504498972</v>
      </c>
      <c r="P145" s="33">
        <f>IF($A145=P$83, 0, distance(VLOOKUP($A145,Cuision!$G:$P,9,FALSE),VLOOKUP($A145,Cuision!$G:$P,10,FALSE),VLOOKUP(P$83,Cuision!$G:$P,9,FALSE),VLOOKUP(P$83,Cuision!$G:$P,10,FALSE)))</f>
        <v>6945.6751114739591</v>
      </c>
      <c r="Q145" s="33">
        <f>IF($A145=Q$83, 0, distance(VLOOKUP($A145,Cuision!$G:$P,9,FALSE),VLOOKUP($A145,Cuision!$G:$P,10,FALSE),VLOOKUP(Q$83,Cuision!$G:$P,9,FALSE),VLOOKUP(Q$83,Cuision!$G:$P,10,FALSE)))</f>
        <v>-1</v>
      </c>
      <c r="R145" s="33">
        <f>IF($A145=R$83, 0, distance(VLOOKUP($A145,Cuision!$G:$P,9,FALSE),VLOOKUP($A145,Cuision!$G:$P,10,FALSE),VLOOKUP(R$83,Cuision!$G:$P,9,FALSE),VLOOKUP(R$83,Cuision!$G:$P,10,FALSE)))</f>
        <v>1553.833295887762</v>
      </c>
      <c r="S145" s="33">
        <f>IF($A145=S$83, 0, distance(VLOOKUP($A145,Cuision!$G:$P,9,FALSE),VLOOKUP($A145,Cuision!$G:$P,10,FALSE),VLOOKUP(S$83,Cuision!$G:$P,9,FALSE),VLOOKUP(S$83,Cuision!$G:$P,10,FALSE)))</f>
        <v>-1</v>
      </c>
      <c r="T145" s="33">
        <f>IF($A145=T$83, 0, distance(VLOOKUP($A145,Cuision!$G:$P,9,FALSE),VLOOKUP($A145,Cuision!$G:$P,10,FALSE),VLOOKUP(T$83,Cuision!$G:$P,9,FALSE),VLOOKUP(T$83,Cuision!$G:$P,10,FALSE)))</f>
        <v>3884.235719571639</v>
      </c>
      <c r="U145" s="33">
        <f>IF($A145=U$83, 0, distance(VLOOKUP($A145,Cuision!$G:$P,9,FALSE),VLOOKUP($A145,Cuision!$G:$P,10,FALSE),VLOOKUP(U$83,Cuision!$G:$P,9,FALSE),VLOOKUP(U$83,Cuision!$G:$P,10,FALSE)))</f>
        <v>-1</v>
      </c>
      <c r="V145" s="33">
        <f>IF($A145=V$83, 0, distance(VLOOKUP($A145,Cuision!$G:$P,9,FALSE),VLOOKUP($A145,Cuision!$G:$P,10,FALSE),VLOOKUP(V$83,Cuision!$G:$P,9,FALSE),VLOOKUP(V$83,Cuision!$G:$P,10,FALSE)))</f>
        <v>4860.2850342260354</v>
      </c>
      <c r="W145" s="33">
        <f>IF($A145=W$83, 0, distance(VLOOKUP($A145,Cuision!$G:$P,9,FALSE),VLOOKUP($A145,Cuision!$G:$P,10,FALSE),VLOOKUP(W$83,Cuision!$G:$P,9,FALSE),VLOOKUP(W$83,Cuision!$G:$P,10,FALSE)))</f>
        <v>4681.7917372277607</v>
      </c>
      <c r="X145" s="33">
        <f>IF($A145=X$83, 0, distance(VLOOKUP($A145,Cuision!$G:$P,9,FALSE),VLOOKUP($A145,Cuision!$G:$P,10,FALSE),VLOOKUP(X$83,Cuision!$G:$P,9,FALSE),VLOOKUP(X$83,Cuision!$G:$P,10,FALSE)))</f>
        <v>2137.3495652072015</v>
      </c>
      <c r="Y145" s="33">
        <f>IF($A145=Y$83, 0, distance(VLOOKUP($A145,Cuision!$G:$P,9,FALSE),VLOOKUP($A145,Cuision!$G:$P,10,FALSE),VLOOKUP(Y$83,Cuision!$G:$P,9,FALSE),VLOOKUP(Y$83,Cuision!$G:$P,10,FALSE)))</f>
        <v>3599.3873254582618</v>
      </c>
      <c r="Z145" s="33">
        <f>IF($A145=Z$83, 0, distance(VLOOKUP($A145,Cuision!$G:$P,9,FALSE),VLOOKUP($A145,Cuision!$G:$P,10,FALSE),VLOOKUP(Z$83,Cuision!$G:$P,9,FALSE),VLOOKUP(Z$83,Cuision!$G:$P,10,FALSE)))</f>
        <v>-1</v>
      </c>
      <c r="AA145" s="33">
        <f>IF($A145=AA$83, 0, distance(VLOOKUP($A145,Cuision!$G:$P,9,FALSE),VLOOKUP($A145,Cuision!$G:$P,10,FALSE),VLOOKUP(AA$83,Cuision!$G:$P,9,FALSE),VLOOKUP(AA$83,Cuision!$G:$P,10,FALSE)))</f>
        <v>5956.9711252146253</v>
      </c>
      <c r="AB145" s="33">
        <f>IF($A145=AB$83, 0, distance(VLOOKUP($A145,Cuision!$G:$P,9,FALSE),VLOOKUP($A145,Cuision!$G:$P,10,FALSE),VLOOKUP(AB$83,Cuision!$G:$P,9,FALSE),VLOOKUP(AB$83,Cuision!$G:$P,10,FALSE)))</f>
        <v>1036.3543891272013</v>
      </c>
      <c r="AC145" s="33">
        <f>IF($A145=AC$83, 0, distance(VLOOKUP($A145,Cuision!$G:$P,9,FALSE),VLOOKUP($A145,Cuision!$G:$P,10,FALSE),VLOOKUP(AC$83,Cuision!$G:$P,9,FALSE),VLOOKUP(AC$83,Cuision!$G:$P,10,FALSE)))</f>
        <v>3229.1633501380543</v>
      </c>
      <c r="AD145" s="33">
        <f>IF($A145=AD$83, 0, distance(VLOOKUP($A145,Cuision!$G:$P,9,FALSE),VLOOKUP($A145,Cuision!$G:$P,10,FALSE),VLOOKUP(AD$83,Cuision!$G:$P,9,FALSE),VLOOKUP(AD$83,Cuision!$G:$P,10,FALSE)))</f>
        <v>5130.3702029139777</v>
      </c>
      <c r="AE145" s="33">
        <f>IF($A145=AE$83, 0, distance(VLOOKUP($A145,Cuision!$G:$P,9,FALSE),VLOOKUP($A145,Cuision!$G:$P,10,FALSE),VLOOKUP(AE$83,Cuision!$G:$P,9,FALSE),VLOOKUP(AE$83,Cuision!$G:$P,10,FALSE)))</f>
        <v>997.12123348117825</v>
      </c>
      <c r="AF145" s="33">
        <f>IF($A145=AF$83, 0, distance(VLOOKUP($A145,Cuision!$G:$P,9,FALSE),VLOOKUP($A145,Cuision!$G:$P,10,FALSE),VLOOKUP(AF$83,Cuision!$G:$P,9,FALSE),VLOOKUP(AF$83,Cuision!$G:$P,10,FALSE)))</f>
        <v>1545.214794610775</v>
      </c>
      <c r="AG145" s="33">
        <f>IF($A145=AG$83, 0, distance(VLOOKUP($A145,Cuision!$G:$P,9,FALSE),VLOOKUP($A145,Cuision!$G:$P,10,FALSE),VLOOKUP(AG$83,Cuision!$G:$P,9,FALSE),VLOOKUP(AG$83,Cuision!$G:$P,10,FALSE)))</f>
        <v>999.5245364509334</v>
      </c>
      <c r="AH145" s="33">
        <f>IF($A145=AH$83, 0, distance(VLOOKUP($A145,Cuision!$G:$P,9,FALSE),VLOOKUP($A145,Cuision!$G:$P,10,FALSE),VLOOKUP(AH$83,Cuision!$G:$P,9,FALSE),VLOOKUP(AH$83,Cuision!$G:$P,10,FALSE)))</f>
        <v>-1</v>
      </c>
      <c r="AI145" s="33">
        <f>IF($A145=AI$83, 0, distance(VLOOKUP($A145,Cuision!$G:$P,9,FALSE),VLOOKUP($A145,Cuision!$G:$P,10,FALSE),VLOOKUP(AI$83,Cuision!$G:$P,9,FALSE),VLOOKUP(AI$83,Cuision!$G:$P,10,FALSE)))</f>
        <v>1386.3526570388308</v>
      </c>
      <c r="AJ145" s="33">
        <f>IF($A145=AJ$83, 0, distance(VLOOKUP($A145,Cuision!$G:$P,9,FALSE),VLOOKUP($A145,Cuision!$G:$P,10,FALSE),VLOOKUP(AJ$83,Cuision!$G:$P,9,FALSE),VLOOKUP(AJ$83,Cuision!$G:$P,10,FALSE)))</f>
        <v>1843.6098621288322</v>
      </c>
      <c r="AK145" s="33">
        <f>IF($A145=AK$83, 0, distance(VLOOKUP($A145,Cuision!$G:$P,9,FALSE),VLOOKUP($A145,Cuision!$G:$P,10,FALSE),VLOOKUP(AK$83,Cuision!$G:$P,9,FALSE),VLOOKUP(AK$83,Cuision!$G:$P,10,FALSE)))</f>
        <v>7152.7109816739048</v>
      </c>
      <c r="AL145" s="33">
        <f>IF($A145=AL$83, 0, distance(VLOOKUP($A145,Cuision!$G:$P,9,FALSE),VLOOKUP($A145,Cuision!$G:$P,10,FALSE),VLOOKUP(AL$83,Cuision!$G:$P,9,FALSE),VLOOKUP(AL$83,Cuision!$G:$P,10,FALSE)))</f>
        <v>3038.4859103517124</v>
      </c>
      <c r="AM145" s="33">
        <f>IF($A145=AM$83, 0, distance(VLOOKUP($A145,Cuision!$G:$P,9,FALSE),VLOOKUP($A145,Cuision!$G:$P,10,FALSE),VLOOKUP(AM$83,Cuision!$G:$P,9,FALSE),VLOOKUP(AM$83,Cuision!$G:$P,10,FALSE)))</f>
        <v>-1</v>
      </c>
      <c r="AN145" s="33">
        <f>IF($A145=AN$83, 0, distance(VLOOKUP($A145,Cuision!$G:$P,9,FALSE),VLOOKUP($A145,Cuision!$G:$P,10,FALSE),VLOOKUP(AN$83,Cuision!$G:$P,9,FALSE),VLOOKUP(AN$83,Cuision!$G:$P,10,FALSE)))</f>
        <v>974.78789248151247</v>
      </c>
      <c r="AO145" s="33">
        <f>IF($A145=AO$83, 0, distance(VLOOKUP($A145,Cuision!$G:$P,9,FALSE),VLOOKUP($A145,Cuision!$G:$P,10,FALSE),VLOOKUP(AO$83,Cuision!$G:$P,9,FALSE),VLOOKUP(AO$83,Cuision!$G:$P,10,FALSE)))</f>
        <v>2137.3495652072015</v>
      </c>
      <c r="AP145" s="33">
        <f>IF($A145=AP$83, 0, distance(VLOOKUP($A145,Cuision!$G:$P,9,FALSE),VLOOKUP($A145,Cuision!$G:$P,10,FALSE),VLOOKUP(AP$83,Cuision!$G:$P,9,FALSE),VLOOKUP(AP$83,Cuision!$G:$P,10,FALSE)))</f>
        <v>2696.8145428353696</v>
      </c>
      <c r="AQ145" s="33">
        <f>IF($A145=AQ$83, 0, distance(VLOOKUP($A145,Cuision!$G:$P,9,FALSE),VLOOKUP($A145,Cuision!$G:$P,10,FALSE),VLOOKUP(AQ$83,Cuision!$G:$P,9,FALSE),VLOOKUP(AQ$83,Cuision!$G:$P,10,FALSE)))</f>
        <v>5785.7782982853114</v>
      </c>
      <c r="AR145" s="33">
        <f>IF($A145=AR$83, 0, distance(VLOOKUP($A145,Cuision!$G:$P,9,FALSE),VLOOKUP($A145,Cuision!$G:$P,10,FALSE),VLOOKUP(AR$83,Cuision!$G:$P,9,FALSE),VLOOKUP(AR$83,Cuision!$G:$P,10,FALSE)))</f>
        <v>1553.833295887762</v>
      </c>
      <c r="AS145" s="33">
        <f>IF($A145=AS$83, 0, distance(VLOOKUP($A145,Cuision!$G:$P,9,FALSE),VLOOKUP($A145,Cuision!$G:$P,10,FALSE),VLOOKUP(AS$83,Cuision!$G:$P,9,FALSE),VLOOKUP(AS$83,Cuision!$G:$P,10,FALSE)))</f>
        <v>1477.0027082353272</v>
      </c>
      <c r="AT145" s="33">
        <f>IF($A145=AT$83, 0, distance(VLOOKUP($A145,Cuision!$G:$P,9,FALSE),VLOOKUP($A145,Cuision!$G:$P,10,FALSE),VLOOKUP(AT$83,Cuision!$G:$P,9,FALSE),VLOOKUP(AT$83,Cuision!$G:$P,10,FALSE)))</f>
        <v>4646.5684477915047</v>
      </c>
      <c r="AU145" s="33">
        <f>IF($A145=AU$83, 0, distance(VLOOKUP($A145,Cuision!$G:$P,9,FALSE),VLOOKUP($A145,Cuision!$G:$P,10,FALSE),VLOOKUP(AU$83,Cuision!$G:$P,9,FALSE),VLOOKUP(AU$83,Cuision!$G:$P,10,FALSE)))</f>
        <v>4104.2308828178066</v>
      </c>
      <c r="AV145" s="33">
        <f>IF($A145=AV$83, 0, distance(VLOOKUP($A145,Cuision!$G:$P,9,FALSE),VLOOKUP($A145,Cuision!$G:$P,10,FALSE),VLOOKUP(AV$83,Cuision!$G:$P,9,FALSE),VLOOKUP(AV$83,Cuision!$G:$P,10,FALSE)))</f>
        <v>1444.5219834694026</v>
      </c>
      <c r="AW145" s="33">
        <f>IF($A145=AW$83, 0, distance(VLOOKUP($A145,Cuision!$G:$P,9,FALSE),VLOOKUP($A145,Cuision!$G:$P,10,FALSE),VLOOKUP(AW$83,Cuision!$G:$P,9,FALSE),VLOOKUP(AW$83,Cuision!$G:$P,10,FALSE)))</f>
        <v>4229.7393614538587</v>
      </c>
      <c r="AX145" s="33">
        <f>IF($A145=AX$83, 0, distance(VLOOKUP($A145,Cuision!$G:$P,9,FALSE),VLOOKUP($A145,Cuision!$G:$P,10,FALSE),VLOOKUP(AX$83,Cuision!$G:$P,9,FALSE),VLOOKUP(AX$83,Cuision!$G:$P,10,FALSE)))</f>
        <v>6819.2732245562775</v>
      </c>
      <c r="AY145" s="33">
        <f>IF($A145=AY$83, 0, distance(VLOOKUP($A145,Cuision!$G:$P,9,FALSE),VLOOKUP($A145,Cuision!$G:$P,10,FALSE),VLOOKUP(AY$83,Cuision!$G:$P,9,FALSE),VLOOKUP(AY$83,Cuision!$G:$P,10,FALSE)))</f>
        <v>-1</v>
      </c>
      <c r="AZ145" s="33">
        <f>IF($A145=AZ$83, 0, distance(VLOOKUP($A145,Cuision!$G:$P,9,FALSE),VLOOKUP($A145,Cuision!$G:$P,10,FALSE),VLOOKUP(AZ$83,Cuision!$G:$P,9,FALSE),VLOOKUP(AZ$83,Cuision!$G:$P,10,FALSE)))</f>
        <v>5049.2179627603173</v>
      </c>
      <c r="BA145" s="33">
        <f>IF($A145=BA$83, 0, distance(VLOOKUP($A145,Cuision!$G:$P,9,FALSE),VLOOKUP($A145,Cuision!$G:$P,10,FALSE),VLOOKUP(BA$83,Cuision!$G:$P,9,FALSE),VLOOKUP(BA$83,Cuision!$G:$P,10,FALSE)))</f>
        <v>1734.2261659379321</v>
      </c>
      <c r="BB145" s="33">
        <f>IF($A145=BB$83, 0, distance(VLOOKUP($A145,Cuision!$G:$P,9,FALSE),VLOOKUP($A145,Cuision!$G:$P,10,FALSE),VLOOKUP(BB$83,Cuision!$G:$P,9,FALSE),VLOOKUP(BB$83,Cuision!$G:$P,10,FALSE)))</f>
        <v>6660.8597082310844</v>
      </c>
      <c r="BC145" s="33">
        <f>IF($A145=BC$83, 0, distance(VLOOKUP($A145,Cuision!$G:$P,9,FALSE),VLOOKUP($A145,Cuision!$G:$P,10,FALSE),VLOOKUP(BC$83,Cuision!$G:$P,9,FALSE),VLOOKUP(BC$83,Cuision!$G:$P,10,FALSE)))</f>
        <v>1843.6098621288322</v>
      </c>
      <c r="BD145" s="33">
        <f>IF($A145=BD$83, 0, distance(VLOOKUP($A145,Cuision!$G:$P,9,FALSE),VLOOKUP($A145,Cuision!$G:$P,10,FALSE),VLOOKUP(BD$83,Cuision!$G:$P,9,FALSE),VLOOKUP(BD$83,Cuision!$G:$P,10,FALSE)))</f>
        <v>2878.9003442033577</v>
      </c>
      <c r="BE145" s="33">
        <f>IF($A145=BE$83, 0, distance(VLOOKUP($A145,Cuision!$G:$P,9,FALSE),VLOOKUP($A145,Cuision!$G:$P,10,FALSE),VLOOKUP(BE$83,Cuision!$G:$P,9,FALSE),VLOOKUP(BE$83,Cuision!$G:$P,10,FALSE)))</f>
        <v>2577.6561791321515</v>
      </c>
      <c r="BF145" s="33">
        <f>IF($A145=BF$83, 0, distance(VLOOKUP($A145,Cuision!$G:$P,9,FALSE),VLOOKUP($A145,Cuision!$G:$P,10,FALSE),VLOOKUP(BF$83,Cuision!$G:$P,9,FALSE),VLOOKUP(BF$83,Cuision!$G:$P,10,FALSE)))</f>
        <v>2267.7289462888139</v>
      </c>
      <c r="BG145" s="33">
        <f>IF($A145=BG$83, 0, distance(VLOOKUP($A145,Cuision!$G:$P,9,FALSE),VLOOKUP($A145,Cuision!$G:$P,10,FALSE),VLOOKUP(BG$83,Cuision!$G:$P,9,FALSE),VLOOKUP(BG$83,Cuision!$G:$P,10,FALSE)))</f>
        <v>1530.9795641738312</v>
      </c>
      <c r="BH145" s="33">
        <f>IF($A145=BH$83, 0, distance(VLOOKUP($A145,Cuision!$G:$P,9,FALSE),VLOOKUP($A145,Cuision!$G:$P,10,FALSE),VLOOKUP(BH$83,Cuision!$G:$P,9,FALSE),VLOOKUP(BH$83,Cuision!$G:$P,10,FALSE)))</f>
        <v>7855.7149884328819</v>
      </c>
      <c r="BI145" s="33">
        <f>IF($A145=BI$83, 0, distance(VLOOKUP($A145,Cuision!$G:$P,9,FALSE),VLOOKUP($A145,Cuision!$G:$P,10,FALSE),VLOOKUP(BI$83,Cuision!$G:$P,9,FALSE),VLOOKUP(BI$83,Cuision!$G:$P,10,FALSE)))</f>
        <v>715.06377547302293</v>
      </c>
      <c r="BJ145" s="33">
        <f>IF($A145=BJ$83, 0, distance(VLOOKUP($A145,Cuision!$G:$P,9,FALSE),VLOOKUP($A145,Cuision!$G:$P,10,FALSE),VLOOKUP(BJ$83,Cuision!$G:$P,9,FALSE),VLOOKUP(BJ$83,Cuision!$G:$P,10,FALSE)))</f>
        <v>2426.6873708377721</v>
      </c>
      <c r="BK145" s="33">
        <f>IF($A145=BK$83, 0, distance(VLOOKUP($A145,Cuision!$G:$P,9,FALSE),VLOOKUP($A145,Cuision!$G:$P,10,FALSE),VLOOKUP(BK$83,Cuision!$G:$P,9,FALSE),VLOOKUP(BK$83,Cuision!$G:$P,10,FALSE)))</f>
        <v>0</v>
      </c>
      <c r="BL145" s="33">
        <f>IF($A145=BL$83, 0, distance(VLOOKUP($A145,Cuision!$G:$P,9,FALSE),VLOOKUP($A145,Cuision!$G:$P,10,FALSE),VLOOKUP(BL$83,Cuision!$G:$P,9,FALSE),VLOOKUP(BL$83,Cuision!$G:$P,10,FALSE)))</f>
        <v>-1</v>
      </c>
      <c r="BM145" s="33">
        <f>IF($A145=BM$83, 0, distance(VLOOKUP($A145,Cuision!$G:$P,9,FALSE),VLOOKUP($A145,Cuision!$G:$P,10,FALSE),VLOOKUP(BM$83,Cuision!$G:$P,9,FALSE),VLOOKUP(BM$83,Cuision!$G:$P,10,FALSE)))</f>
        <v>-1</v>
      </c>
      <c r="BN145" s="33">
        <f>IF($A145=BN$83, 0, distance(VLOOKUP($A145,Cuision!$G:$P,9,FALSE),VLOOKUP($A145,Cuision!$G:$P,10,FALSE),VLOOKUP(BN$83,Cuision!$G:$P,9,FALSE),VLOOKUP(BN$83,Cuision!$G:$P,10,FALSE)))</f>
        <v>1553.833295887762</v>
      </c>
      <c r="BO145" s="33">
        <f>IF($A145=BO$83, 0, distance(VLOOKUP($A145,Cuision!$G:$P,9,FALSE),VLOOKUP($A145,Cuision!$G:$P,10,FALSE),VLOOKUP(BO$83,Cuision!$G:$P,9,FALSE),VLOOKUP(BO$83,Cuision!$G:$P,10,FALSE)))</f>
        <v>5236.6478244579721</v>
      </c>
      <c r="BP145" s="33">
        <f>IF($A145=BP$83, 0, distance(VLOOKUP($A145,Cuision!$G:$P,9,FALSE),VLOOKUP($A145,Cuision!$G:$P,10,FALSE),VLOOKUP(BP$83,Cuision!$G:$P,9,FALSE),VLOOKUP(BP$83,Cuision!$G:$P,10,FALSE)))</f>
        <v>1013.348654955406</v>
      </c>
      <c r="BQ145" s="33">
        <f>IF($A145=BQ$83, 0, distance(VLOOKUP($A145,Cuision!$G:$P,9,FALSE),VLOOKUP($A145,Cuision!$G:$P,10,FALSE),VLOOKUP(BQ$83,Cuision!$G:$P,9,FALSE),VLOOKUP(BQ$83,Cuision!$G:$P,10,FALSE)))</f>
        <v>-1</v>
      </c>
      <c r="BR145" s="33">
        <f>IF($A145=BR$83, 0, distance(VLOOKUP($A145,Cuision!$G:$P,9,FALSE),VLOOKUP($A145,Cuision!$G:$P,10,FALSE),VLOOKUP(BR$83,Cuision!$G:$P,9,FALSE),VLOOKUP(BR$83,Cuision!$G:$P,10,FALSE)))</f>
        <v>4860.2850342260354</v>
      </c>
      <c r="BS145" s="33">
        <f>IF($A145=BS$83, 0, distance(VLOOKUP($A145,Cuision!$G:$P,9,FALSE),VLOOKUP($A145,Cuision!$G:$P,10,FALSE),VLOOKUP(BS$83,Cuision!$G:$P,9,FALSE),VLOOKUP(BS$83,Cuision!$G:$P,10,FALSE)))</f>
        <v>3599.3873254582618</v>
      </c>
      <c r="BT145" s="33">
        <f>IF($A145=BT$83, 0, distance(VLOOKUP($A145,Cuision!$G:$P,9,FALSE),VLOOKUP($A145,Cuision!$G:$P,10,FALSE),VLOOKUP(BT$83,Cuision!$G:$P,9,FALSE),VLOOKUP(BT$83,Cuision!$G:$P,10,FALSE)))</f>
        <v>2137.3495652072015</v>
      </c>
      <c r="BU145" s="33">
        <f>IF($A145=BU$83, 0, distance(VLOOKUP($A145,Cuision!$G:$P,9,FALSE),VLOOKUP($A145,Cuision!$G:$P,10,FALSE),VLOOKUP(BU$83,Cuision!$G:$P,9,FALSE),VLOOKUP(BU$83,Cuision!$G:$P,10,FALSE)))</f>
        <v>4389.5312151109119</v>
      </c>
      <c r="BV145" s="33">
        <f>IF($A145=BV$83, 0, distance(VLOOKUP($A145,Cuision!$G:$P,9,FALSE),VLOOKUP($A145,Cuision!$G:$P,10,FALSE),VLOOKUP(BV$83,Cuision!$G:$P,9,FALSE),VLOOKUP(BV$83,Cuision!$G:$P,10,FALSE)))</f>
        <v>1115.1835908575254</v>
      </c>
      <c r="BW145" s="33">
        <f>IF($A145=BW$83, 0, distance(VLOOKUP($A145,Cuision!$G:$P,9,FALSE),VLOOKUP($A145,Cuision!$G:$P,10,FALSE),VLOOKUP(BW$83,Cuision!$G:$P,9,FALSE),VLOOKUP(BW$83,Cuision!$G:$P,10,FALSE)))</f>
        <v>469.43702941042545</v>
      </c>
      <c r="BX145" s="33">
        <f>IF($A145=BX$83, 0, distance(VLOOKUP($A145,Cuision!$G:$P,9,FALSE),VLOOKUP($A145,Cuision!$G:$P,10,FALSE),VLOOKUP(BX$83,Cuision!$G:$P,9,FALSE),VLOOKUP(BX$83,Cuision!$G:$P,10,FALSE)))</f>
        <v>1735.1666464221014</v>
      </c>
      <c r="BY145" s="33">
        <f>IF($A145=BY$83, 0, distance(VLOOKUP($A145,Cuision!$G:$P,9,FALSE),VLOOKUP($A145,Cuision!$G:$P,10,FALSE),VLOOKUP(BY$83,Cuision!$G:$P,9,FALSE),VLOOKUP(BY$83,Cuision!$G:$P,10,FALSE)))</f>
        <v>-1</v>
      </c>
      <c r="BZ145" s="33">
        <f>IF($A145=BZ$83, 0, distance(VLOOKUP($A145,Cuision!$G:$P,9,FALSE),VLOOKUP($A145,Cuision!$G:$P,10,FALSE),VLOOKUP(BZ$83,Cuision!$G:$P,9,FALSE),VLOOKUP(BZ$83,Cuision!$G:$P,10,FALSE)))</f>
        <v>-1</v>
      </c>
      <c r="CA145" s="33">
        <f>IF($A145=CA$83, 0, distance(VLOOKUP($A145,Cuision!$G:$P,9,FALSE),VLOOKUP($A145,Cuision!$G:$P,10,FALSE),VLOOKUP(CA$83,Cuision!$G:$P,9,FALSE),VLOOKUP(CA$83,Cuision!$G:$P,10,FALSE)))</f>
        <v>4184.5004820609838</v>
      </c>
    </row>
    <row r="146" spans="1:79" ht="14.25" x14ac:dyDescent="0.2">
      <c r="A146" s="30" t="s">
        <v>116</v>
      </c>
      <c r="B146" s="33">
        <f>IF($A146=B$83, 0, distance(VLOOKUP($A146,Cuision!$G:$P,9,FALSE),VLOOKUP($A146,Cuision!$G:$P,10,FALSE),VLOOKUP(B$83,Cuision!$G:$P,9,FALSE),VLOOKUP(B$83,Cuision!$G:$P,10,FALSE)))</f>
        <v>-1</v>
      </c>
      <c r="C146" s="33">
        <f>IF($A146=C$83, 0, distance(VLOOKUP($A146,Cuision!$G:$P,9,FALSE),VLOOKUP($A146,Cuision!$G:$P,10,FALSE),VLOOKUP(C$83,Cuision!$G:$P,9,FALSE),VLOOKUP(C$83,Cuision!$G:$P,10,FALSE)))</f>
        <v>-1</v>
      </c>
      <c r="D146" s="33">
        <f>IF($A146=D$83, 0, distance(VLOOKUP($A146,Cuision!$G:$P,9,FALSE),VLOOKUP($A146,Cuision!$G:$P,10,FALSE),VLOOKUP(D$83,Cuision!$G:$P,9,FALSE),VLOOKUP(D$83,Cuision!$G:$P,10,FALSE)))</f>
        <v>-1</v>
      </c>
      <c r="E146" s="33">
        <f>IF($A146=E$83, 0, distance(VLOOKUP($A146,Cuision!$G:$P,9,FALSE),VLOOKUP($A146,Cuision!$G:$P,10,FALSE),VLOOKUP(E$83,Cuision!$G:$P,9,FALSE),VLOOKUP(E$83,Cuision!$G:$P,10,FALSE)))</f>
        <v>-1</v>
      </c>
      <c r="F146" s="33">
        <f>IF($A146=F$83, 0, distance(VLOOKUP($A146,Cuision!$G:$P,9,FALSE),VLOOKUP($A146,Cuision!$G:$P,10,FALSE),VLOOKUP(F$83,Cuision!$G:$P,9,FALSE),VLOOKUP(F$83,Cuision!$G:$P,10,FALSE)))</f>
        <v>-1</v>
      </c>
      <c r="G146" s="33">
        <f>IF($A146=G$83, 0, distance(VLOOKUP($A146,Cuision!$G:$P,9,FALSE),VLOOKUP($A146,Cuision!$G:$P,10,FALSE),VLOOKUP(G$83,Cuision!$G:$P,9,FALSE),VLOOKUP(G$83,Cuision!$G:$P,10,FALSE)))</f>
        <v>-1</v>
      </c>
      <c r="H146" s="33">
        <f>IF($A146=H$83, 0, distance(VLOOKUP($A146,Cuision!$G:$P,9,FALSE),VLOOKUP($A146,Cuision!$G:$P,10,FALSE),VLOOKUP(H$83,Cuision!$G:$P,9,FALSE),VLOOKUP(H$83,Cuision!$G:$P,10,FALSE)))</f>
        <v>-1</v>
      </c>
      <c r="I146" s="33">
        <f>IF($A146=I$83, 0, distance(VLOOKUP($A146,Cuision!$G:$P,9,FALSE),VLOOKUP($A146,Cuision!$G:$P,10,FALSE),VLOOKUP(I$83,Cuision!$G:$P,9,FALSE),VLOOKUP(I$83,Cuision!$G:$P,10,FALSE)))</f>
        <v>-1</v>
      </c>
      <c r="J146" s="33">
        <f>IF($A146=J$83, 0, distance(VLOOKUP($A146,Cuision!$G:$P,9,FALSE),VLOOKUP($A146,Cuision!$G:$P,10,FALSE),VLOOKUP(J$83,Cuision!$G:$P,9,FALSE),VLOOKUP(J$83,Cuision!$G:$P,10,FALSE)))</f>
        <v>-1</v>
      </c>
      <c r="K146" s="33">
        <f>IF($A146=K$83, 0, distance(VLOOKUP($A146,Cuision!$G:$P,9,FALSE),VLOOKUP($A146,Cuision!$G:$P,10,FALSE),VLOOKUP(K$83,Cuision!$G:$P,9,FALSE),VLOOKUP(K$83,Cuision!$G:$P,10,FALSE)))</f>
        <v>-1</v>
      </c>
      <c r="L146" s="33">
        <f>IF($A146=L$83, 0, distance(VLOOKUP($A146,Cuision!$G:$P,9,FALSE),VLOOKUP($A146,Cuision!$G:$P,10,FALSE),VLOOKUP(L$83,Cuision!$G:$P,9,FALSE),VLOOKUP(L$83,Cuision!$G:$P,10,FALSE)))</f>
        <v>-1</v>
      </c>
      <c r="M146" s="33">
        <f>IF($A146=M$83, 0, distance(VLOOKUP($A146,Cuision!$G:$P,9,FALSE),VLOOKUP($A146,Cuision!$G:$P,10,FALSE),VLOOKUP(M$83,Cuision!$G:$P,9,FALSE),VLOOKUP(M$83,Cuision!$G:$P,10,FALSE)))</f>
        <v>-1</v>
      </c>
      <c r="N146" s="33">
        <f>IF($A146=N$83, 0, distance(VLOOKUP($A146,Cuision!$G:$P,9,FALSE),VLOOKUP($A146,Cuision!$G:$P,10,FALSE),VLOOKUP(N$83,Cuision!$G:$P,9,FALSE),VLOOKUP(N$83,Cuision!$G:$P,10,FALSE)))</f>
        <v>-1</v>
      </c>
      <c r="O146" s="33">
        <f>IF($A146=O$83, 0, distance(VLOOKUP($A146,Cuision!$G:$P,9,FALSE),VLOOKUP($A146,Cuision!$G:$P,10,FALSE),VLOOKUP(O$83,Cuision!$G:$P,9,FALSE),VLOOKUP(O$83,Cuision!$G:$P,10,FALSE)))</f>
        <v>-1</v>
      </c>
      <c r="P146" s="33">
        <f>IF($A146=P$83, 0, distance(VLOOKUP($A146,Cuision!$G:$P,9,FALSE),VLOOKUP($A146,Cuision!$G:$P,10,FALSE),VLOOKUP(P$83,Cuision!$G:$P,9,FALSE),VLOOKUP(P$83,Cuision!$G:$P,10,FALSE)))</f>
        <v>-1</v>
      </c>
      <c r="Q146" s="33">
        <f>IF($A146=Q$83, 0, distance(VLOOKUP($A146,Cuision!$G:$P,9,FALSE),VLOOKUP($A146,Cuision!$G:$P,10,FALSE),VLOOKUP(Q$83,Cuision!$G:$P,9,FALSE),VLOOKUP(Q$83,Cuision!$G:$P,10,FALSE)))</f>
        <v>-1</v>
      </c>
      <c r="R146" s="33">
        <f>IF($A146=R$83, 0, distance(VLOOKUP($A146,Cuision!$G:$P,9,FALSE),VLOOKUP($A146,Cuision!$G:$P,10,FALSE),VLOOKUP(R$83,Cuision!$G:$P,9,FALSE),VLOOKUP(R$83,Cuision!$G:$P,10,FALSE)))</f>
        <v>-1</v>
      </c>
      <c r="S146" s="33">
        <f>IF($A146=S$83, 0, distance(VLOOKUP($A146,Cuision!$G:$P,9,FALSE),VLOOKUP($A146,Cuision!$G:$P,10,FALSE),VLOOKUP(S$83,Cuision!$G:$P,9,FALSE),VLOOKUP(S$83,Cuision!$G:$P,10,FALSE)))</f>
        <v>-1</v>
      </c>
      <c r="T146" s="33">
        <f>IF($A146=T$83, 0, distance(VLOOKUP($A146,Cuision!$G:$P,9,FALSE),VLOOKUP($A146,Cuision!$G:$P,10,FALSE),VLOOKUP(T$83,Cuision!$G:$P,9,FALSE),VLOOKUP(T$83,Cuision!$G:$P,10,FALSE)))</f>
        <v>-1</v>
      </c>
      <c r="U146" s="33">
        <f>IF($A146=U$83, 0, distance(VLOOKUP($A146,Cuision!$G:$P,9,FALSE),VLOOKUP($A146,Cuision!$G:$P,10,FALSE),VLOOKUP(U$83,Cuision!$G:$P,9,FALSE),VLOOKUP(U$83,Cuision!$G:$P,10,FALSE)))</f>
        <v>-1</v>
      </c>
      <c r="V146" s="33">
        <f>IF($A146=V$83, 0, distance(VLOOKUP($A146,Cuision!$G:$P,9,FALSE),VLOOKUP($A146,Cuision!$G:$P,10,FALSE),VLOOKUP(V$83,Cuision!$G:$P,9,FALSE),VLOOKUP(V$83,Cuision!$G:$P,10,FALSE)))</f>
        <v>-1</v>
      </c>
      <c r="W146" s="33">
        <f>IF($A146=W$83, 0, distance(VLOOKUP($A146,Cuision!$G:$P,9,FALSE),VLOOKUP($A146,Cuision!$G:$P,10,FALSE),VLOOKUP(W$83,Cuision!$G:$P,9,FALSE),VLOOKUP(W$83,Cuision!$G:$P,10,FALSE)))</f>
        <v>-1</v>
      </c>
      <c r="X146" s="33">
        <f>IF($A146=X$83, 0, distance(VLOOKUP($A146,Cuision!$G:$P,9,FALSE),VLOOKUP($A146,Cuision!$G:$P,10,FALSE),VLOOKUP(X$83,Cuision!$G:$P,9,FALSE),VLOOKUP(X$83,Cuision!$G:$P,10,FALSE)))</f>
        <v>-1</v>
      </c>
      <c r="Y146" s="33">
        <f>IF($A146=Y$83, 0, distance(VLOOKUP($A146,Cuision!$G:$P,9,FALSE),VLOOKUP($A146,Cuision!$G:$P,10,FALSE),VLOOKUP(Y$83,Cuision!$G:$P,9,FALSE),VLOOKUP(Y$83,Cuision!$G:$P,10,FALSE)))</f>
        <v>-1</v>
      </c>
      <c r="Z146" s="33">
        <f>IF($A146=Z$83, 0, distance(VLOOKUP($A146,Cuision!$G:$P,9,FALSE),VLOOKUP($A146,Cuision!$G:$P,10,FALSE),VLOOKUP(Z$83,Cuision!$G:$P,9,FALSE),VLOOKUP(Z$83,Cuision!$G:$P,10,FALSE)))</f>
        <v>-1</v>
      </c>
      <c r="AA146" s="33">
        <f>IF($A146=AA$83, 0, distance(VLOOKUP($A146,Cuision!$G:$P,9,FALSE),VLOOKUP($A146,Cuision!$G:$P,10,FALSE),VLOOKUP(AA$83,Cuision!$G:$P,9,FALSE),VLOOKUP(AA$83,Cuision!$G:$P,10,FALSE)))</f>
        <v>-1</v>
      </c>
      <c r="AB146" s="33">
        <f>IF($A146=AB$83, 0, distance(VLOOKUP($A146,Cuision!$G:$P,9,FALSE),VLOOKUP($A146,Cuision!$G:$P,10,FALSE),VLOOKUP(AB$83,Cuision!$G:$P,9,FALSE),VLOOKUP(AB$83,Cuision!$G:$P,10,FALSE)))</f>
        <v>-1</v>
      </c>
      <c r="AC146" s="33">
        <f>IF($A146=AC$83, 0, distance(VLOOKUP($A146,Cuision!$G:$P,9,FALSE),VLOOKUP($A146,Cuision!$G:$P,10,FALSE),VLOOKUP(AC$83,Cuision!$G:$P,9,FALSE),VLOOKUP(AC$83,Cuision!$G:$P,10,FALSE)))</f>
        <v>-1</v>
      </c>
      <c r="AD146" s="33">
        <f>IF($A146=AD$83, 0, distance(VLOOKUP($A146,Cuision!$G:$P,9,FALSE),VLOOKUP($A146,Cuision!$G:$P,10,FALSE),VLOOKUP(AD$83,Cuision!$G:$P,9,FALSE),VLOOKUP(AD$83,Cuision!$G:$P,10,FALSE)))</f>
        <v>-1</v>
      </c>
      <c r="AE146" s="33">
        <f>IF($A146=AE$83, 0, distance(VLOOKUP($A146,Cuision!$G:$P,9,FALSE),VLOOKUP($A146,Cuision!$G:$P,10,FALSE),VLOOKUP(AE$83,Cuision!$G:$P,9,FALSE),VLOOKUP(AE$83,Cuision!$G:$P,10,FALSE)))</f>
        <v>-1</v>
      </c>
      <c r="AF146" s="33">
        <f>IF($A146=AF$83, 0, distance(VLOOKUP($A146,Cuision!$G:$P,9,FALSE),VLOOKUP($A146,Cuision!$G:$P,10,FALSE),VLOOKUP(AF$83,Cuision!$G:$P,9,FALSE),VLOOKUP(AF$83,Cuision!$G:$P,10,FALSE)))</f>
        <v>-1</v>
      </c>
      <c r="AG146" s="33">
        <f>IF($A146=AG$83, 0, distance(VLOOKUP($A146,Cuision!$G:$P,9,FALSE),VLOOKUP($A146,Cuision!$G:$P,10,FALSE),VLOOKUP(AG$83,Cuision!$G:$P,9,FALSE),VLOOKUP(AG$83,Cuision!$G:$P,10,FALSE)))</f>
        <v>-1</v>
      </c>
      <c r="AH146" s="33">
        <f>IF($A146=AH$83, 0, distance(VLOOKUP($A146,Cuision!$G:$P,9,FALSE),VLOOKUP($A146,Cuision!$G:$P,10,FALSE),VLOOKUP(AH$83,Cuision!$G:$P,9,FALSE),VLOOKUP(AH$83,Cuision!$G:$P,10,FALSE)))</f>
        <v>-1</v>
      </c>
      <c r="AI146" s="33">
        <f>IF($A146=AI$83, 0, distance(VLOOKUP($A146,Cuision!$G:$P,9,FALSE),VLOOKUP($A146,Cuision!$G:$P,10,FALSE),VLOOKUP(AI$83,Cuision!$G:$P,9,FALSE),VLOOKUP(AI$83,Cuision!$G:$P,10,FALSE)))</f>
        <v>-1</v>
      </c>
      <c r="AJ146" s="33">
        <f>IF($A146=AJ$83, 0, distance(VLOOKUP($A146,Cuision!$G:$P,9,FALSE),VLOOKUP($A146,Cuision!$G:$P,10,FALSE),VLOOKUP(AJ$83,Cuision!$G:$P,9,FALSE),VLOOKUP(AJ$83,Cuision!$G:$P,10,FALSE)))</f>
        <v>-1</v>
      </c>
      <c r="AK146" s="33">
        <f>IF($A146=AK$83, 0, distance(VLOOKUP($A146,Cuision!$G:$P,9,FALSE),VLOOKUP($A146,Cuision!$G:$P,10,FALSE),VLOOKUP(AK$83,Cuision!$G:$P,9,FALSE),VLOOKUP(AK$83,Cuision!$G:$P,10,FALSE)))</f>
        <v>-1</v>
      </c>
      <c r="AL146" s="33">
        <f>IF($A146=AL$83, 0, distance(VLOOKUP($A146,Cuision!$G:$P,9,FALSE),VLOOKUP($A146,Cuision!$G:$P,10,FALSE),VLOOKUP(AL$83,Cuision!$G:$P,9,FALSE),VLOOKUP(AL$83,Cuision!$G:$P,10,FALSE)))</f>
        <v>-1</v>
      </c>
      <c r="AM146" s="33">
        <f>IF($A146=AM$83, 0, distance(VLOOKUP($A146,Cuision!$G:$P,9,FALSE),VLOOKUP($A146,Cuision!$G:$P,10,FALSE),VLOOKUP(AM$83,Cuision!$G:$P,9,FALSE),VLOOKUP(AM$83,Cuision!$G:$P,10,FALSE)))</f>
        <v>-1</v>
      </c>
      <c r="AN146" s="33">
        <f>IF($A146=AN$83, 0, distance(VLOOKUP($A146,Cuision!$G:$P,9,FALSE),VLOOKUP($A146,Cuision!$G:$P,10,FALSE),VLOOKUP(AN$83,Cuision!$G:$P,9,FALSE),VLOOKUP(AN$83,Cuision!$G:$P,10,FALSE)))</f>
        <v>-1</v>
      </c>
      <c r="AO146" s="33">
        <f>IF($A146=AO$83, 0, distance(VLOOKUP($A146,Cuision!$G:$P,9,FALSE),VLOOKUP($A146,Cuision!$G:$P,10,FALSE),VLOOKUP(AO$83,Cuision!$G:$P,9,FALSE),VLOOKUP(AO$83,Cuision!$G:$P,10,FALSE)))</f>
        <v>-1</v>
      </c>
      <c r="AP146" s="33">
        <f>IF($A146=AP$83, 0, distance(VLOOKUP($A146,Cuision!$G:$P,9,FALSE),VLOOKUP($A146,Cuision!$G:$P,10,FALSE),VLOOKUP(AP$83,Cuision!$G:$P,9,FALSE),VLOOKUP(AP$83,Cuision!$G:$P,10,FALSE)))</f>
        <v>-1</v>
      </c>
      <c r="AQ146" s="33">
        <f>IF($A146=AQ$83, 0, distance(VLOOKUP($A146,Cuision!$G:$P,9,FALSE),VLOOKUP($A146,Cuision!$G:$P,10,FALSE),VLOOKUP(AQ$83,Cuision!$G:$P,9,FALSE),VLOOKUP(AQ$83,Cuision!$G:$P,10,FALSE)))</f>
        <v>-1</v>
      </c>
      <c r="AR146" s="33">
        <f>IF($A146=AR$83, 0, distance(VLOOKUP($A146,Cuision!$G:$P,9,FALSE),VLOOKUP($A146,Cuision!$G:$P,10,FALSE),VLOOKUP(AR$83,Cuision!$G:$P,9,FALSE),VLOOKUP(AR$83,Cuision!$G:$P,10,FALSE)))</f>
        <v>-1</v>
      </c>
      <c r="AS146" s="33">
        <f>IF($A146=AS$83, 0, distance(VLOOKUP($A146,Cuision!$G:$P,9,FALSE),VLOOKUP($A146,Cuision!$G:$P,10,FALSE),VLOOKUP(AS$83,Cuision!$G:$P,9,FALSE),VLOOKUP(AS$83,Cuision!$G:$P,10,FALSE)))</f>
        <v>-1</v>
      </c>
      <c r="AT146" s="33">
        <f>IF($A146=AT$83, 0, distance(VLOOKUP($A146,Cuision!$G:$P,9,FALSE),VLOOKUP($A146,Cuision!$G:$P,10,FALSE),VLOOKUP(AT$83,Cuision!$G:$P,9,FALSE),VLOOKUP(AT$83,Cuision!$G:$P,10,FALSE)))</f>
        <v>-1</v>
      </c>
      <c r="AU146" s="33">
        <f>IF($A146=AU$83, 0, distance(VLOOKUP($A146,Cuision!$G:$P,9,FALSE),VLOOKUP($A146,Cuision!$G:$P,10,FALSE),VLOOKUP(AU$83,Cuision!$G:$P,9,FALSE),VLOOKUP(AU$83,Cuision!$G:$P,10,FALSE)))</f>
        <v>-1</v>
      </c>
      <c r="AV146" s="33">
        <f>IF($A146=AV$83, 0, distance(VLOOKUP($A146,Cuision!$G:$P,9,FALSE),VLOOKUP($A146,Cuision!$G:$P,10,FALSE),VLOOKUP(AV$83,Cuision!$G:$P,9,FALSE),VLOOKUP(AV$83,Cuision!$G:$P,10,FALSE)))</f>
        <v>-1</v>
      </c>
      <c r="AW146" s="33">
        <f>IF($A146=AW$83, 0, distance(VLOOKUP($A146,Cuision!$G:$P,9,FALSE),VLOOKUP($A146,Cuision!$G:$P,10,FALSE),VLOOKUP(AW$83,Cuision!$G:$P,9,FALSE),VLOOKUP(AW$83,Cuision!$G:$P,10,FALSE)))</f>
        <v>-1</v>
      </c>
      <c r="AX146" s="33">
        <f>IF($A146=AX$83, 0, distance(VLOOKUP($A146,Cuision!$G:$P,9,FALSE),VLOOKUP($A146,Cuision!$G:$P,10,FALSE),VLOOKUP(AX$83,Cuision!$G:$P,9,FALSE),VLOOKUP(AX$83,Cuision!$G:$P,10,FALSE)))</f>
        <v>-1</v>
      </c>
      <c r="AY146" s="33">
        <f>IF($A146=AY$83, 0, distance(VLOOKUP($A146,Cuision!$G:$P,9,FALSE),VLOOKUP($A146,Cuision!$G:$P,10,FALSE),VLOOKUP(AY$83,Cuision!$G:$P,9,FALSE),VLOOKUP(AY$83,Cuision!$G:$P,10,FALSE)))</f>
        <v>-1</v>
      </c>
      <c r="AZ146" s="33">
        <f>IF($A146=AZ$83, 0, distance(VLOOKUP($A146,Cuision!$G:$P,9,FALSE),VLOOKUP($A146,Cuision!$G:$P,10,FALSE),VLOOKUP(AZ$83,Cuision!$G:$P,9,FALSE),VLOOKUP(AZ$83,Cuision!$G:$P,10,FALSE)))</f>
        <v>-1</v>
      </c>
      <c r="BA146" s="33">
        <f>IF($A146=BA$83, 0, distance(VLOOKUP($A146,Cuision!$G:$P,9,FALSE),VLOOKUP($A146,Cuision!$G:$P,10,FALSE),VLOOKUP(BA$83,Cuision!$G:$P,9,FALSE),VLOOKUP(BA$83,Cuision!$G:$P,10,FALSE)))</f>
        <v>-1</v>
      </c>
      <c r="BB146" s="33">
        <f>IF($A146=BB$83, 0, distance(VLOOKUP($A146,Cuision!$G:$P,9,FALSE),VLOOKUP($A146,Cuision!$G:$P,10,FALSE),VLOOKUP(BB$83,Cuision!$G:$P,9,FALSE),VLOOKUP(BB$83,Cuision!$G:$P,10,FALSE)))</f>
        <v>-1</v>
      </c>
      <c r="BC146" s="33">
        <f>IF($A146=BC$83, 0, distance(VLOOKUP($A146,Cuision!$G:$P,9,FALSE),VLOOKUP($A146,Cuision!$G:$P,10,FALSE),VLOOKUP(BC$83,Cuision!$G:$P,9,FALSE),VLOOKUP(BC$83,Cuision!$G:$P,10,FALSE)))</f>
        <v>-1</v>
      </c>
      <c r="BD146" s="33">
        <f>IF($A146=BD$83, 0, distance(VLOOKUP($A146,Cuision!$G:$P,9,FALSE),VLOOKUP($A146,Cuision!$G:$P,10,FALSE),VLOOKUP(BD$83,Cuision!$G:$P,9,FALSE),VLOOKUP(BD$83,Cuision!$G:$P,10,FALSE)))</f>
        <v>-1</v>
      </c>
      <c r="BE146" s="33">
        <f>IF($A146=BE$83, 0, distance(VLOOKUP($A146,Cuision!$G:$P,9,FALSE),VLOOKUP($A146,Cuision!$G:$P,10,FALSE),VLOOKUP(BE$83,Cuision!$G:$P,9,FALSE),VLOOKUP(BE$83,Cuision!$G:$P,10,FALSE)))</f>
        <v>-1</v>
      </c>
      <c r="BF146" s="33">
        <f>IF($A146=BF$83, 0, distance(VLOOKUP($A146,Cuision!$G:$P,9,FALSE),VLOOKUP($A146,Cuision!$G:$P,10,FALSE),VLOOKUP(BF$83,Cuision!$G:$P,9,FALSE),VLOOKUP(BF$83,Cuision!$G:$P,10,FALSE)))</f>
        <v>-1</v>
      </c>
      <c r="BG146" s="33">
        <f>IF($A146=BG$83, 0, distance(VLOOKUP($A146,Cuision!$G:$P,9,FALSE),VLOOKUP($A146,Cuision!$G:$P,10,FALSE),VLOOKUP(BG$83,Cuision!$G:$P,9,FALSE),VLOOKUP(BG$83,Cuision!$G:$P,10,FALSE)))</f>
        <v>-1</v>
      </c>
      <c r="BH146" s="33">
        <f>IF($A146=BH$83, 0, distance(VLOOKUP($A146,Cuision!$G:$P,9,FALSE),VLOOKUP($A146,Cuision!$G:$P,10,FALSE),VLOOKUP(BH$83,Cuision!$G:$P,9,FALSE),VLOOKUP(BH$83,Cuision!$G:$P,10,FALSE)))</f>
        <v>-1</v>
      </c>
      <c r="BI146" s="33">
        <f>IF($A146=BI$83, 0, distance(VLOOKUP($A146,Cuision!$G:$P,9,FALSE),VLOOKUP($A146,Cuision!$G:$P,10,FALSE),VLOOKUP(BI$83,Cuision!$G:$P,9,FALSE),VLOOKUP(BI$83,Cuision!$G:$P,10,FALSE)))</f>
        <v>-1</v>
      </c>
      <c r="BJ146" s="33">
        <f>IF($A146=BJ$83, 0, distance(VLOOKUP($A146,Cuision!$G:$P,9,FALSE),VLOOKUP($A146,Cuision!$G:$P,10,FALSE),VLOOKUP(BJ$83,Cuision!$G:$P,9,FALSE),VLOOKUP(BJ$83,Cuision!$G:$P,10,FALSE)))</f>
        <v>-1</v>
      </c>
      <c r="BK146" s="33">
        <f>IF($A146=BK$83, 0, distance(VLOOKUP($A146,Cuision!$G:$P,9,FALSE),VLOOKUP($A146,Cuision!$G:$P,10,FALSE),VLOOKUP(BK$83,Cuision!$G:$P,9,FALSE),VLOOKUP(BK$83,Cuision!$G:$P,10,FALSE)))</f>
        <v>-1</v>
      </c>
      <c r="BL146" s="33">
        <f>IF($A146=BL$83, 0, distance(VLOOKUP($A146,Cuision!$G:$P,9,FALSE),VLOOKUP($A146,Cuision!$G:$P,10,FALSE),VLOOKUP(BL$83,Cuision!$G:$P,9,FALSE),VLOOKUP(BL$83,Cuision!$G:$P,10,FALSE)))</f>
        <v>0</v>
      </c>
      <c r="BM146" s="33">
        <f>IF($A146=BM$83, 0, distance(VLOOKUP($A146,Cuision!$G:$P,9,FALSE),VLOOKUP($A146,Cuision!$G:$P,10,FALSE),VLOOKUP(BM$83,Cuision!$G:$P,9,FALSE),VLOOKUP(BM$83,Cuision!$G:$P,10,FALSE)))</f>
        <v>-1</v>
      </c>
      <c r="BN146" s="33">
        <f>IF($A146=BN$83, 0, distance(VLOOKUP($A146,Cuision!$G:$P,9,FALSE),VLOOKUP($A146,Cuision!$G:$P,10,FALSE),VLOOKUP(BN$83,Cuision!$G:$P,9,FALSE),VLOOKUP(BN$83,Cuision!$G:$P,10,FALSE)))</f>
        <v>-1</v>
      </c>
      <c r="BO146" s="33">
        <f>IF($A146=BO$83, 0, distance(VLOOKUP($A146,Cuision!$G:$P,9,FALSE),VLOOKUP($A146,Cuision!$G:$P,10,FALSE),VLOOKUP(BO$83,Cuision!$G:$P,9,FALSE),VLOOKUP(BO$83,Cuision!$G:$P,10,FALSE)))</f>
        <v>-1</v>
      </c>
      <c r="BP146" s="33">
        <f>IF($A146=BP$83, 0, distance(VLOOKUP($A146,Cuision!$G:$P,9,FALSE),VLOOKUP($A146,Cuision!$G:$P,10,FALSE),VLOOKUP(BP$83,Cuision!$G:$P,9,FALSE),VLOOKUP(BP$83,Cuision!$G:$P,10,FALSE)))</f>
        <v>-1</v>
      </c>
      <c r="BQ146" s="33">
        <f>IF($A146=BQ$83, 0, distance(VLOOKUP($A146,Cuision!$G:$P,9,FALSE),VLOOKUP($A146,Cuision!$G:$P,10,FALSE),VLOOKUP(BQ$83,Cuision!$G:$P,9,FALSE),VLOOKUP(BQ$83,Cuision!$G:$P,10,FALSE)))</f>
        <v>-1</v>
      </c>
      <c r="BR146" s="33">
        <f>IF($A146=BR$83, 0, distance(VLOOKUP($A146,Cuision!$G:$P,9,FALSE),VLOOKUP($A146,Cuision!$G:$P,10,FALSE),VLOOKUP(BR$83,Cuision!$G:$P,9,FALSE),VLOOKUP(BR$83,Cuision!$G:$P,10,FALSE)))</f>
        <v>-1</v>
      </c>
      <c r="BS146" s="33">
        <f>IF($A146=BS$83, 0, distance(VLOOKUP($A146,Cuision!$G:$P,9,FALSE),VLOOKUP($A146,Cuision!$G:$P,10,FALSE),VLOOKUP(BS$83,Cuision!$G:$P,9,FALSE),VLOOKUP(BS$83,Cuision!$G:$P,10,FALSE)))</f>
        <v>-1</v>
      </c>
      <c r="BT146" s="33">
        <f>IF($A146=BT$83, 0, distance(VLOOKUP($A146,Cuision!$G:$P,9,FALSE),VLOOKUP($A146,Cuision!$G:$P,10,FALSE),VLOOKUP(BT$83,Cuision!$G:$P,9,FALSE),VLOOKUP(BT$83,Cuision!$G:$P,10,FALSE)))</f>
        <v>-1</v>
      </c>
      <c r="BU146" s="33">
        <f>IF($A146=BU$83, 0, distance(VLOOKUP($A146,Cuision!$G:$P,9,FALSE),VLOOKUP($A146,Cuision!$G:$P,10,FALSE),VLOOKUP(BU$83,Cuision!$G:$P,9,FALSE),VLOOKUP(BU$83,Cuision!$G:$P,10,FALSE)))</f>
        <v>-1</v>
      </c>
      <c r="BV146" s="33">
        <f>IF($A146=BV$83, 0, distance(VLOOKUP($A146,Cuision!$G:$P,9,FALSE),VLOOKUP($A146,Cuision!$G:$P,10,FALSE),VLOOKUP(BV$83,Cuision!$G:$P,9,FALSE),VLOOKUP(BV$83,Cuision!$G:$P,10,FALSE)))</f>
        <v>-1</v>
      </c>
      <c r="BW146" s="33">
        <f>IF($A146=BW$83, 0, distance(VLOOKUP($A146,Cuision!$G:$P,9,FALSE),VLOOKUP($A146,Cuision!$G:$P,10,FALSE),VLOOKUP(BW$83,Cuision!$G:$P,9,FALSE),VLOOKUP(BW$83,Cuision!$G:$P,10,FALSE)))</f>
        <v>-1</v>
      </c>
      <c r="BX146" s="33">
        <f>IF($A146=BX$83, 0, distance(VLOOKUP($A146,Cuision!$G:$P,9,FALSE),VLOOKUP($A146,Cuision!$G:$P,10,FALSE),VLOOKUP(BX$83,Cuision!$G:$P,9,FALSE),VLOOKUP(BX$83,Cuision!$G:$P,10,FALSE)))</f>
        <v>-1</v>
      </c>
      <c r="BY146" s="33">
        <f>IF($A146=BY$83, 0, distance(VLOOKUP($A146,Cuision!$G:$P,9,FALSE),VLOOKUP($A146,Cuision!$G:$P,10,FALSE),VLOOKUP(BY$83,Cuision!$G:$P,9,FALSE),VLOOKUP(BY$83,Cuision!$G:$P,10,FALSE)))</f>
        <v>-1</v>
      </c>
      <c r="BZ146" s="33">
        <f>IF($A146=BZ$83, 0, distance(VLOOKUP($A146,Cuision!$G:$P,9,FALSE),VLOOKUP($A146,Cuision!$G:$P,10,FALSE),VLOOKUP(BZ$83,Cuision!$G:$P,9,FALSE),VLOOKUP(BZ$83,Cuision!$G:$P,10,FALSE)))</f>
        <v>-1</v>
      </c>
      <c r="CA146" s="33">
        <f>IF($A146=CA$83, 0, distance(VLOOKUP($A146,Cuision!$G:$P,9,FALSE),VLOOKUP($A146,Cuision!$G:$P,10,FALSE),VLOOKUP(CA$83,Cuision!$G:$P,9,FALSE),VLOOKUP(CA$83,Cuision!$G:$P,10,FALSE)))</f>
        <v>-1</v>
      </c>
    </row>
    <row r="147" spans="1:79" ht="14.25" x14ac:dyDescent="0.2">
      <c r="A147" s="30" t="s">
        <v>1018</v>
      </c>
      <c r="B147" s="33">
        <f>IF($A147=B$83, 0, distance(VLOOKUP($A147,Cuision!$G:$P,9,FALSE),VLOOKUP($A147,Cuision!$G:$P,10,FALSE),VLOOKUP(B$83,Cuision!$G:$P,9,FALSE),VLOOKUP(B$83,Cuision!$G:$P,10,FALSE)))</f>
        <v>-1</v>
      </c>
      <c r="C147" s="33">
        <f>IF($A147=C$83, 0, distance(VLOOKUP($A147,Cuision!$G:$P,9,FALSE),VLOOKUP($A147,Cuision!$G:$P,10,FALSE),VLOOKUP(C$83,Cuision!$G:$P,9,FALSE),VLOOKUP(C$83,Cuision!$G:$P,10,FALSE)))</f>
        <v>-1</v>
      </c>
      <c r="D147" s="33">
        <f>IF($A147=D$83, 0, distance(VLOOKUP($A147,Cuision!$G:$P,9,FALSE),VLOOKUP($A147,Cuision!$G:$P,10,FALSE),VLOOKUP(D$83,Cuision!$G:$P,9,FALSE),VLOOKUP(D$83,Cuision!$G:$P,10,FALSE)))</f>
        <v>-1</v>
      </c>
      <c r="E147" s="33">
        <f>IF($A147=E$83, 0, distance(VLOOKUP($A147,Cuision!$G:$P,9,FALSE),VLOOKUP($A147,Cuision!$G:$P,10,FALSE),VLOOKUP(E$83,Cuision!$G:$P,9,FALSE),VLOOKUP(E$83,Cuision!$G:$P,10,FALSE)))</f>
        <v>-1</v>
      </c>
      <c r="F147" s="33">
        <f>IF($A147=F$83, 0, distance(VLOOKUP($A147,Cuision!$G:$P,9,FALSE),VLOOKUP($A147,Cuision!$G:$P,10,FALSE),VLOOKUP(F$83,Cuision!$G:$P,9,FALSE),VLOOKUP(F$83,Cuision!$G:$P,10,FALSE)))</f>
        <v>-1</v>
      </c>
      <c r="G147" s="33">
        <f>IF($A147=G$83, 0, distance(VLOOKUP($A147,Cuision!$G:$P,9,FALSE),VLOOKUP($A147,Cuision!$G:$P,10,FALSE),VLOOKUP(G$83,Cuision!$G:$P,9,FALSE),VLOOKUP(G$83,Cuision!$G:$P,10,FALSE)))</f>
        <v>-1</v>
      </c>
      <c r="H147" s="33">
        <f>IF($A147=H$83, 0, distance(VLOOKUP($A147,Cuision!$G:$P,9,FALSE),VLOOKUP($A147,Cuision!$G:$P,10,FALSE),VLOOKUP(H$83,Cuision!$G:$P,9,FALSE),VLOOKUP(H$83,Cuision!$G:$P,10,FALSE)))</f>
        <v>-1</v>
      </c>
      <c r="I147" s="33">
        <f>IF($A147=I$83, 0, distance(VLOOKUP($A147,Cuision!$G:$P,9,FALSE),VLOOKUP($A147,Cuision!$G:$P,10,FALSE),VLOOKUP(I$83,Cuision!$G:$P,9,FALSE),VLOOKUP(I$83,Cuision!$G:$P,10,FALSE)))</f>
        <v>-1</v>
      </c>
      <c r="J147" s="33">
        <f>IF($A147=J$83, 0, distance(VLOOKUP($A147,Cuision!$G:$P,9,FALSE),VLOOKUP($A147,Cuision!$G:$P,10,FALSE),VLOOKUP(J$83,Cuision!$G:$P,9,FALSE),VLOOKUP(J$83,Cuision!$G:$P,10,FALSE)))</f>
        <v>-1</v>
      </c>
      <c r="K147" s="33">
        <f>IF($A147=K$83, 0, distance(VLOOKUP($A147,Cuision!$G:$P,9,FALSE),VLOOKUP($A147,Cuision!$G:$P,10,FALSE),VLOOKUP(K$83,Cuision!$G:$P,9,FALSE),VLOOKUP(K$83,Cuision!$G:$P,10,FALSE)))</f>
        <v>-1</v>
      </c>
      <c r="L147" s="33">
        <f>IF($A147=L$83, 0, distance(VLOOKUP($A147,Cuision!$G:$P,9,FALSE),VLOOKUP($A147,Cuision!$G:$P,10,FALSE),VLOOKUP(L$83,Cuision!$G:$P,9,FALSE),VLOOKUP(L$83,Cuision!$G:$P,10,FALSE)))</f>
        <v>-1</v>
      </c>
      <c r="M147" s="33">
        <f>IF($A147=M$83, 0, distance(VLOOKUP($A147,Cuision!$G:$P,9,FALSE),VLOOKUP($A147,Cuision!$G:$P,10,FALSE),VLOOKUP(M$83,Cuision!$G:$P,9,FALSE),VLOOKUP(M$83,Cuision!$G:$P,10,FALSE)))</f>
        <v>0</v>
      </c>
      <c r="N147" s="33">
        <f>IF($A147=N$83, 0, distance(VLOOKUP($A147,Cuision!$G:$P,9,FALSE),VLOOKUP($A147,Cuision!$G:$P,10,FALSE),VLOOKUP(N$83,Cuision!$G:$P,9,FALSE),VLOOKUP(N$83,Cuision!$G:$P,10,FALSE)))</f>
        <v>-1</v>
      </c>
      <c r="O147" s="33">
        <f>IF($A147=O$83, 0, distance(VLOOKUP($A147,Cuision!$G:$P,9,FALSE),VLOOKUP($A147,Cuision!$G:$P,10,FALSE),VLOOKUP(O$83,Cuision!$G:$P,9,FALSE),VLOOKUP(O$83,Cuision!$G:$P,10,FALSE)))</f>
        <v>-1</v>
      </c>
      <c r="P147" s="33">
        <f>IF($A147=P$83, 0, distance(VLOOKUP($A147,Cuision!$G:$P,9,FALSE),VLOOKUP($A147,Cuision!$G:$P,10,FALSE),VLOOKUP(P$83,Cuision!$G:$P,9,FALSE),VLOOKUP(P$83,Cuision!$G:$P,10,FALSE)))</f>
        <v>-1</v>
      </c>
      <c r="Q147" s="33">
        <f>IF($A147=Q$83, 0, distance(VLOOKUP($A147,Cuision!$G:$P,9,FALSE),VLOOKUP($A147,Cuision!$G:$P,10,FALSE),VLOOKUP(Q$83,Cuision!$G:$P,9,FALSE),VLOOKUP(Q$83,Cuision!$G:$P,10,FALSE)))</f>
        <v>-1</v>
      </c>
      <c r="R147" s="33">
        <f>IF($A147=R$83, 0, distance(VLOOKUP($A147,Cuision!$G:$P,9,FALSE),VLOOKUP($A147,Cuision!$G:$P,10,FALSE),VLOOKUP(R$83,Cuision!$G:$P,9,FALSE),VLOOKUP(R$83,Cuision!$G:$P,10,FALSE)))</f>
        <v>-1</v>
      </c>
      <c r="S147" s="33">
        <f>IF($A147=S$83, 0, distance(VLOOKUP($A147,Cuision!$G:$P,9,FALSE),VLOOKUP($A147,Cuision!$G:$P,10,FALSE),VLOOKUP(S$83,Cuision!$G:$P,9,FALSE),VLOOKUP(S$83,Cuision!$G:$P,10,FALSE)))</f>
        <v>-1</v>
      </c>
      <c r="T147" s="33">
        <f>IF($A147=T$83, 0, distance(VLOOKUP($A147,Cuision!$G:$P,9,FALSE),VLOOKUP($A147,Cuision!$G:$P,10,FALSE),VLOOKUP(T$83,Cuision!$G:$P,9,FALSE),VLOOKUP(T$83,Cuision!$G:$P,10,FALSE)))</f>
        <v>-1</v>
      </c>
      <c r="U147" s="33">
        <f>IF($A147=U$83, 0, distance(VLOOKUP($A147,Cuision!$G:$P,9,FALSE),VLOOKUP($A147,Cuision!$G:$P,10,FALSE),VLOOKUP(U$83,Cuision!$G:$P,9,FALSE),VLOOKUP(U$83,Cuision!$G:$P,10,FALSE)))</f>
        <v>-1</v>
      </c>
      <c r="V147" s="33">
        <f>IF($A147=V$83, 0, distance(VLOOKUP($A147,Cuision!$G:$P,9,FALSE),VLOOKUP($A147,Cuision!$G:$P,10,FALSE),VLOOKUP(V$83,Cuision!$G:$P,9,FALSE),VLOOKUP(V$83,Cuision!$G:$P,10,FALSE)))</f>
        <v>-1</v>
      </c>
      <c r="W147" s="33">
        <f>IF($A147=W$83, 0, distance(VLOOKUP($A147,Cuision!$G:$P,9,FALSE),VLOOKUP($A147,Cuision!$G:$P,10,FALSE),VLOOKUP(W$83,Cuision!$G:$P,9,FALSE),VLOOKUP(W$83,Cuision!$G:$P,10,FALSE)))</f>
        <v>-1</v>
      </c>
      <c r="X147" s="33">
        <f>IF($A147=X$83, 0, distance(VLOOKUP($A147,Cuision!$G:$P,9,FALSE),VLOOKUP($A147,Cuision!$G:$P,10,FALSE),VLOOKUP(X$83,Cuision!$G:$P,9,FALSE),VLOOKUP(X$83,Cuision!$G:$P,10,FALSE)))</f>
        <v>-1</v>
      </c>
      <c r="Y147" s="33">
        <f>IF($A147=Y$83, 0, distance(VLOOKUP($A147,Cuision!$G:$P,9,FALSE),VLOOKUP($A147,Cuision!$G:$P,10,FALSE),VLOOKUP(Y$83,Cuision!$G:$P,9,FALSE),VLOOKUP(Y$83,Cuision!$G:$P,10,FALSE)))</f>
        <v>-1</v>
      </c>
      <c r="Z147" s="33">
        <f>IF($A147=Z$83, 0, distance(VLOOKUP($A147,Cuision!$G:$P,9,FALSE),VLOOKUP($A147,Cuision!$G:$P,10,FALSE),VLOOKUP(Z$83,Cuision!$G:$P,9,FALSE),VLOOKUP(Z$83,Cuision!$G:$P,10,FALSE)))</f>
        <v>-1</v>
      </c>
      <c r="AA147" s="33">
        <f>IF($A147=AA$83, 0, distance(VLOOKUP($A147,Cuision!$G:$P,9,FALSE),VLOOKUP($A147,Cuision!$G:$P,10,FALSE),VLOOKUP(AA$83,Cuision!$G:$P,9,FALSE),VLOOKUP(AA$83,Cuision!$G:$P,10,FALSE)))</f>
        <v>-1</v>
      </c>
      <c r="AB147" s="33">
        <f>IF($A147=AB$83, 0, distance(VLOOKUP($A147,Cuision!$G:$P,9,FALSE),VLOOKUP($A147,Cuision!$G:$P,10,FALSE),VLOOKUP(AB$83,Cuision!$G:$P,9,FALSE),VLOOKUP(AB$83,Cuision!$G:$P,10,FALSE)))</f>
        <v>-1</v>
      </c>
      <c r="AC147" s="33">
        <f>IF($A147=AC$83, 0, distance(VLOOKUP($A147,Cuision!$G:$P,9,FALSE),VLOOKUP($A147,Cuision!$G:$P,10,FALSE),VLOOKUP(AC$83,Cuision!$G:$P,9,FALSE),VLOOKUP(AC$83,Cuision!$G:$P,10,FALSE)))</f>
        <v>-1</v>
      </c>
      <c r="AD147" s="33">
        <f>IF($A147=AD$83, 0, distance(VLOOKUP($A147,Cuision!$G:$P,9,FALSE),VLOOKUP($A147,Cuision!$G:$P,10,FALSE),VLOOKUP(AD$83,Cuision!$G:$P,9,FALSE),VLOOKUP(AD$83,Cuision!$G:$P,10,FALSE)))</f>
        <v>-1</v>
      </c>
      <c r="AE147" s="33">
        <f>IF($A147=AE$83, 0, distance(VLOOKUP($A147,Cuision!$G:$P,9,FALSE),VLOOKUP($A147,Cuision!$G:$P,10,FALSE),VLOOKUP(AE$83,Cuision!$G:$P,9,FALSE),VLOOKUP(AE$83,Cuision!$G:$P,10,FALSE)))</f>
        <v>-1</v>
      </c>
      <c r="AF147" s="33">
        <f>IF($A147=AF$83, 0, distance(VLOOKUP($A147,Cuision!$G:$P,9,FALSE),VLOOKUP($A147,Cuision!$G:$P,10,FALSE),VLOOKUP(AF$83,Cuision!$G:$P,9,FALSE),VLOOKUP(AF$83,Cuision!$G:$P,10,FALSE)))</f>
        <v>-1</v>
      </c>
      <c r="AG147" s="33">
        <f>IF($A147=AG$83, 0, distance(VLOOKUP($A147,Cuision!$G:$P,9,FALSE),VLOOKUP($A147,Cuision!$G:$P,10,FALSE),VLOOKUP(AG$83,Cuision!$G:$P,9,FALSE),VLOOKUP(AG$83,Cuision!$G:$P,10,FALSE)))</f>
        <v>-1</v>
      </c>
      <c r="AH147" s="33">
        <f>IF($A147=AH$83, 0, distance(VLOOKUP($A147,Cuision!$G:$P,9,FALSE),VLOOKUP($A147,Cuision!$G:$P,10,FALSE),VLOOKUP(AH$83,Cuision!$G:$P,9,FALSE),VLOOKUP(AH$83,Cuision!$G:$P,10,FALSE)))</f>
        <v>-1</v>
      </c>
      <c r="AI147" s="33">
        <f>IF($A147=AI$83, 0, distance(VLOOKUP($A147,Cuision!$G:$P,9,FALSE),VLOOKUP($A147,Cuision!$G:$P,10,FALSE),VLOOKUP(AI$83,Cuision!$G:$P,9,FALSE),VLOOKUP(AI$83,Cuision!$G:$P,10,FALSE)))</f>
        <v>-1</v>
      </c>
      <c r="AJ147" s="33">
        <f>IF($A147=AJ$83, 0, distance(VLOOKUP($A147,Cuision!$G:$P,9,FALSE),VLOOKUP($A147,Cuision!$G:$P,10,FALSE),VLOOKUP(AJ$83,Cuision!$G:$P,9,FALSE),VLOOKUP(AJ$83,Cuision!$G:$P,10,FALSE)))</f>
        <v>-1</v>
      </c>
      <c r="AK147" s="33">
        <f>IF($A147=AK$83, 0, distance(VLOOKUP($A147,Cuision!$G:$P,9,FALSE),VLOOKUP($A147,Cuision!$G:$P,10,FALSE),VLOOKUP(AK$83,Cuision!$G:$P,9,FALSE),VLOOKUP(AK$83,Cuision!$G:$P,10,FALSE)))</f>
        <v>-1</v>
      </c>
      <c r="AL147" s="33">
        <f>IF($A147=AL$83, 0, distance(VLOOKUP($A147,Cuision!$G:$P,9,FALSE),VLOOKUP($A147,Cuision!$G:$P,10,FALSE),VLOOKUP(AL$83,Cuision!$G:$P,9,FALSE),VLOOKUP(AL$83,Cuision!$G:$P,10,FALSE)))</f>
        <v>-1</v>
      </c>
      <c r="AM147" s="33">
        <f>IF($A147=AM$83, 0, distance(VLOOKUP($A147,Cuision!$G:$P,9,FALSE),VLOOKUP($A147,Cuision!$G:$P,10,FALSE),VLOOKUP(AM$83,Cuision!$G:$P,9,FALSE),VLOOKUP(AM$83,Cuision!$G:$P,10,FALSE)))</f>
        <v>-1</v>
      </c>
      <c r="AN147" s="33">
        <f>IF($A147=AN$83, 0, distance(VLOOKUP($A147,Cuision!$G:$P,9,FALSE),VLOOKUP($A147,Cuision!$G:$P,10,FALSE),VLOOKUP(AN$83,Cuision!$G:$P,9,FALSE),VLOOKUP(AN$83,Cuision!$G:$P,10,FALSE)))</f>
        <v>-1</v>
      </c>
      <c r="AO147" s="33">
        <f>IF($A147=AO$83, 0, distance(VLOOKUP($A147,Cuision!$G:$P,9,FALSE),VLOOKUP($A147,Cuision!$G:$P,10,FALSE),VLOOKUP(AO$83,Cuision!$G:$P,9,FALSE),VLOOKUP(AO$83,Cuision!$G:$P,10,FALSE)))</f>
        <v>-1</v>
      </c>
      <c r="AP147" s="33">
        <f>IF($A147=AP$83, 0, distance(VLOOKUP($A147,Cuision!$G:$P,9,FALSE),VLOOKUP($A147,Cuision!$G:$P,10,FALSE),VLOOKUP(AP$83,Cuision!$G:$P,9,FALSE),VLOOKUP(AP$83,Cuision!$G:$P,10,FALSE)))</f>
        <v>-1</v>
      </c>
      <c r="AQ147" s="33">
        <f>IF($A147=AQ$83, 0, distance(VLOOKUP($A147,Cuision!$G:$P,9,FALSE),VLOOKUP($A147,Cuision!$G:$P,10,FALSE),VLOOKUP(AQ$83,Cuision!$G:$P,9,FALSE),VLOOKUP(AQ$83,Cuision!$G:$P,10,FALSE)))</f>
        <v>-1</v>
      </c>
      <c r="AR147" s="33">
        <f>IF($A147=AR$83, 0, distance(VLOOKUP($A147,Cuision!$G:$P,9,FALSE),VLOOKUP($A147,Cuision!$G:$P,10,FALSE),VLOOKUP(AR$83,Cuision!$G:$P,9,FALSE),VLOOKUP(AR$83,Cuision!$G:$P,10,FALSE)))</f>
        <v>-1</v>
      </c>
      <c r="AS147" s="33">
        <f>IF($A147=AS$83, 0, distance(VLOOKUP($A147,Cuision!$G:$P,9,FALSE),VLOOKUP($A147,Cuision!$G:$P,10,FALSE),VLOOKUP(AS$83,Cuision!$G:$P,9,FALSE),VLOOKUP(AS$83,Cuision!$G:$P,10,FALSE)))</f>
        <v>-1</v>
      </c>
      <c r="AT147" s="33">
        <f>IF($A147=AT$83, 0, distance(VLOOKUP($A147,Cuision!$G:$P,9,FALSE),VLOOKUP($A147,Cuision!$G:$P,10,FALSE),VLOOKUP(AT$83,Cuision!$G:$P,9,FALSE),VLOOKUP(AT$83,Cuision!$G:$P,10,FALSE)))</f>
        <v>-1</v>
      </c>
      <c r="AU147" s="33">
        <f>IF($A147=AU$83, 0, distance(VLOOKUP($A147,Cuision!$G:$P,9,FALSE),VLOOKUP($A147,Cuision!$G:$P,10,FALSE),VLOOKUP(AU$83,Cuision!$G:$P,9,FALSE),VLOOKUP(AU$83,Cuision!$G:$P,10,FALSE)))</f>
        <v>-1</v>
      </c>
      <c r="AV147" s="33">
        <f>IF($A147=AV$83, 0, distance(VLOOKUP($A147,Cuision!$G:$P,9,FALSE),VLOOKUP($A147,Cuision!$G:$P,10,FALSE),VLOOKUP(AV$83,Cuision!$G:$P,9,FALSE),VLOOKUP(AV$83,Cuision!$G:$P,10,FALSE)))</f>
        <v>-1</v>
      </c>
      <c r="AW147" s="33">
        <f>IF($A147=AW$83, 0, distance(VLOOKUP($A147,Cuision!$G:$P,9,FALSE),VLOOKUP($A147,Cuision!$G:$P,10,FALSE),VLOOKUP(AW$83,Cuision!$G:$P,9,FALSE),VLOOKUP(AW$83,Cuision!$G:$P,10,FALSE)))</f>
        <v>-1</v>
      </c>
      <c r="AX147" s="33">
        <f>IF($A147=AX$83, 0, distance(VLOOKUP($A147,Cuision!$G:$P,9,FALSE),VLOOKUP($A147,Cuision!$G:$P,10,FALSE),VLOOKUP(AX$83,Cuision!$G:$P,9,FALSE),VLOOKUP(AX$83,Cuision!$G:$P,10,FALSE)))</f>
        <v>-1</v>
      </c>
      <c r="AY147" s="33">
        <f>IF($A147=AY$83, 0, distance(VLOOKUP($A147,Cuision!$G:$P,9,FALSE),VLOOKUP($A147,Cuision!$G:$P,10,FALSE),VLOOKUP(AY$83,Cuision!$G:$P,9,FALSE),VLOOKUP(AY$83,Cuision!$G:$P,10,FALSE)))</f>
        <v>-1</v>
      </c>
      <c r="AZ147" s="33">
        <f>IF($A147=AZ$83, 0, distance(VLOOKUP($A147,Cuision!$G:$P,9,FALSE),VLOOKUP($A147,Cuision!$G:$P,10,FALSE),VLOOKUP(AZ$83,Cuision!$G:$P,9,FALSE),VLOOKUP(AZ$83,Cuision!$G:$P,10,FALSE)))</f>
        <v>-1</v>
      </c>
      <c r="BA147" s="33">
        <f>IF($A147=BA$83, 0, distance(VLOOKUP($A147,Cuision!$G:$P,9,FALSE),VLOOKUP($A147,Cuision!$G:$P,10,FALSE),VLOOKUP(BA$83,Cuision!$G:$P,9,FALSE),VLOOKUP(BA$83,Cuision!$G:$P,10,FALSE)))</f>
        <v>-1</v>
      </c>
      <c r="BB147" s="33">
        <f>IF($A147=BB$83, 0, distance(VLOOKUP($A147,Cuision!$G:$P,9,FALSE),VLOOKUP($A147,Cuision!$G:$P,10,FALSE),VLOOKUP(BB$83,Cuision!$G:$P,9,FALSE),VLOOKUP(BB$83,Cuision!$G:$P,10,FALSE)))</f>
        <v>-1</v>
      </c>
      <c r="BC147" s="33">
        <f>IF($A147=BC$83, 0, distance(VLOOKUP($A147,Cuision!$G:$P,9,FALSE),VLOOKUP($A147,Cuision!$G:$P,10,FALSE),VLOOKUP(BC$83,Cuision!$G:$P,9,FALSE),VLOOKUP(BC$83,Cuision!$G:$P,10,FALSE)))</f>
        <v>-1</v>
      </c>
      <c r="BD147" s="33">
        <f>IF($A147=BD$83, 0, distance(VLOOKUP($A147,Cuision!$G:$P,9,FALSE),VLOOKUP($A147,Cuision!$G:$P,10,FALSE),VLOOKUP(BD$83,Cuision!$G:$P,9,FALSE),VLOOKUP(BD$83,Cuision!$G:$P,10,FALSE)))</f>
        <v>-1</v>
      </c>
      <c r="BE147" s="33">
        <f>IF($A147=BE$83, 0, distance(VLOOKUP($A147,Cuision!$G:$P,9,FALSE),VLOOKUP($A147,Cuision!$G:$P,10,FALSE),VLOOKUP(BE$83,Cuision!$G:$P,9,FALSE),VLOOKUP(BE$83,Cuision!$G:$P,10,FALSE)))</f>
        <v>-1</v>
      </c>
      <c r="BF147" s="33">
        <f>IF($A147=BF$83, 0, distance(VLOOKUP($A147,Cuision!$G:$P,9,FALSE),VLOOKUP($A147,Cuision!$G:$P,10,FALSE),VLOOKUP(BF$83,Cuision!$G:$P,9,FALSE),VLOOKUP(BF$83,Cuision!$G:$P,10,FALSE)))</f>
        <v>-1</v>
      </c>
      <c r="BG147" s="33">
        <f>IF($A147=BG$83, 0, distance(VLOOKUP($A147,Cuision!$G:$P,9,FALSE),VLOOKUP($A147,Cuision!$G:$P,10,FALSE),VLOOKUP(BG$83,Cuision!$G:$P,9,FALSE),VLOOKUP(BG$83,Cuision!$G:$P,10,FALSE)))</f>
        <v>-1</v>
      </c>
      <c r="BH147" s="33">
        <f>IF($A147=BH$83, 0, distance(VLOOKUP($A147,Cuision!$G:$P,9,FALSE),VLOOKUP($A147,Cuision!$G:$P,10,FALSE),VLOOKUP(BH$83,Cuision!$G:$P,9,FALSE),VLOOKUP(BH$83,Cuision!$G:$P,10,FALSE)))</f>
        <v>-1</v>
      </c>
      <c r="BI147" s="33">
        <f>IF($A147=BI$83, 0, distance(VLOOKUP($A147,Cuision!$G:$P,9,FALSE),VLOOKUP($A147,Cuision!$G:$P,10,FALSE),VLOOKUP(BI$83,Cuision!$G:$P,9,FALSE),VLOOKUP(BI$83,Cuision!$G:$P,10,FALSE)))</f>
        <v>-1</v>
      </c>
      <c r="BJ147" s="33">
        <f>IF($A147=BJ$83, 0, distance(VLOOKUP($A147,Cuision!$G:$P,9,FALSE),VLOOKUP($A147,Cuision!$G:$P,10,FALSE),VLOOKUP(BJ$83,Cuision!$G:$P,9,FALSE),VLOOKUP(BJ$83,Cuision!$G:$P,10,FALSE)))</f>
        <v>-1</v>
      </c>
      <c r="BK147" s="33">
        <f>IF($A147=BK$83, 0, distance(VLOOKUP($A147,Cuision!$G:$P,9,FALSE),VLOOKUP($A147,Cuision!$G:$P,10,FALSE),VLOOKUP(BK$83,Cuision!$G:$P,9,FALSE),VLOOKUP(BK$83,Cuision!$G:$P,10,FALSE)))</f>
        <v>-1</v>
      </c>
      <c r="BL147" s="33">
        <f>IF($A147=BL$83, 0, distance(VLOOKUP($A147,Cuision!$G:$P,9,FALSE),VLOOKUP($A147,Cuision!$G:$P,10,FALSE),VLOOKUP(BL$83,Cuision!$G:$P,9,FALSE),VLOOKUP(BL$83,Cuision!$G:$P,10,FALSE)))</f>
        <v>-1</v>
      </c>
      <c r="BM147" s="33">
        <f>IF($A147=BM$83, 0, distance(VLOOKUP($A147,Cuision!$G:$P,9,FALSE),VLOOKUP($A147,Cuision!$G:$P,10,FALSE),VLOOKUP(BM$83,Cuision!$G:$P,9,FALSE),VLOOKUP(BM$83,Cuision!$G:$P,10,FALSE)))</f>
        <v>0</v>
      </c>
      <c r="BN147" s="33">
        <f>IF($A147=BN$83, 0, distance(VLOOKUP($A147,Cuision!$G:$P,9,FALSE),VLOOKUP($A147,Cuision!$G:$P,10,FALSE),VLOOKUP(BN$83,Cuision!$G:$P,9,FALSE),VLOOKUP(BN$83,Cuision!$G:$P,10,FALSE)))</f>
        <v>-1</v>
      </c>
      <c r="BO147" s="33">
        <f>IF($A147=BO$83, 0, distance(VLOOKUP($A147,Cuision!$G:$P,9,FALSE),VLOOKUP($A147,Cuision!$G:$P,10,FALSE),VLOOKUP(BO$83,Cuision!$G:$P,9,FALSE),VLOOKUP(BO$83,Cuision!$G:$P,10,FALSE)))</f>
        <v>-1</v>
      </c>
      <c r="BP147" s="33">
        <f>IF($A147=BP$83, 0, distance(VLOOKUP($A147,Cuision!$G:$P,9,FALSE),VLOOKUP($A147,Cuision!$G:$P,10,FALSE),VLOOKUP(BP$83,Cuision!$G:$P,9,FALSE),VLOOKUP(BP$83,Cuision!$G:$P,10,FALSE)))</f>
        <v>-1</v>
      </c>
      <c r="BQ147" s="33">
        <f>IF($A147=BQ$83, 0, distance(VLOOKUP($A147,Cuision!$G:$P,9,FALSE),VLOOKUP($A147,Cuision!$G:$P,10,FALSE),VLOOKUP(BQ$83,Cuision!$G:$P,9,FALSE),VLOOKUP(BQ$83,Cuision!$G:$P,10,FALSE)))</f>
        <v>-1</v>
      </c>
      <c r="BR147" s="33">
        <f>IF($A147=BR$83, 0, distance(VLOOKUP($A147,Cuision!$G:$P,9,FALSE),VLOOKUP($A147,Cuision!$G:$P,10,FALSE),VLOOKUP(BR$83,Cuision!$G:$P,9,FALSE),VLOOKUP(BR$83,Cuision!$G:$P,10,FALSE)))</f>
        <v>-1</v>
      </c>
      <c r="BS147" s="33">
        <f>IF($A147=BS$83, 0, distance(VLOOKUP($A147,Cuision!$G:$P,9,FALSE),VLOOKUP($A147,Cuision!$G:$P,10,FALSE),VLOOKUP(BS$83,Cuision!$G:$P,9,FALSE),VLOOKUP(BS$83,Cuision!$G:$P,10,FALSE)))</f>
        <v>-1</v>
      </c>
      <c r="BT147" s="33">
        <f>IF($A147=BT$83, 0, distance(VLOOKUP($A147,Cuision!$G:$P,9,FALSE),VLOOKUP($A147,Cuision!$G:$P,10,FALSE),VLOOKUP(BT$83,Cuision!$G:$P,9,FALSE),VLOOKUP(BT$83,Cuision!$G:$P,10,FALSE)))</f>
        <v>-1</v>
      </c>
      <c r="BU147" s="33">
        <f>IF($A147=BU$83, 0, distance(VLOOKUP($A147,Cuision!$G:$P,9,FALSE),VLOOKUP($A147,Cuision!$G:$P,10,FALSE),VLOOKUP(BU$83,Cuision!$G:$P,9,FALSE),VLOOKUP(BU$83,Cuision!$G:$P,10,FALSE)))</f>
        <v>-1</v>
      </c>
      <c r="BV147" s="33">
        <f>IF($A147=BV$83, 0, distance(VLOOKUP($A147,Cuision!$G:$P,9,FALSE),VLOOKUP($A147,Cuision!$G:$P,10,FALSE),VLOOKUP(BV$83,Cuision!$G:$P,9,FALSE),VLOOKUP(BV$83,Cuision!$G:$P,10,FALSE)))</f>
        <v>-1</v>
      </c>
      <c r="BW147" s="33">
        <f>IF($A147=BW$83, 0, distance(VLOOKUP($A147,Cuision!$G:$P,9,FALSE),VLOOKUP($A147,Cuision!$G:$P,10,FALSE),VLOOKUP(BW$83,Cuision!$G:$P,9,FALSE),VLOOKUP(BW$83,Cuision!$G:$P,10,FALSE)))</f>
        <v>-1</v>
      </c>
      <c r="BX147" s="33">
        <f>IF($A147=BX$83, 0, distance(VLOOKUP($A147,Cuision!$G:$P,9,FALSE),VLOOKUP($A147,Cuision!$G:$P,10,FALSE),VLOOKUP(BX$83,Cuision!$G:$P,9,FALSE),VLOOKUP(BX$83,Cuision!$G:$P,10,FALSE)))</f>
        <v>-1</v>
      </c>
      <c r="BY147" s="33">
        <f>IF($A147=BY$83, 0, distance(VLOOKUP($A147,Cuision!$G:$P,9,FALSE),VLOOKUP($A147,Cuision!$G:$P,10,FALSE),VLOOKUP(BY$83,Cuision!$G:$P,9,FALSE),VLOOKUP(BY$83,Cuision!$G:$P,10,FALSE)))</f>
        <v>-1</v>
      </c>
      <c r="BZ147" s="33">
        <f>IF($A147=BZ$83, 0, distance(VLOOKUP($A147,Cuision!$G:$P,9,FALSE),VLOOKUP($A147,Cuision!$G:$P,10,FALSE),VLOOKUP(BZ$83,Cuision!$G:$P,9,FALSE),VLOOKUP(BZ$83,Cuision!$G:$P,10,FALSE)))</f>
        <v>-1</v>
      </c>
      <c r="CA147" s="33">
        <f>IF($A147=CA$83, 0, distance(VLOOKUP($A147,Cuision!$G:$P,9,FALSE),VLOOKUP($A147,Cuision!$G:$P,10,FALSE),VLOOKUP(CA$83,Cuision!$G:$P,9,FALSE),VLOOKUP(CA$83,Cuision!$G:$P,10,FALSE)))</f>
        <v>-1</v>
      </c>
    </row>
    <row r="148" spans="1:79" ht="14.25" x14ac:dyDescent="0.2">
      <c r="A148" s="30" t="s">
        <v>118</v>
      </c>
      <c r="B148" s="33">
        <f>IF($A148=B$83, 0, distance(VLOOKUP($A148,Cuision!$G:$P,9,FALSE),VLOOKUP($A148,Cuision!$G:$P,10,FALSE),VLOOKUP(B$83,Cuision!$G:$P,9,FALSE),VLOOKUP(B$83,Cuision!$G:$P,10,FALSE)))</f>
        <v>3545.9953210408289</v>
      </c>
      <c r="C148" s="33">
        <f>IF($A148=C$83, 0, distance(VLOOKUP($A148,Cuision!$G:$P,9,FALSE),VLOOKUP($A148,Cuision!$G:$P,10,FALSE),VLOOKUP(C$83,Cuision!$G:$P,9,FALSE),VLOOKUP(C$83,Cuision!$G:$P,10,FALSE)))</f>
        <v>4647.0290979849078</v>
      </c>
      <c r="D148" s="33">
        <f>IF($A148=D$83, 0, distance(VLOOKUP($A148,Cuision!$G:$P,9,FALSE),VLOOKUP($A148,Cuision!$G:$P,10,FALSE),VLOOKUP(D$83,Cuision!$G:$P,9,FALSE),VLOOKUP(D$83,Cuision!$G:$P,10,FALSE)))</f>
        <v>3664.7380839482948</v>
      </c>
      <c r="E148" s="33">
        <f>IF($A148=E$83, 0, distance(VLOOKUP($A148,Cuision!$G:$P,9,FALSE),VLOOKUP($A148,Cuision!$G:$P,10,FALSE),VLOOKUP(E$83,Cuision!$G:$P,9,FALSE),VLOOKUP(E$83,Cuision!$G:$P,10,FALSE)))</f>
        <v>3664.7380839482948</v>
      </c>
      <c r="F148" s="33">
        <f>IF($A148=F$83, 0, distance(VLOOKUP($A148,Cuision!$G:$P,9,FALSE),VLOOKUP($A148,Cuision!$G:$P,10,FALSE),VLOOKUP(F$83,Cuision!$G:$P,9,FALSE),VLOOKUP(F$83,Cuision!$G:$P,10,FALSE)))</f>
        <v>2663.5886544931418</v>
      </c>
      <c r="G148" s="33">
        <f>IF($A148=G$83, 0, distance(VLOOKUP($A148,Cuision!$G:$P,9,FALSE),VLOOKUP($A148,Cuision!$G:$P,10,FALSE),VLOOKUP(G$83,Cuision!$G:$P,9,FALSE),VLOOKUP(G$83,Cuision!$G:$P,10,FALSE)))</f>
        <v>6914.536194099418</v>
      </c>
      <c r="H148" s="33">
        <f>IF($A148=H$83, 0, distance(VLOOKUP($A148,Cuision!$G:$P,9,FALSE),VLOOKUP($A148,Cuision!$G:$P,10,FALSE),VLOOKUP(H$83,Cuision!$G:$P,9,FALSE),VLOOKUP(H$83,Cuision!$G:$P,10,FALSE)))</f>
        <v>2245.7727898826438</v>
      </c>
      <c r="I148" s="33">
        <f>IF($A148=I$83, 0, distance(VLOOKUP($A148,Cuision!$G:$P,9,FALSE),VLOOKUP($A148,Cuision!$G:$P,10,FALSE),VLOOKUP(I$83,Cuision!$G:$P,9,FALSE),VLOOKUP(I$83,Cuision!$G:$P,10,FALSE)))</f>
        <v>4836.1876543609851</v>
      </c>
      <c r="J148" s="33">
        <f>IF($A148=J$83, 0, distance(VLOOKUP($A148,Cuision!$G:$P,9,FALSE),VLOOKUP($A148,Cuision!$G:$P,10,FALSE),VLOOKUP(J$83,Cuision!$G:$P,9,FALSE),VLOOKUP(J$83,Cuision!$G:$P,10,FALSE)))</f>
        <v>10551.28590300766</v>
      </c>
      <c r="K148" s="33">
        <f>IF($A148=K$83, 0, distance(VLOOKUP($A148,Cuision!$G:$P,9,FALSE),VLOOKUP($A148,Cuision!$G:$P,10,FALSE),VLOOKUP(K$83,Cuision!$G:$P,9,FALSE),VLOOKUP(K$83,Cuision!$G:$P,10,FALSE)))</f>
        <v>767.52659004292161</v>
      </c>
      <c r="L148" s="33">
        <f>IF($A148=L$83, 0, distance(VLOOKUP($A148,Cuision!$G:$P,9,FALSE),VLOOKUP($A148,Cuision!$G:$P,10,FALSE),VLOOKUP(L$83,Cuision!$G:$P,9,FALSE),VLOOKUP(L$83,Cuision!$G:$P,10,FALSE)))</f>
        <v>4973.0281715853507</v>
      </c>
      <c r="M148" s="33">
        <f>IF($A148=M$83, 0, distance(VLOOKUP($A148,Cuision!$G:$P,9,FALSE),VLOOKUP($A148,Cuision!$G:$P,10,FALSE),VLOOKUP(M$83,Cuision!$G:$P,9,FALSE),VLOOKUP(M$83,Cuision!$G:$P,10,FALSE)))</f>
        <v>-1</v>
      </c>
      <c r="N148" s="33">
        <f>IF($A148=N$83, 0, distance(VLOOKUP($A148,Cuision!$G:$P,9,FALSE),VLOOKUP($A148,Cuision!$G:$P,10,FALSE),VLOOKUP(N$83,Cuision!$G:$P,9,FALSE),VLOOKUP(N$83,Cuision!$G:$P,10,FALSE)))</f>
        <v>784.90553114647901</v>
      </c>
      <c r="O148" s="33">
        <f>IF($A148=O$83, 0, distance(VLOOKUP($A148,Cuision!$G:$P,9,FALSE),VLOOKUP($A148,Cuision!$G:$P,10,FALSE),VLOOKUP(O$83,Cuision!$G:$P,9,FALSE),VLOOKUP(O$83,Cuision!$G:$P,10,FALSE)))</f>
        <v>199.28363710695942</v>
      </c>
      <c r="P148" s="33">
        <f>IF($A148=P$83, 0, distance(VLOOKUP($A148,Cuision!$G:$P,9,FALSE),VLOOKUP($A148,Cuision!$G:$P,10,FALSE),VLOOKUP(P$83,Cuision!$G:$P,9,FALSE),VLOOKUP(P$83,Cuision!$G:$P,10,FALSE)))</f>
        <v>5463.5769797547719</v>
      </c>
      <c r="Q148" s="33">
        <f>IF($A148=Q$83, 0, distance(VLOOKUP($A148,Cuision!$G:$P,9,FALSE),VLOOKUP($A148,Cuision!$G:$P,10,FALSE),VLOOKUP(Q$83,Cuision!$G:$P,9,FALSE),VLOOKUP(Q$83,Cuision!$G:$P,10,FALSE)))</f>
        <v>-1</v>
      </c>
      <c r="R148" s="33">
        <f>IF($A148=R$83, 0, distance(VLOOKUP($A148,Cuision!$G:$P,9,FALSE),VLOOKUP($A148,Cuision!$G:$P,10,FALSE),VLOOKUP(R$83,Cuision!$G:$P,9,FALSE),VLOOKUP(R$83,Cuision!$G:$P,10,FALSE)))</f>
        <v>0</v>
      </c>
      <c r="S148" s="33">
        <f>IF($A148=S$83, 0, distance(VLOOKUP($A148,Cuision!$G:$P,9,FALSE),VLOOKUP($A148,Cuision!$G:$P,10,FALSE),VLOOKUP(S$83,Cuision!$G:$P,9,FALSE),VLOOKUP(S$83,Cuision!$G:$P,10,FALSE)))</f>
        <v>-1</v>
      </c>
      <c r="T148" s="33">
        <f>IF($A148=T$83, 0, distance(VLOOKUP($A148,Cuision!$G:$P,9,FALSE),VLOOKUP($A148,Cuision!$G:$P,10,FALSE),VLOOKUP(T$83,Cuision!$G:$P,9,FALSE),VLOOKUP(T$83,Cuision!$G:$P,10,FALSE)))</f>
        <v>5418.5031452549056</v>
      </c>
      <c r="U148" s="33">
        <f>IF($A148=U$83, 0, distance(VLOOKUP($A148,Cuision!$G:$P,9,FALSE),VLOOKUP($A148,Cuision!$G:$P,10,FALSE),VLOOKUP(U$83,Cuision!$G:$P,9,FALSE),VLOOKUP(U$83,Cuision!$G:$P,10,FALSE)))</f>
        <v>-1</v>
      </c>
      <c r="V148" s="33">
        <f>IF($A148=V$83, 0, distance(VLOOKUP($A148,Cuision!$G:$P,9,FALSE),VLOOKUP($A148,Cuision!$G:$P,10,FALSE),VLOOKUP(V$83,Cuision!$G:$P,9,FALSE),VLOOKUP(V$83,Cuision!$G:$P,10,FALSE)))</f>
        <v>3664.7380839482948</v>
      </c>
      <c r="W148" s="33">
        <f>IF($A148=W$83, 0, distance(VLOOKUP($A148,Cuision!$G:$P,9,FALSE),VLOOKUP($A148,Cuision!$G:$P,10,FALSE),VLOOKUP(W$83,Cuision!$G:$P,9,FALSE),VLOOKUP(W$83,Cuision!$G:$P,10,FALSE)))</f>
        <v>6223.9505523929802</v>
      </c>
      <c r="X148" s="33">
        <f>IF($A148=X$83, 0, distance(VLOOKUP($A148,Cuision!$G:$P,9,FALSE),VLOOKUP($A148,Cuision!$G:$P,10,FALSE),VLOOKUP(X$83,Cuision!$G:$P,9,FALSE),VLOOKUP(X$83,Cuision!$G:$P,10,FALSE)))</f>
        <v>784.90553114647901</v>
      </c>
      <c r="Y148" s="33">
        <f>IF($A148=Y$83, 0, distance(VLOOKUP($A148,Cuision!$G:$P,9,FALSE),VLOOKUP($A148,Cuision!$G:$P,10,FALSE),VLOOKUP(Y$83,Cuision!$G:$P,9,FALSE),VLOOKUP(Y$83,Cuision!$G:$P,10,FALSE)))</f>
        <v>5057.7634483185511</v>
      </c>
      <c r="Z148" s="33">
        <f>IF($A148=Z$83, 0, distance(VLOOKUP($A148,Cuision!$G:$P,9,FALSE),VLOOKUP($A148,Cuision!$G:$P,10,FALSE),VLOOKUP(Z$83,Cuision!$G:$P,9,FALSE),VLOOKUP(Z$83,Cuision!$G:$P,10,FALSE)))</f>
        <v>-1</v>
      </c>
      <c r="AA148" s="33">
        <f>IF($A148=AA$83, 0, distance(VLOOKUP($A148,Cuision!$G:$P,9,FALSE),VLOOKUP($A148,Cuision!$G:$P,10,FALSE),VLOOKUP(AA$83,Cuision!$G:$P,9,FALSE),VLOOKUP(AA$83,Cuision!$G:$P,10,FALSE)))</f>
        <v>4655.1556265181625</v>
      </c>
      <c r="AB148" s="33">
        <f>IF($A148=AB$83, 0, distance(VLOOKUP($A148,Cuision!$G:$P,9,FALSE),VLOOKUP($A148,Cuision!$G:$P,10,FALSE),VLOOKUP(AB$83,Cuision!$G:$P,9,FALSE),VLOOKUP(AB$83,Cuision!$G:$P,10,FALSE)))</f>
        <v>641.77956632363794</v>
      </c>
      <c r="AC148" s="33">
        <f>IF($A148=AC$83, 0, distance(VLOOKUP($A148,Cuision!$G:$P,9,FALSE),VLOOKUP($A148,Cuision!$G:$P,10,FALSE),VLOOKUP(AC$83,Cuision!$G:$P,9,FALSE),VLOOKUP(AC$83,Cuision!$G:$P,10,FALSE)))</f>
        <v>3664.7179459095614</v>
      </c>
      <c r="AD148" s="33">
        <f>IF($A148=AD$83, 0, distance(VLOOKUP($A148,Cuision!$G:$P,9,FALSE),VLOOKUP($A148,Cuision!$G:$P,10,FALSE),VLOOKUP(AD$83,Cuision!$G:$P,9,FALSE),VLOOKUP(AD$83,Cuision!$G:$P,10,FALSE)))</f>
        <v>6669.9184350642254</v>
      </c>
      <c r="AE148" s="33">
        <f>IF($A148=AE$83, 0, distance(VLOOKUP($A148,Cuision!$G:$P,9,FALSE),VLOOKUP($A148,Cuision!$G:$P,10,FALSE),VLOOKUP(AE$83,Cuision!$G:$P,9,FALSE),VLOOKUP(AE$83,Cuision!$G:$P,10,FALSE)))</f>
        <v>876.99149719592697</v>
      </c>
      <c r="AF148" s="33">
        <f>IF($A148=AF$83, 0, distance(VLOOKUP($A148,Cuision!$G:$P,9,FALSE),VLOOKUP($A148,Cuision!$G:$P,10,FALSE),VLOOKUP(AF$83,Cuision!$G:$P,9,FALSE),VLOOKUP(AF$83,Cuision!$G:$P,10,FALSE)))</f>
        <v>214.01332790653947</v>
      </c>
      <c r="AG148" s="33">
        <f>IF($A148=AG$83, 0, distance(VLOOKUP($A148,Cuision!$G:$P,9,FALSE),VLOOKUP($A148,Cuision!$G:$P,10,FALSE),VLOOKUP(AG$83,Cuision!$G:$P,9,FALSE),VLOOKUP(AG$83,Cuision!$G:$P,10,FALSE)))</f>
        <v>579.08706893054705</v>
      </c>
      <c r="AH148" s="33">
        <f>IF($A148=AH$83, 0, distance(VLOOKUP($A148,Cuision!$G:$P,9,FALSE),VLOOKUP($A148,Cuision!$G:$P,10,FALSE),VLOOKUP(AH$83,Cuision!$G:$P,9,FALSE),VLOOKUP(AH$83,Cuision!$G:$P,10,FALSE)))</f>
        <v>-1</v>
      </c>
      <c r="AI148" s="33">
        <f>IF($A148=AI$83, 0, distance(VLOOKUP($A148,Cuision!$G:$P,9,FALSE),VLOOKUP($A148,Cuision!$G:$P,10,FALSE),VLOOKUP(AI$83,Cuision!$G:$P,9,FALSE),VLOOKUP(AI$83,Cuision!$G:$P,10,FALSE)))</f>
        <v>1486.0996154984921</v>
      </c>
      <c r="AJ148" s="33">
        <f>IF($A148=AJ$83, 0, distance(VLOOKUP($A148,Cuision!$G:$P,9,FALSE),VLOOKUP($A148,Cuision!$G:$P,10,FALSE),VLOOKUP(AJ$83,Cuision!$G:$P,9,FALSE),VLOOKUP(AJ$83,Cuision!$G:$P,10,FALSE)))</f>
        <v>2663.5886544931418</v>
      </c>
      <c r="AK148" s="33">
        <f>IF($A148=AK$83, 0, distance(VLOOKUP($A148,Cuision!$G:$P,9,FALSE),VLOOKUP($A148,Cuision!$G:$P,10,FALSE),VLOOKUP(AK$83,Cuision!$G:$P,9,FALSE),VLOOKUP(AK$83,Cuision!$G:$P,10,FALSE)))</f>
        <v>7283.7203694867039</v>
      </c>
      <c r="AL148" s="33">
        <f>IF($A148=AL$83, 0, distance(VLOOKUP($A148,Cuision!$G:$P,9,FALSE),VLOOKUP($A148,Cuision!$G:$P,10,FALSE),VLOOKUP(AL$83,Cuision!$G:$P,9,FALSE),VLOOKUP(AL$83,Cuision!$G:$P,10,FALSE)))</f>
        <v>4556.397932645692</v>
      </c>
      <c r="AM148" s="33">
        <f>IF($A148=AM$83, 0, distance(VLOOKUP($A148,Cuision!$G:$P,9,FALSE),VLOOKUP($A148,Cuision!$G:$P,10,FALSE),VLOOKUP(AM$83,Cuision!$G:$P,9,FALSE),VLOOKUP(AM$83,Cuision!$G:$P,10,FALSE)))</f>
        <v>-1</v>
      </c>
      <c r="AN148" s="33">
        <f>IF($A148=AN$83, 0, distance(VLOOKUP($A148,Cuision!$G:$P,9,FALSE),VLOOKUP($A148,Cuision!$G:$P,10,FALSE),VLOOKUP(AN$83,Cuision!$G:$P,9,FALSE),VLOOKUP(AN$83,Cuision!$G:$P,10,FALSE)))</f>
        <v>900.52613160456258</v>
      </c>
      <c r="AO148" s="33">
        <f>IF($A148=AO$83, 0, distance(VLOOKUP($A148,Cuision!$G:$P,9,FALSE),VLOOKUP($A148,Cuision!$G:$P,10,FALSE),VLOOKUP(AO$83,Cuision!$G:$P,9,FALSE),VLOOKUP(AO$83,Cuision!$G:$P,10,FALSE)))</f>
        <v>784.90553114647901</v>
      </c>
      <c r="AP148" s="33">
        <f>IF($A148=AP$83, 0, distance(VLOOKUP($A148,Cuision!$G:$P,9,FALSE),VLOOKUP($A148,Cuision!$G:$P,10,FALSE),VLOOKUP(AP$83,Cuision!$G:$P,9,FALSE),VLOOKUP(AP$83,Cuision!$G:$P,10,FALSE)))</f>
        <v>4169.2137652284846</v>
      </c>
      <c r="AQ148" s="33">
        <f>IF($A148=AQ$83, 0, distance(VLOOKUP($A148,Cuision!$G:$P,9,FALSE),VLOOKUP($A148,Cuision!$G:$P,10,FALSE),VLOOKUP(AQ$83,Cuision!$G:$P,9,FALSE),VLOOKUP(AQ$83,Cuision!$G:$P,10,FALSE)))</f>
        <v>7281.2813396087786</v>
      </c>
      <c r="AR148" s="33">
        <f>IF($A148=AR$83, 0, distance(VLOOKUP($A148,Cuision!$G:$P,9,FALSE),VLOOKUP($A148,Cuision!$G:$P,10,FALSE),VLOOKUP(AR$83,Cuision!$G:$P,9,FALSE),VLOOKUP(AR$83,Cuision!$G:$P,10,FALSE)))</f>
        <v>0</v>
      </c>
      <c r="AS148" s="33">
        <f>IF($A148=AS$83, 0, distance(VLOOKUP($A148,Cuision!$G:$P,9,FALSE),VLOOKUP($A148,Cuision!$G:$P,10,FALSE),VLOOKUP(AS$83,Cuision!$G:$P,9,FALSE),VLOOKUP(AS$83,Cuision!$G:$P,10,FALSE)))</f>
        <v>891.24715926506883</v>
      </c>
      <c r="AT148" s="33">
        <f>IF($A148=AT$83, 0, distance(VLOOKUP($A148,Cuision!$G:$P,9,FALSE),VLOOKUP($A148,Cuision!$G:$P,10,FALSE),VLOOKUP(AT$83,Cuision!$G:$P,9,FALSE),VLOOKUP(AT$83,Cuision!$G:$P,10,FALSE)))</f>
        <v>5939.0503914372766</v>
      </c>
      <c r="AU148" s="33">
        <f>IF($A148=AU$83, 0, distance(VLOOKUP($A148,Cuision!$G:$P,9,FALSE),VLOOKUP($A148,Cuision!$G:$P,10,FALSE),VLOOKUP(AU$83,Cuision!$G:$P,9,FALSE),VLOOKUP(AU$83,Cuision!$G:$P,10,FALSE)))</f>
        <v>5503.2087828027024</v>
      </c>
      <c r="AV148" s="33">
        <f>IF($A148=AV$83, 0, distance(VLOOKUP($A148,Cuision!$G:$P,9,FALSE),VLOOKUP($A148,Cuision!$G:$P,10,FALSE),VLOOKUP(AV$83,Cuision!$G:$P,9,FALSE),VLOOKUP(AV$83,Cuision!$G:$P,10,FALSE)))</f>
        <v>1933.043342393614</v>
      </c>
      <c r="AW148" s="33">
        <f>IF($A148=AW$83, 0, distance(VLOOKUP($A148,Cuision!$G:$P,9,FALSE),VLOOKUP($A148,Cuision!$G:$P,10,FALSE),VLOOKUP(AW$83,Cuision!$G:$P,9,FALSE),VLOOKUP(AW$83,Cuision!$G:$P,10,FALSE)))</f>
        <v>5777.680954062439</v>
      </c>
      <c r="AX148" s="33">
        <f>IF($A148=AX$83, 0, distance(VLOOKUP($A148,Cuision!$G:$P,9,FALSE),VLOOKUP($A148,Cuision!$G:$P,10,FALSE),VLOOKUP(AX$83,Cuision!$G:$P,9,FALSE),VLOOKUP(AX$83,Cuision!$G:$P,10,FALSE)))</f>
        <v>5265.4454220242496</v>
      </c>
      <c r="AY148" s="33">
        <f>IF($A148=AY$83, 0, distance(VLOOKUP($A148,Cuision!$G:$P,9,FALSE),VLOOKUP($A148,Cuision!$G:$P,10,FALSE),VLOOKUP(AY$83,Cuision!$G:$P,9,FALSE),VLOOKUP(AY$83,Cuision!$G:$P,10,FALSE)))</f>
        <v>-1</v>
      </c>
      <c r="AZ148" s="33">
        <f>IF($A148=AZ$83, 0, distance(VLOOKUP($A148,Cuision!$G:$P,9,FALSE),VLOOKUP($A148,Cuision!$G:$P,10,FALSE),VLOOKUP(AZ$83,Cuision!$G:$P,9,FALSE),VLOOKUP(AZ$83,Cuision!$G:$P,10,FALSE)))</f>
        <v>6552.6845975258957</v>
      </c>
      <c r="BA148" s="33">
        <f>IF($A148=BA$83, 0, distance(VLOOKUP($A148,Cuision!$G:$P,9,FALSE),VLOOKUP($A148,Cuision!$G:$P,10,FALSE),VLOOKUP(BA$83,Cuision!$G:$P,9,FALSE),VLOOKUP(BA$83,Cuision!$G:$P,10,FALSE)))</f>
        <v>1479.7592745115071</v>
      </c>
      <c r="BB148" s="33">
        <f>IF($A148=BB$83, 0, distance(VLOOKUP($A148,Cuision!$G:$P,9,FALSE),VLOOKUP($A148,Cuision!$G:$P,10,FALSE),VLOOKUP(BB$83,Cuision!$G:$P,9,FALSE),VLOOKUP(BB$83,Cuision!$G:$P,10,FALSE)))</f>
        <v>5547.650971384187</v>
      </c>
      <c r="BC148" s="33">
        <f>IF($A148=BC$83, 0, distance(VLOOKUP($A148,Cuision!$G:$P,9,FALSE),VLOOKUP($A148,Cuision!$G:$P,10,FALSE),VLOOKUP(BC$83,Cuision!$G:$P,9,FALSE),VLOOKUP(BC$83,Cuision!$G:$P,10,FALSE)))</f>
        <v>2663.5886544931418</v>
      </c>
      <c r="BD148" s="33">
        <f>IF($A148=BD$83, 0, distance(VLOOKUP($A148,Cuision!$G:$P,9,FALSE),VLOOKUP($A148,Cuision!$G:$P,10,FALSE),VLOOKUP(BD$83,Cuision!$G:$P,9,FALSE),VLOOKUP(BD$83,Cuision!$G:$P,10,FALSE)))</f>
        <v>4331.238021210751</v>
      </c>
      <c r="BE148" s="33">
        <f>IF($A148=BE$83, 0, distance(VLOOKUP($A148,Cuision!$G:$P,9,FALSE),VLOOKUP($A148,Cuision!$G:$P,10,FALSE),VLOOKUP(BE$83,Cuision!$G:$P,9,FALSE),VLOOKUP(BE$83,Cuision!$G:$P,10,FALSE)))</f>
        <v>1254.6271238950251</v>
      </c>
      <c r="BF148" s="33">
        <f>IF($A148=BF$83, 0, distance(VLOOKUP($A148,Cuision!$G:$P,9,FALSE),VLOOKUP($A148,Cuision!$G:$P,10,FALSE),VLOOKUP(BF$83,Cuision!$G:$P,9,FALSE),VLOOKUP(BF$83,Cuision!$G:$P,10,FALSE)))</f>
        <v>3747.4201000013099</v>
      </c>
      <c r="BG148" s="33">
        <f>IF($A148=BG$83, 0, distance(VLOOKUP($A148,Cuision!$G:$P,9,FALSE),VLOOKUP($A148,Cuision!$G:$P,10,FALSE),VLOOKUP(BG$83,Cuision!$G:$P,9,FALSE),VLOOKUP(BG$83,Cuision!$G:$P,10,FALSE)))</f>
        <v>2733.1643793800176</v>
      </c>
      <c r="BH148" s="33">
        <f>IF($A148=BH$83, 0, distance(VLOOKUP($A148,Cuision!$G:$P,9,FALSE),VLOOKUP($A148,Cuision!$G:$P,10,FALSE),VLOOKUP(BH$83,Cuision!$G:$P,9,FALSE),VLOOKUP(BH$83,Cuision!$G:$P,10,FALSE)))</f>
        <v>6318.3047804818971</v>
      </c>
      <c r="BI148" s="33">
        <f>IF($A148=BI$83, 0, distance(VLOOKUP($A148,Cuision!$G:$P,9,FALSE),VLOOKUP($A148,Cuision!$G:$P,10,FALSE),VLOOKUP(BI$83,Cuision!$G:$P,9,FALSE),VLOOKUP(BI$83,Cuision!$G:$P,10,FALSE)))</f>
        <v>899.98395122183263</v>
      </c>
      <c r="BJ148" s="33">
        <f>IF($A148=BJ$83, 0, distance(VLOOKUP($A148,Cuision!$G:$P,9,FALSE),VLOOKUP($A148,Cuision!$G:$P,10,FALSE),VLOOKUP(BJ$83,Cuision!$G:$P,9,FALSE),VLOOKUP(BJ$83,Cuision!$G:$P,10,FALSE)))</f>
        <v>984.87470919039413</v>
      </c>
      <c r="BK148" s="33">
        <f>IF($A148=BK$83, 0, distance(VLOOKUP($A148,Cuision!$G:$P,9,FALSE),VLOOKUP($A148,Cuision!$G:$P,10,FALSE),VLOOKUP(BK$83,Cuision!$G:$P,9,FALSE),VLOOKUP(BK$83,Cuision!$G:$P,10,FALSE)))</f>
        <v>1553.833295887762</v>
      </c>
      <c r="BL148" s="33">
        <f>IF($A148=BL$83, 0, distance(VLOOKUP($A148,Cuision!$G:$P,9,FALSE),VLOOKUP($A148,Cuision!$G:$P,10,FALSE),VLOOKUP(BL$83,Cuision!$G:$P,9,FALSE),VLOOKUP(BL$83,Cuision!$G:$P,10,FALSE)))</f>
        <v>-1</v>
      </c>
      <c r="BM148" s="33">
        <f>IF($A148=BM$83, 0, distance(VLOOKUP($A148,Cuision!$G:$P,9,FALSE),VLOOKUP($A148,Cuision!$G:$P,10,FALSE),VLOOKUP(BM$83,Cuision!$G:$P,9,FALSE),VLOOKUP(BM$83,Cuision!$G:$P,10,FALSE)))</f>
        <v>-1</v>
      </c>
      <c r="BN148" s="33">
        <f>IF($A148=BN$83, 0, distance(VLOOKUP($A148,Cuision!$G:$P,9,FALSE),VLOOKUP($A148,Cuision!$G:$P,10,FALSE),VLOOKUP(BN$83,Cuision!$G:$P,9,FALSE),VLOOKUP(BN$83,Cuision!$G:$P,10,FALSE)))</f>
        <v>0</v>
      </c>
      <c r="BO148" s="33">
        <f>IF($A148=BO$83, 0, distance(VLOOKUP($A148,Cuision!$G:$P,9,FALSE),VLOOKUP($A148,Cuision!$G:$P,10,FALSE),VLOOKUP(BO$83,Cuision!$G:$P,9,FALSE),VLOOKUP(BO$83,Cuision!$G:$P,10,FALSE)))</f>
        <v>6744.9428067144308</v>
      </c>
      <c r="BP148" s="33">
        <f>IF($A148=BP$83, 0, distance(VLOOKUP($A148,Cuision!$G:$P,9,FALSE),VLOOKUP($A148,Cuision!$G:$P,10,FALSE),VLOOKUP(BP$83,Cuision!$G:$P,9,FALSE),VLOOKUP(BP$83,Cuision!$G:$P,10,FALSE)))</f>
        <v>800.46477971837828</v>
      </c>
      <c r="BQ148" s="33">
        <f>IF($A148=BQ$83, 0, distance(VLOOKUP($A148,Cuision!$G:$P,9,FALSE),VLOOKUP($A148,Cuision!$G:$P,10,FALSE),VLOOKUP(BQ$83,Cuision!$G:$P,9,FALSE),VLOOKUP(BQ$83,Cuision!$G:$P,10,FALSE)))</f>
        <v>-1</v>
      </c>
      <c r="BR148" s="33">
        <f>IF($A148=BR$83, 0, distance(VLOOKUP($A148,Cuision!$G:$P,9,FALSE),VLOOKUP($A148,Cuision!$G:$P,10,FALSE),VLOOKUP(BR$83,Cuision!$G:$P,9,FALSE),VLOOKUP(BR$83,Cuision!$G:$P,10,FALSE)))</f>
        <v>3664.7380839482948</v>
      </c>
      <c r="BS148" s="33">
        <f>IF($A148=BS$83, 0, distance(VLOOKUP($A148,Cuision!$G:$P,9,FALSE),VLOOKUP($A148,Cuision!$G:$P,10,FALSE),VLOOKUP(BS$83,Cuision!$G:$P,9,FALSE),VLOOKUP(BS$83,Cuision!$G:$P,10,FALSE)))</f>
        <v>5057.7634483185511</v>
      </c>
      <c r="BT148" s="33">
        <f>IF($A148=BT$83, 0, distance(VLOOKUP($A148,Cuision!$G:$P,9,FALSE),VLOOKUP($A148,Cuision!$G:$P,10,FALSE),VLOOKUP(BT$83,Cuision!$G:$P,9,FALSE),VLOOKUP(BT$83,Cuision!$G:$P,10,FALSE)))</f>
        <v>784.90553114647901</v>
      </c>
      <c r="BU148" s="33">
        <f>IF($A148=BU$83, 0, distance(VLOOKUP($A148,Cuision!$G:$P,9,FALSE),VLOOKUP($A148,Cuision!$G:$P,10,FALSE),VLOOKUP(BU$83,Cuision!$G:$P,9,FALSE),VLOOKUP(BU$83,Cuision!$G:$P,10,FALSE)))</f>
        <v>5922.8208662926518</v>
      </c>
      <c r="BV148" s="33">
        <f>IF($A148=BV$83, 0, distance(VLOOKUP($A148,Cuision!$G:$P,9,FALSE),VLOOKUP($A148,Cuision!$G:$P,10,FALSE),VLOOKUP(BV$83,Cuision!$G:$P,9,FALSE),VLOOKUP(BV$83,Cuision!$G:$P,10,FALSE)))</f>
        <v>1760.794163609836</v>
      </c>
      <c r="BW148" s="33">
        <f>IF($A148=BW$83, 0, distance(VLOOKUP($A148,Cuision!$G:$P,9,FALSE),VLOOKUP($A148,Cuision!$G:$P,10,FALSE),VLOOKUP(BW$83,Cuision!$G:$P,9,FALSE),VLOOKUP(BW$83,Cuision!$G:$P,10,FALSE)))</f>
        <v>1325.4637208913487</v>
      </c>
      <c r="BX148" s="33">
        <f>IF($A148=BX$83, 0, distance(VLOOKUP($A148,Cuision!$G:$P,9,FALSE),VLOOKUP($A148,Cuision!$G:$P,10,FALSE),VLOOKUP(BX$83,Cuision!$G:$P,9,FALSE),VLOOKUP(BX$83,Cuision!$G:$P,10,FALSE)))</f>
        <v>3251.6711474408617</v>
      </c>
      <c r="BY148" s="33">
        <f>IF($A148=BY$83, 0, distance(VLOOKUP($A148,Cuision!$G:$P,9,FALSE),VLOOKUP($A148,Cuision!$G:$P,10,FALSE),VLOOKUP(BY$83,Cuision!$G:$P,9,FALSE),VLOOKUP(BY$83,Cuision!$G:$P,10,FALSE)))</f>
        <v>-1</v>
      </c>
      <c r="BZ148" s="33">
        <f>IF($A148=BZ$83, 0, distance(VLOOKUP($A148,Cuision!$G:$P,9,FALSE),VLOOKUP($A148,Cuision!$G:$P,10,FALSE),VLOOKUP(BZ$83,Cuision!$G:$P,9,FALSE),VLOOKUP(BZ$83,Cuision!$G:$P,10,FALSE)))</f>
        <v>-1</v>
      </c>
      <c r="CA148" s="33">
        <f>IF($A148=CA$83, 0, distance(VLOOKUP($A148,Cuision!$G:$P,9,FALSE),VLOOKUP($A148,Cuision!$G:$P,10,FALSE),VLOOKUP(CA$83,Cuision!$G:$P,9,FALSE),VLOOKUP(CA$83,Cuision!$G:$P,10,FALSE)))</f>
        <v>5738.2829531316083</v>
      </c>
    </row>
    <row r="149" spans="1:79" ht="14.25" x14ac:dyDescent="0.2">
      <c r="A149" s="30" t="s">
        <v>119</v>
      </c>
      <c r="B149" s="33">
        <f>IF($A149=B$83, 0, distance(VLOOKUP($A149,Cuision!$G:$P,9,FALSE),VLOOKUP($A149,Cuision!$G:$P,10,FALSE),VLOOKUP(B$83,Cuision!$G:$P,9,FALSE),VLOOKUP(B$83,Cuision!$G:$P,10,FALSE)))</f>
        <v>3203.3697399766083</v>
      </c>
      <c r="C149" s="33">
        <f>IF($A149=C$83, 0, distance(VLOOKUP($A149,Cuision!$G:$P,9,FALSE),VLOOKUP($A149,Cuision!$G:$P,10,FALSE),VLOOKUP(C$83,Cuision!$G:$P,9,FALSE),VLOOKUP(C$83,Cuision!$G:$P,10,FALSE)))</f>
        <v>4823.1728693128061</v>
      </c>
      <c r="D149" s="33">
        <f>IF($A149=D$83, 0, distance(VLOOKUP($A149,Cuision!$G:$P,9,FALSE),VLOOKUP($A149,Cuision!$G:$P,10,FALSE),VLOOKUP(D$83,Cuision!$G:$P,9,FALSE),VLOOKUP(D$83,Cuision!$G:$P,10,FALSE)))</f>
        <v>9658.8971636921433</v>
      </c>
      <c r="E149" s="33">
        <f>IF($A149=E$83, 0, distance(VLOOKUP($A149,Cuision!$G:$P,9,FALSE),VLOOKUP($A149,Cuision!$G:$P,10,FALSE),VLOOKUP(E$83,Cuision!$G:$P,9,FALSE),VLOOKUP(E$83,Cuision!$G:$P,10,FALSE)))</f>
        <v>9658.8971636921433</v>
      </c>
      <c r="F149" s="33">
        <f>IF($A149=F$83, 0, distance(VLOOKUP($A149,Cuision!$G:$P,9,FALSE),VLOOKUP($A149,Cuision!$G:$P,10,FALSE),VLOOKUP(F$83,Cuision!$G:$P,9,FALSE),VLOOKUP(F$83,Cuision!$G:$P,10,FALSE)))</f>
        <v>4459.7813872301176</v>
      </c>
      <c r="G149" s="33">
        <f>IF($A149=G$83, 0, distance(VLOOKUP($A149,Cuision!$G:$P,9,FALSE),VLOOKUP($A149,Cuision!$G:$P,10,FALSE),VLOOKUP(G$83,Cuision!$G:$P,9,FALSE),VLOOKUP(G$83,Cuision!$G:$P,10,FALSE)))</f>
        <v>9864.9262898381676</v>
      </c>
      <c r="H149" s="33">
        <f>IF($A149=H$83, 0, distance(VLOOKUP($A149,Cuision!$G:$P,9,FALSE),VLOOKUP($A149,Cuision!$G:$P,10,FALSE),VLOOKUP(H$83,Cuision!$G:$P,9,FALSE),VLOOKUP(H$83,Cuision!$G:$P,10,FALSE)))</f>
        <v>4571.646535797021</v>
      </c>
      <c r="I149" s="33">
        <f>IF($A149=I$83, 0, distance(VLOOKUP($A149,Cuision!$G:$P,9,FALSE),VLOOKUP($A149,Cuision!$G:$P,10,FALSE),VLOOKUP(I$83,Cuision!$G:$P,9,FALSE),VLOOKUP(I$83,Cuision!$G:$P,10,FALSE)))</f>
        <v>2272.8516717764592</v>
      </c>
      <c r="J149" s="33">
        <f>IF($A149=J$83, 0, distance(VLOOKUP($A149,Cuision!$G:$P,9,FALSE),VLOOKUP($A149,Cuision!$G:$P,10,FALSE),VLOOKUP(J$83,Cuision!$G:$P,9,FALSE),VLOOKUP(J$83,Cuision!$G:$P,10,FALSE)))</f>
        <v>3859.1479803437887</v>
      </c>
      <c r="K149" s="33">
        <f>IF($A149=K$83, 0, distance(VLOOKUP($A149,Cuision!$G:$P,9,FALSE),VLOOKUP($A149,Cuision!$G:$P,10,FALSE),VLOOKUP(K$83,Cuision!$G:$P,9,FALSE),VLOOKUP(K$83,Cuision!$G:$P,10,FALSE)))</f>
        <v>6035.6308888027097</v>
      </c>
      <c r="L149" s="33">
        <f>IF($A149=L$83, 0, distance(VLOOKUP($A149,Cuision!$G:$P,9,FALSE),VLOOKUP($A149,Cuision!$G:$P,10,FALSE),VLOOKUP(L$83,Cuision!$G:$P,9,FALSE),VLOOKUP(L$83,Cuision!$G:$P,10,FALSE)))</f>
        <v>1791.360515325917</v>
      </c>
      <c r="M149" s="33">
        <f>IF($A149=M$83, 0, distance(VLOOKUP($A149,Cuision!$G:$P,9,FALSE),VLOOKUP($A149,Cuision!$G:$P,10,FALSE),VLOOKUP(M$83,Cuision!$G:$P,9,FALSE),VLOOKUP(M$83,Cuision!$G:$P,10,FALSE)))</f>
        <v>-1</v>
      </c>
      <c r="N149" s="33">
        <f>IF($A149=N$83, 0, distance(VLOOKUP($A149,Cuision!$G:$P,9,FALSE),VLOOKUP($A149,Cuision!$G:$P,10,FALSE),VLOOKUP(N$83,Cuision!$G:$P,9,FALSE),VLOOKUP(N$83,Cuision!$G:$P,10,FALSE)))</f>
        <v>7075.5210885552169</v>
      </c>
      <c r="O149" s="33">
        <f>IF($A149=O$83, 0, distance(VLOOKUP($A149,Cuision!$G:$P,9,FALSE),VLOOKUP($A149,Cuision!$G:$P,10,FALSE),VLOOKUP(O$83,Cuision!$G:$P,9,FALSE),VLOOKUP(O$83,Cuision!$G:$P,10,FALSE)))</f>
        <v>6561.8115416554701</v>
      </c>
      <c r="P149" s="33">
        <f>IF($A149=P$83, 0, distance(VLOOKUP($A149,Cuision!$G:$P,9,FALSE),VLOOKUP($A149,Cuision!$G:$P,10,FALSE),VLOOKUP(P$83,Cuision!$G:$P,9,FALSE),VLOOKUP(P$83,Cuision!$G:$P,10,FALSE)))</f>
        <v>10268.959396286917</v>
      </c>
      <c r="Q149" s="33">
        <f>IF($A149=Q$83, 0, distance(VLOOKUP($A149,Cuision!$G:$P,9,FALSE),VLOOKUP($A149,Cuision!$G:$P,10,FALSE),VLOOKUP(Q$83,Cuision!$G:$P,9,FALSE),VLOOKUP(Q$83,Cuision!$G:$P,10,FALSE)))</f>
        <v>-1</v>
      </c>
      <c r="R149" s="33">
        <f>IF($A149=R$83, 0, distance(VLOOKUP($A149,Cuision!$G:$P,9,FALSE),VLOOKUP($A149,Cuision!$G:$P,10,FALSE),VLOOKUP(R$83,Cuision!$G:$P,9,FALSE),VLOOKUP(R$83,Cuision!$G:$P,10,FALSE)))</f>
        <v>6744.9428067144308</v>
      </c>
      <c r="S149" s="33">
        <f>IF($A149=S$83, 0, distance(VLOOKUP($A149,Cuision!$G:$P,9,FALSE),VLOOKUP($A149,Cuision!$G:$P,10,FALSE),VLOOKUP(S$83,Cuision!$G:$P,9,FALSE),VLOOKUP(S$83,Cuision!$G:$P,10,FALSE)))</f>
        <v>-1</v>
      </c>
      <c r="T149" s="33">
        <f>IF($A149=T$83, 0, distance(VLOOKUP($A149,Cuision!$G:$P,9,FALSE),VLOOKUP($A149,Cuision!$G:$P,10,FALSE),VLOOKUP(T$83,Cuision!$G:$P,9,FALSE),VLOOKUP(T$83,Cuision!$G:$P,10,FALSE)))</f>
        <v>1378.0449455112414</v>
      </c>
      <c r="U149" s="33">
        <f>IF($A149=U$83, 0, distance(VLOOKUP($A149,Cuision!$G:$P,9,FALSE),VLOOKUP($A149,Cuision!$G:$P,10,FALSE),VLOOKUP(U$83,Cuision!$G:$P,9,FALSE),VLOOKUP(U$83,Cuision!$G:$P,10,FALSE)))</f>
        <v>-1</v>
      </c>
      <c r="V149" s="33">
        <f>IF($A149=V$83, 0, distance(VLOOKUP($A149,Cuision!$G:$P,9,FALSE),VLOOKUP($A149,Cuision!$G:$P,10,FALSE),VLOOKUP(V$83,Cuision!$G:$P,9,FALSE),VLOOKUP(V$83,Cuision!$G:$P,10,FALSE)))</f>
        <v>9658.8971636921433</v>
      </c>
      <c r="W149" s="33">
        <f>IF($A149=W$83, 0, distance(VLOOKUP($A149,Cuision!$G:$P,9,FALSE),VLOOKUP($A149,Cuision!$G:$P,10,FALSE),VLOOKUP(W$83,Cuision!$G:$P,9,FALSE),VLOOKUP(W$83,Cuision!$G:$P,10,FALSE)))</f>
        <v>713.33649670594411</v>
      </c>
      <c r="X149" s="33">
        <f>IF($A149=X$83, 0, distance(VLOOKUP($A149,Cuision!$G:$P,9,FALSE),VLOOKUP($A149,Cuision!$G:$P,10,FALSE),VLOOKUP(X$83,Cuision!$G:$P,9,FALSE),VLOOKUP(X$83,Cuision!$G:$P,10,FALSE)))</f>
        <v>7075.5210885552169</v>
      </c>
      <c r="Y149" s="33">
        <f>IF($A149=Y$83, 0, distance(VLOOKUP($A149,Cuision!$G:$P,9,FALSE),VLOOKUP($A149,Cuision!$G:$P,10,FALSE),VLOOKUP(Y$83,Cuision!$G:$P,9,FALSE),VLOOKUP(Y$83,Cuision!$G:$P,10,FALSE)))</f>
        <v>2782.4195090708558</v>
      </c>
      <c r="Z149" s="33">
        <f>IF($A149=Z$83, 0, distance(VLOOKUP($A149,Cuision!$G:$P,9,FALSE),VLOOKUP($A149,Cuision!$G:$P,10,FALSE),VLOOKUP(Z$83,Cuision!$G:$P,9,FALSE),VLOOKUP(Z$83,Cuision!$G:$P,10,FALSE)))</f>
        <v>-1</v>
      </c>
      <c r="AA149" s="33">
        <f>IF($A149=AA$83, 0, distance(VLOOKUP($A149,Cuision!$G:$P,9,FALSE),VLOOKUP($A149,Cuision!$G:$P,10,FALSE),VLOOKUP(AA$83,Cuision!$G:$P,9,FALSE),VLOOKUP(AA$83,Cuision!$G:$P,10,FALSE)))</f>
        <v>10697.762497183669</v>
      </c>
      <c r="AB149" s="33">
        <f>IF($A149=AB$83, 0, distance(VLOOKUP($A149,Cuision!$G:$P,9,FALSE),VLOOKUP($A149,Cuision!$G:$P,10,FALSE),VLOOKUP(AB$83,Cuision!$G:$P,9,FALSE),VLOOKUP(AB$83,Cuision!$G:$P,10,FALSE)))</f>
        <v>6124.4730150732566</v>
      </c>
      <c r="AC149" s="33">
        <f>IF($A149=AC$83, 0, distance(VLOOKUP($A149,Cuision!$G:$P,9,FALSE),VLOOKUP($A149,Cuision!$G:$P,10,FALSE),VLOOKUP(AC$83,Cuision!$G:$P,9,FALSE),VLOOKUP(AC$83,Cuision!$G:$P,10,FALSE)))</f>
        <v>4505.5347758173402</v>
      </c>
      <c r="AD149" s="33">
        <f>IF($A149=AD$83, 0, distance(VLOOKUP($A149,Cuision!$G:$P,9,FALSE),VLOOKUP($A149,Cuision!$G:$P,10,FALSE),VLOOKUP(AD$83,Cuision!$G:$P,9,FALSE),VLOOKUP(AD$83,Cuision!$G:$P,10,FALSE)))</f>
        <v>1487.5570319020173</v>
      </c>
      <c r="AE149" s="33">
        <f>IF($A149=AE$83, 0, distance(VLOOKUP($A149,Cuision!$G:$P,9,FALSE),VLOOKUP($A149,Cuision!$G:$P,10,FALSE),VLOOKUP(AE$83,Cuision!$G:$P,9,FALSE),VLOOKUP(AE$83,Cuision!$G:$P,10,FALSE)))</f>
        <v>6187.7162068979296</v>
      </c>
      <c r="AF149" s="33">
        <f>IF($A149=AF$83, 0, distance(VLOOKUP($A149,Cuision!$G:$P,9,FALSE),VLOOKUP($A149,Cuision!$G:$P,10,FALSE),VLOOKUP(AF$83,Cuision!$G:$P,9,FALSE),VLOOKUP(AF$83,Cuision!$G:$P,10,FALSE)))</f>
        <v>6671.1781825746866</v>
      </c>
      <c r="AG149" s="33">
        <f>IF($A149=AG$83, 0, distance(VLOOKUP($A149,Cuision!$G:$P,9,FALSE),VLOOKUP($A149,Cuision!$G:$P,10,FALSE),VLOOKUP(AG$83,Cuision!$G:$P,9,FALSE),VLOOKUP(AG$83,Cuision!$G:$P,10,FALSE)))</f>
        <v>6165.8698501794952</v>
      </c>
      <c r="AH149" s="33">
        <f>IF($A149=AH$83, 0, distance(VLOOKUP($A149,Cuision!$G:$P,9,FALSE),VLOOKUP($A149,Cuision!$G:$P,10,FALSE),VLOOKUP(AH$83,Cuision!$G:$P,9,FALSE),VLOOKUP(AH$83,Cuision!$G:$P,10,FALSE)))</f>
        <v>-1</v>
      </c>
      <c r="AI149" s="33">
        <f>IF($A149=AI$83, 0, distance(VLOOKUP($A149,Cuision!$G:$P,9,FALSE),VLOOKUP($A149,Cuision!$G:$P,10,FALSE),VLOOKUP(AI$83,Cuision!$G:$P,9,FALSE),VLOOKUP(AI$83,Cuision!$G:$P,10,FALSE)))</f>
        <v>5626.340670930831</v>
      </c>
      <c r="AJ149" s="33">
        <f>IF($A149=AJ$83, 0, distance(VLOOKUP($A149,Cuision!$G:$P,9,FALSE),VLOOKUP($A149,Cuision!$G:$P,10,FALSE),VLOOKUP(AJ$83,Cuision!$G:$P,9,FALSE),VLOOKUP(AJ$83,Cuision!$G:$P,10,FALSE)))</f>
        <v>4459.7813872301176</v>
      </c>
      <c r="AK149" s="33">
        <f>IF($A149=AK$83, 0, distance(VLOOKUP($A149,Cuision!$G:$P,9,FALSE),VLOOKUP($A149,Cuision!$G:$P,10,FALSE),VLOOKUP(AK$83,Cuision!$G:$P,9,FALSE),VLOOKUP(AK$83,Cuision!$G:$P,10,FALSE)))</f>
        <v>6873.2065151404695</v>
      </c>
      <c r="AL149" s="33">
        <f>IF($A149=AL$83, 0, distance(VLOOKUP($A149,Cuision!$G:$P,9,FALSE),VLOOKUP($A149,Cuision!$G:$P,10,FALSE),VLOOKUP(AL$83,Cuision!$G:$P,9,FALSE),VLOOKUP(AL$83,Cuision!$G:$P,10,FALSE)))</f>
        <v>2198.1738255048185</v>
      </c>
      <c r="AM149" s="33">
        <f>IF($A149=AM$83, 0, distance(VLOOKUP($A149,Cuision!$G:$P,9,FALSE),VLOOKUP($A149,Cuision!$G:$P,10,FALSE),VLOOKUP(AM$83,Cuision!$G:$P,9,FALSE),VLOOKUP(AM$83,Cuision!$G:$P,10,FALSE)))</f>
        <v>-1</v>
      </c>
      <c r="AN149" s="33">
        <f>IF($A149=AN$83, 0, distance(VLOOKUP($A149,Cuision!$G:$P,9,FALSE),VLOOKUP($A149,Cuision!$G:$P,10,FALSE),VLOOKUP(AN$83,Cuision!$G:$P,9,FALSE),VLOOKUP(AN$83,Cuision!$G:$P,10,FALSE)))</f>
        <v>5910.2258996727651</v>
      </c>
      <c r="AO149" s="33">
        <f>IF($A149=AO$83, 0, distance(VLOOKUP($A149,Cuision!$G:$P,9,FALSE),VLOOKUP($A149,Cuision!$G:$P,10,FALSE),VLOOKUP(AO$83,Cuision!$G:$P,9,FALSE),VLOOKUP(AO$83,Cuision!$G:$P,10,FALSE)))</f>
        <v>7075.5210885552169</v>
      </c>
      <c r="AP149" s="33">
        <f>IF($A149=AP$83, 0, distance(VLOOKUP($A149,Cuision!$G:$P,9,FALSE),VLOOKUP($A149,Cuision!$G:$P,10,FALSE),VLOOKUP(AP$83,Cuision!$G:$P,9,FALSE),VLOOKUP(AP$83,Cuision!$G:$P,10,FALSE)))</f>
        <v>2579.2412306583092</v>
      </c>
      <c r="AQ149" s="33">
        <f>IF($A149=AQ$83, 0, distance(VLOOKUP($A149,Cuision!$G:$P,9,FALSE),VLOOKUP($A149,Cuision!$G:$P,10,FALSE),VLOOKUP(AQ$83,Cuision!$G:$P,9,FALSE),VLOOKUP(AQ$83,Cuision!$G:$P,10,FALSE)))</f>
        <v>557.96543684324297</v>
      </c>
      <c r="AR149" s="33">
        <f>IF($A149=AR$83, 0, distance(VLOOKUP($A149,Cuision!$G:$P,9,FALSE),VLOOKUP($A149,Cuision!$G:$P,10,FALSE),VLOOKUP(AR$83,Cuision!$G:$P,9,FALSE),VLOOKUP(AR$83,Cuision!$G:$P,10,FALSE)))</f>
        <v>6744.9428067144308</v>
      </c>
      <c r="AS149" s="33">
        <f>IF($A149=AS$83, 0, distance(VLOOKUP($A149,Cuision!$G:$P,9,FALSE),VLOOKUP($A149,Cuision!$G:$P,10,FALSE),VLOOKUP(AS$83,Cuision!$G:$P,9,FALSE),VLOOKUP(AS$83,Cuision!$G:$P,10,FALSE)))</f>
        <v>6229.0333141293559</v>
      </c>
      <c r="AT149" s="33">
        <f>IF($A149=AT$83, 0, distance(VLOOKUP($A149,Cuision!$G:$P,9,FALSE),VLOOKUP($A149,Cuision!$G:$P,10,FALSE),VLOOKUP(AT$83,Cuision!$G:$P,9,FALSE),VLOOKUP(AT$83,Cuision!$G:$P,10,FALSE)))</f>
        <v>3304.378027373737</v>
      </c>
      <c r="AU149" s="33">
        <f>IF($A149=AU$83, 0, distance(VLOOKUP($A149,Cuision!$G:$P,9,FALSE),VLOOKUP($A149,Cuision!$G:$P,10,FALSE),VLOOKUP(AU$83,Cuision!$G:$P,9,FALSE),VLOOKUP(AU$83,Cuision!$G:$P,10,FALSE)))</f>
        <v>2905.9596746781376</v>
      </c>
      <c r="AV149" s="33">
        <f>IF($A149=AV$83, 0, distance(VLOOKUP($A149,Cuision!$G:$P,9,FALSE),VLOOKUP($A149,Cuision!$G:$P,10,FALSE),VLOOKUP(AV$83,Cuision!$G:$P,9,FALSE),VLOOKUP(AV$83,Cuision!$G:$P,10,FALSE)))</f>
        <v>5159.4493547193561</v>
      </c>
      <c r="AW149" s="33">
        <f>IF($A149=AW$83, 0, distance(VLOOKUP($A149,Cuision!$G:$P,9,FALSE),VLOOKUP($A149,Cuision!$G:$P,10,FALSE),VLOOKUP(AW$83,Cuision!$G:$P,9,FALSE),VLOOKUP(AW$83,Cuision!$G:$P,10,FALSE)))</f>
        <v>1155.5382496239677</v>
      </c>
      <c r="AX149" s="33">
        <f>IF($A149=AX$83, 0, distance(VLOOKUP($A149,Cuision!$G:$P,9,FALSE),VLOOKUP($A149,Cuision!$G:$P,10,FALSE),VLOOKUP(AX$83,Cuision!$G:$P,9,FALSE),VLOOKUP(AX$83,Cuision!$G:$P,10,FALSE)))</f>
        <v>11390.557972793817</v>
      </c>
      <c r="AY149" s="33">
        <f>IF($A149=AY$83, 0, distance(VLOOKUP($A149,Cuision!$G:$P,9,FALSE),VLOOKUP($A149,Cuision!$G:$P,10,FALSE),VLOOKUP(AY$83,Cuision!$G:$P,9,FALSE),VLOOKUP(AY$83,Cuision!$G:$P,10,FALSE)))</f>
        <v>-1</v>
      </c>
      <c r="AZ149" s="33">
        <f>IF($A149=AZ$83, 0, distance(VLOOKUP($A149,Cuision!$G:$P,9,FALSE),VLOOKUP($A149,Cuision!$G:$P,10,FALSE),VLOOKUP(AZ$83,Cuision!$G:$P,9,FALSE),VLOOKUP(AZ$83,Cuision!$G:$P,10,FALSE)))</f>
        <v>196.39946884814901</v>
      </c>
      <c r="BA149" s="33">
        <f>IF($A149=BA$83, 0, distance(VLOOKUP($A149,Cuision!$G:$P,9,FALSE),VLOOKUP($A149,Cuision!$G:$P,10,FALSE),VLOOKUP(BA$83,Cuision!$G:$P,9,FALSE),VLOOKUP(BA$83,Cuision!$G:$P,10,FALSE)))</f>
        <v>5928.6934221287875</v>
      </c>
      <c r="BB149" s="33">
        <f>IF($A149=BB$83, 0, distance(VLOOKUP($A149,Cuision!$G:$P,9,FALSE),VLOOKUP($A149,Cuision!$G:$P,10,FALSE),VLOOKUP(BB$83,Cuision!$G:$P,9,FALSE),VLOOKUP(BB$83,Cuision!$G:$P,10,FALSE)))</f>
        <v>10320.167260842498</v>
      </c>
      <c r="BC149" s="33">
        <f>IF($A149=BC$83, 0, distance(VLOOKUP($A149,Cuision!$G:$P,9,FALSE),VLOOKUP($A149,Cuision!$G:$P,10,FALSE),VLOOKUP(BC$83,Cuision!$G:$P,9,FALSE),VLOOKUP(BC$83,Cuision!$G:$P,10,FALSE)))</f>
        <v>4459.7813872301176</v>
      </c>
      <c r="BD149" s="33">
        <f>IF($A149=BD$83, 0, distance(VLOOKUP($A149,Cuision!$G:$P,9,FALSE),VLOOKUP($A149,Cuision!$G:$P,10,FALSE),VLOOKUP(BD$83,Cuision!$G:$P,9,FALSE),VLOOKUP(BD$83,Cuision!$G:$P,10,FALSE)))</f>
        <v>3226.075165795115</v>
      </c>
      <c r="BE149" s="33">
        <f>IF($A149=BE$83, 0, distance(VLOOKUP($A149,Cuision!$G:$P,9,FALSE),VLOOKUP($A149,Cuision!$G:$P,10,FALSE),VLOOKUP(BE$83,Cuision!$G:$P,9,FALSE),VLOOKUP(BE$83,Cuision!$G:$P,10,FALSE)))</f>
        <v>7341.8154974153995</v>
      </c>
      <c r="BF149" s="33">
        <f>IF($A149=BF$83, 0, distance(VLOOKUP($A149,Cuision!$G:$P,9,FALSE),VLOOKUP($A149,Cuision!$G:$P,10,FALSE),VLOOKUP(BF$83,Cuision!$G:$P,9,FALSE),VLOOKUP(BF$83,Cuision!$G:$P,10,FALSE)))</f>
        <v>2997.8352247415678</v>
      </c>
      <c r="BG149" s="33">
        <f>IF($A149=BG$83, 0, distance(VLOOKUP($A149,Cuision!$G:$P,9,FALSE),VLOOKUP($A149,Cuision!$G:$P,10,FALSE),VLOOKUP(BG$83,Cuision!$G:$P,9,FALSE),VLOOKUP(BG$83,Cuision!$G:$P,10,FALSE)))</f>
        <v>4107.7113955728782</v>
      </c>
      <c r="BH149" s="33">
        <f>IF($A149=BH$83, 0, distance(VLOOKUP($A149,Cuision!$G:$P,9,FALSE),VLOOKUP($A149,Cuision!$G:$P,10,FALSE),VLOOKUP(BH$83,Cuision!$G:$P,9,FALSE),VLOOKUP(BH$83,Cuision!$G:$P,10,FALSE)))</f>
        <v>11691.039019222369</v>
      </c>
      <c r="BI149" s="33">
        <f>IF($A149=BI$83, 0, distance(VLOOKUP($A149,Cuision!$G:$P,9,FALSE),VLOOKUP($A149,Cuision!$G:$P,10,FALSE),VLOOKUP(BI$83,Cuision!$G:$P,9,FALSE),VLOOKUP(BI$83,Cuision!$G:$P,10,FALSE)))</f>
        <v>5844.9753942884972</v>
      </c>
      <c r="BJ149" s="33">
        <f>IF($A149=BJ$83, 0, distance(VLOOKUP($A149,Cuision!$G:$P,9,FALSE),VLOOKUP($A149,Cuision!$G:$P,10,FALSE),VLOOKUP(BJ$83,Cuision!$G:$P,9,FALSE),VLOOKUP(BJ$83,Cuision!$G:$P,10,FALSE)))</f>
        <v>7384.6491963596191</v>
      </c>
      <c r="BK149" s="33">
        <f>IF($A149=BK$83, 0, distance(VLOOKUP($A149,Cuision!$G:$P,9,FALSE),VLOOKUP($A149,Cuision!$G:$P,10,FALSE),VLOOKUP(BK$83,Cuision!$G:$P,9,FALSE),VLOOKUP(BK$83,Cuision!$G:$P,10,FALSE)))</f>
        <v>5236.6478244579721</v>
      </c>
      <c r="BL149" s="33">
        <f>IF($A149=BL$83, 0, distance(VLOOKUP($A149,Cuision!$G:$P,9,FALSE),VLOOKUP($A149,Cuision!$G:$P,10,FALSE),VLOOKUP(BL$83,Cuision!$G:$P,9,FALSE),VLOOKUP(BL$83,Cuision!$G:$P,10,FALSE)))</f>
        <v>-1</v>
      </c>
      <c r="BM149" s="33">
        <f>IF($A149=BM$83, 0, distance(VLOOKUP($A149,Cuision!$G:$P,9,FALSE),VLOOKUP($A149,Cuision!$G:$P,10,FALSE),VLOOKUP(BM$83,Cuision!$G:$P,9,FALSE),VLOOKUP(BM$83,Cuision!$G:$P,10,FALSE)))</f>
        <v>-1</v>
      </c>
      <c r="BN149" s="33">
        <f>IF($A149=BN$83, 0, distance(VLOOKUP($A149,Cuision!$G:$P,9,FALSE),VLOOKUP($A149,Cuision!$G:$P,10,FALSE),VLOOKUP(BN$83,Cuision!$G:$P,9,FALSE),VLOOKUP(BN$83,Cuision!$G:$P,10,FALSE)))</f>
        <v>6744.9428067144308</v>
      </c>
      <c r="BO149" s="33">
        <f>IF($A149=BO$83, 0, distance(VLOOKUP($A149,Cuision!$G:$P,9,FALSE),VLOOKUP($A149,Cuision!$G:$P,10,FALSE),VLOOKUP(BO$83,Cuision!$G:$P,9,FALSE),VLOOKUP(BO$83,Cuision!$G:$P,10,FALSE)))</f>
        <v>0</v>
      </c>
      <c r="BP149" s="33">
        <f>IF($A149=BP$83, 0, distance(VLOOKUP($A149,Cuision!$G:$P,9,FALSE),VLOOKUP($A149,Cuision!$G:$P,10,FALSE),VLOOKUP(BP$83,Cuision!$G:$P,9,FALSE),VLOOKUP(BP$83,Cuision!$G:$P,10,FALSE)))</f>
        <v>6001.4552647046148</v>
      </c>
      <c r="BQ149" s="33">
        <f>IF($A149=BQ$83, 0, distance(VLOOKUP($A149,Cuision!$G:$P,9,FALSE),VLOOKUP($A149,Cuision!$G:$P,10,FALSE),VLOOKUP(BQ$83,Cuision!$G:$P,9,FALSE),VLOOKUP(BQ$83,Cuision!$G:$P,10,FALSE)))</f>
        <v>-1</v>
      </c>
      <c r="BR149" s="33">
        <f>IF($A149=BR$83, 0, distance(VLOOKUP($A149,Cuision!$G:$P,9,FALSE),VLOOKUP($A149,Cuision!$G:$P,10,FALSE),VLOOKUP(BR$83,Cuision!$G:$P,9,FALSE),VLOOKUP(BR$83,Cuision!$G:$P,10,FALSE)))</f>
        <v>9658.8971636921433</v>
      </c>
      <c r="BS149" s="33">
        <f>IF($A149=BS$83, 0, distance(VLOOKUP($A149,Cuision!$G:$P,9,FALSE),VLOOKUP($A149,Cuision!$G:$P,10,FALSE),VLOOKUP(BS$83,Cuision!$G:$P,9,FALSE),VLOOKUP(BS$83,Cuision!$G:$P,10,FALSE)))</f>
        <v>2782.4195090708558</v>
      </c>
      <c r="BT149" s="33">
        <f>IF($A149=BT$83, 0, distance(VLOOKUP($A149,Cuision!$G:$P,9,FALSE),VLOOKUP($A149,Cuision!$G:$P,10,FALSE),VLOOKUP(BT$83,Cuision!$G:$P,9,FALSE),VLOOKUP(BT$83,Cuision!$G:$P,10,FALSE)))</f>
        <v>7075.5210885552169</v>
      </c>
      <c r="BU149" s="33">
        <f>IF($A149=BU$83, 0, distance(VLOOKUP($A149,Cuision!$G:$P,9,FALSE),VLOOKUP($A149,Cuision!$G:$P,10,FALSE),VLOOKUP(BU$83,Cuision!$G:$P,9,FALSE),VLOOKUP(BU$83,Cuision!$G:$P,10,FALSE)))</f>
        <v>890.79503715636588</v>
      </c>
      <c r="BV149" s="33">
        <f>IF($A149=BV$83, 0, distance(VLOOKUP($A149,Cuision!$G:$P,9,FALSE),VLOOKUP($A149,Cuision!$G:$P,10,FALSE),VLOOKUP(BV$83,Cuision!$G:$P,9,FALSE),VLOOKUP(BV$83,Cuision!$G:$P,10,FALSE)))</f>
        <v>5160.1932215116876</v>
      </c>
      <c r="BW149" s="33">
        <f>IF($A149=BW$83, 0, distance(VLOOKUP($A149,Cuision!$G:$P,9,FALSE),VLOOKUP($A149,Cuision!$G:$P,10,FALSE),VLOOKUP(BW$83,Cuision!$G:$P,9,FALSE),VLOOKUP(BW$83,Cuision!$G:$P,10,FALSE)))</f>
        <v>5421.1306826395503</v>
      </c>
      <c r="BX149" s="33">
        <f>IF($A149=BX$83, 0, distance(VLOOKUP($A149,Cuision!$G:$P,9,FALSE),VLOOKUP($A149,Cuision!$G:$P,10,FALSE),VLOOKUP(BX$83,Cuision!$G:$P,9,FALSE),VLOOKUP(BX$83,Cuision!$G:$P,10,FALSE)))</f>
        <v>3503.5922673228747</v>
      </c>
      <c r="BY149" s="33">
        <f>IF($A149=BY$83, 0, distance(VLOOKUP($A149,Cuision!$G:$P,9,FALSE),VLOOKUP($A149,Cuision!$G:$P,10,FALSE),VLOOKUP(BY$83,Cuision!$G:$P,9,FALSE),VLOOKUP(BY$83,Cuision!$G:$P,10,FALSE)))</f>
        <v>-1</v>
      </c>
      <c r="BZ149" s="33">
        <f>IF($A149=BZ$83, 0, distance(VLOOKUP($A149,Cuision!$G:$P,9,FALSE),VLOOKUP($A149,Cuision!$G:$P,10,FALSE),VLOOKUP(BZ$83,Cuision!$G:$P,9,FALSE),VLOOKUP(BZ$83,Cuision!$G:$P,10,FALSE)))</f>
        <v>-1</v>
      </c>
      <c r="CA149" s="33">
        <f>IF($A149=CA$83, 0, distance(VLOOKUP($A149,Cuision!$G:$P,9,FALSE),VLOOKUP($A149,Cuision!$G:$P,10,FALSE),VLOOKUP(CA$83,Cuision!$G:$P,9,FALSE),VLOOKUP(CA$83,Cuision!$G:$P,10,FALSE)))</f>
        <v>1369.7300900214586</v>
      </c>
    </row>
    <row r="150" spans="1:79" ht="14.25" x14ac:dyDescent="0.2">
      <c r="A150" s="30" t="s">
        <v>120</v>
      </c>
      <c r="B150" s="33">
        <f>IF($A150=B$83, 0, distance(VLOOKUP($A150,Cuision!$G:$P,9,FALSE),VLOOKUP($A150,Cuision!$G:$P,10,FALSE),VLOOKUP(B$83,Cuision!$G:$P,9,FALSE),VLOOKUP(B$83,Cuision!$G:$P,10,FALSE)))</f>
        <v>2799.5499667722061</v>
      </c>
      <c r="C150" s="33">
        <f>IF($A150=C$83, 0, distance(VLOOKUP($A150,Cuision!$G:$P,9,FALSE),VLOOKUP($A150,Cuision!$G:$P,10,FALSE),VLOOKUP(C$83,Cuision!$G:$P,9,FALSE),VLOOKUP(C$83,Cuision!$G:$P,10,FALSE)))</f>
        <v>4074.4093842233847</v>
      </c>
      <c r="D150" s="33">
        <f>IF($A150=D$83, 0, distance(VLOOKUP($A150,Cuision!$G:$P,9,FALSE),VLOOKUP($A150,Cuision!$G:$P,10,FALSE),VLOOKUP(D$83,Cuision!$G:$P,9,FALSE),VLOOKUP(D$83,Cuision!$G:$P,10,FALSE)))</f>
        <v>4457.7115648599465</v>
      </c>
      <c r="E150" s="33">
        <f>IF($A150=E$83, 0, distance(VLOOKUP($A150,Cuision!$G:$P,9,FALSE),VLOOKUP($A150,Cuision!$G:$P,10,FALSE),VLOOKUP(E$83,Cuision!$G:$P,9,FALSE),VLOOKUP(E$83,Cuision!$G:$P,10,FALSE)))</f>
        <v>4457.7115648599465</v>
      </c>
      <c r="F150" s="33">
        <f>IF($A150=F$83, 0, distance(VLOOKUP($A150,Cuision!$G:$P,9,FALSE),VLOOKUP($A150,Cuision!$G:$P,10,FALSE),VLOOKUP(F$83,Cuision!$G:$P,9,FALSE),VLOOKUP(F$83,Cuision!$G:$P,10,FALSE)))</f>
        <v>1874.7303697421555</v>
      </c>
      <c r="G150" s="33">
        <f>IF($A150=G$83, 0, distance(VLOOKUP($A150,Cuision!$G:$P,9,FALSE),VLOOKUP($A150,Cuision!$G:$P,10,FALSE),VLOOKUP(G$83,Cuision!$G:$P,9,FALSE),VLOOKUP(G$83,Cuision!$G:$P,10,FALSE)))</f>
        <v>7364.2569093644652</v>
      </c>
      <c r="H150" s="33">
        <f>IF($A150=H$83, 0, distance(VLOOKUP($A150,Cuision!$G:$P,9,FALSE),VLOOKUP($A150,Cuision!$G:$P,10,FALSE),VLOOKUP(H$83,Cuision!$G:$P,9,FALSE),VLOOKUP(H$83,Cuision!$G:$P,10,FALSE)))</f>
        <v>1455.5753167577611</v>
      </c>
      <c r="I150" s="33">
        <f>IF($A150=I$83, 0, distance(VLOOKUP($A150,Cuision!$G:$P,9,FALSE),VLOOKUP($A150,Cuision!$G:$P,10,FALSE),VLOOKUP(I$83,Cuision!$G:$P,9,FALSE),VLOOKUP(I$83,Cuision!$G:$P,10,FALSE)))</f>
        <v>4238.2927375783129</v>
      </c>
      <c r="J150" s="33">
        <f>IF($A150=J$83, 0, distance(VLOOKUP($A150,Cuision!$G:$P,9,FALSE),VLOOKUP($A150,Cuision!$G:$P,10,FALSE),VLOOKUP(J$83,Cuision!$G:$P,9,FALSE),VLOOKUP(J$83,Cuision!$G:$P,10,FALSE)))</f>
        <v>9854.8252569725901</v>
      </c>
      <c r="K150" s="33">
        <f>IF($A150=K$83, 0, distance(VLOOKUP($A150,Cuision!$G:$P,9,FALSE),VLOOKUP($A150,Cuision!$G:$P,10,FALSE),VLOOKUP(K$83,Cuision!$G:$P,9,FALSE),VLOOKUP(K$83,Cuision!$G:$P,10,FALSE)))</f>
        <v>34.341815777005891</v>
      </c>
      <c r="L150" s="33">
        <f>IF($A150=L$83, 0, distance(VLOOKUP($A150,Cuision!$G:$P,9,FALSE),VLOOKUP($A150,Cuision!$G:$P,10,FALSE),VLOOKUP(L$83,Cuision!$G:$P,9,FALSE),VLOOKUP(L$83,Cuision!$G:$P,10,FALSE)))</f>
        <v>4258.4522370779559</v>
      </c>
      <c r="M150" s="33">
        <f>IF($A150=M$83, 0, distance(VLOOKUP($A150,Cuision!$G:$P,9,FALSE),VLOOKUP($A150,Cuision!$G:$P,10,FALSE),VLOOKUP(M$83,Cuision!$G:$P,9,FALSE),VLOOKUP(M$83,Cuision!$G:$P,10,FALSE)))</f>
        <v>-1</v>
      </c>
      <c r="N150" s="33">
        <f>IF($A150=N$83, 0, distance(VLOOKUP($A150,Cuision!$G:$P,9,FALSE),VLOOKUP($A150,Cuision!$G:$P,10,FALSE),VLOOKUP(N$83,Cuision!$G:$P,9,FALSE),VLOOKUP(N$83,Cuision!$G:$P,10,FALSE)))</f>
        <v>1154.4275032314604</v>
      </c>
      <c r="O150" s="33">
        <f>IF($A150=O$83, 0, distance(VLOOKUP($A150,Cuision!$G:$P,9,FALSE),VLOOKUP($A150,Cuision!$G:$P,10,FALSE),VLOOKUP(O$83,Cuision!$G:$P,9,FALSE),VLOOKUP(O$83,Cuision!$G:$P,10,FALSE)))</f>
        <v>601.25939208679574</v>
      </c>
      <c r="P150" s="33">
        <f>IF($A150=P$83, 0, distance(VLOOKUP($A150,Cuision!$G:$P,9,FALSE),VLOOKUP($A150,Cuision!$G:$P,10,FALSE),VLOOKUP(P$83,Cuision!$G:$P,9,FALSE),VLOOKUP(P$83,Cuision!$G:$P,10,FALSE)))</f>
        <v>5947.276414534369</v>
      </c>
      <c r="Q150" s="33">
        <f>IF($A150=Q$83, 0, distance(VLOOKUP($A150,Cuision!$G:$P,9,FALSE),VLOOKUP($A150,Cuision!$G:$P,10,FALSE),VLOOKUP(Q$83,Cuision!$G:$P,9,FALSE),VLOOKUP(Q$83,Cuision!$G:$P,10,FALSE)))</f>
        <v>-1</v>
      </c>
      <c r="R150" s="33">
        <f>IF($A150=R$83, 0, distance(VLOOKUP($A150,Cuision!$G:$P,9,FALSE),VLOOKUP($A150,Cuision!$G:$P,10,FALSE),VLOOKUP(R$83,Cuision!$G:$P,9,FALSE),VLOOKUP(R$83,Cuision!$G:$P,10,FALSE)))</f>
        <v>800.46477971837828</v>
      </c>
      <c r="S150" s="33">
        <f>IF($A150=S$83, 0, distance(VLOOKUP($A150,Cuision!$G:$P,9,FALSE),VLOOKUP($A150,Cuision!$G:$P,10,FALSE),VLOOKUP(S$83,Cuision!$G:$P,9,FALSE),VLOOKUP(S$83,Cuision!$G:$P,10,FALSE)))</f>
        <v>-1</v>
      </c>
      <c r="T150" s="33">
        <f>IF($A150=T$83, 0, distance(VLOOKUP($A150,Cuision!$G:$P,9,FALSE),VLOOKUP($A150,Cuision!$G:$P,10,FALSE),VLOOKUP(T$83,Cuision!$G:$P,9,FALSE),VLOOKUP(T$83,Cuision!$G:$P,10,FALSE)))</f>
        <v>4712.1722101816813</v>
      </c>
      <c r="U150" s="33">
        <f>IF($A150=U$83, 0, distance(VLOOKUP($A150,Cuision!$G:$P,9,FALSE),VLOOKUP($A150,Cuision!$G:$P,10,FALSE),VLOOKUP(U$83,Cuision!$G:$P,9,FALSE),VLOOKUP(U$83,Cuision!$G:$P,10,FALSE)))</f>
        <v>-1</v>
      </c>
      <c r="V150" s="33">
        <f>IF($A150=V$83, 0, distance(VLOOKUP($A150,Cuision!$G:$P,9,FALSE),VLOOKUP($A150,Cuision!$G:$P,10,FALSE),VLOOKUP(V$83,Cuision!$G:$P,9,FALSE),VLOOKUP(V$83,Cuision!$G:$P,10,FALSE)))</f>
        <v>4457.7115648599465</v>
      </c>
      <c r="W150" s="33">
        <f>IF($A150=W$83, 0, distance(VLOOKUP($A150,Cuision!$G:$P,9,FALSE),VLOOKUP($A150,Cuision!$G:$P,10,FALSE),VLOOKUP(W$83,Cuision!$G:$P,9,FALSE),VLOOKUP(W$83,Cuision!$G:$P,10,FALSE)))</f>
        <v>5524.7789100825494</v>
      </c>
      <c r="X150" s="33">
        <f>IF($A150=X$83, 0, distance(VLOOKUP($A150,Cuision!$G:$P,9,FALSE),VLOOKUP($A150,Cuision!$G:$P,10,FALSE),VLOOKUP(X$83,Cuision!$G:$P,9,FALSE),VLOOKUP(X$83,Cuision!$G:$P,10,FALSE)))</f>
        <v>1154.4275032314604</v>
      </c>
      <c r="Y150" s="33">
        <f>IF($A150=Y$83, 0, distance(VLOOKUP($A150,Cuision!$G:$P,9,FALSE),VLOOKUP($A150,Cuision!$G:$P,10,FALSE),VLOOKUP(Y$83,Cuision!$G:$P,9,FALSE),VLOOKUP(Y$83,Cuision!$G:$P,10,FALSE)))</f>
        <v>4609.3749906343519</v>
      </c>
      <c r="Z150" s="33">
        <f>IF($A150=Z$83, 0, distance(VLOOKUP($A150,Cuision!$G:$P,9,FALSE),VLOOKUP($A150,Cuision!$G:$P,10,FALSE),VLOOKUP(Z$83,Cuision!$G:$P,9,FALSE),VLOOKUP(Z$83,Cuision!$G:$P,10,FALSE)))</f>
        <v>-1</v>
      </c>
      <c r="AA150" s="33">
        <f>IF($A150=AA$83, 0, distance(VLOOKUP($A150,Cuision!$G:$P,9,FALSE),VLOOKUP($A150,Cuision!$G:$P,10,FALSE),VLOOKUP(AA$83,Cuision!$G:$P,9,FALSE),VLOOKUP(AA$83,Cuision!$G:$P,10,FALSE)))</f>
        <v>5455.5303518061637</v>
      </c>
      <c r="AB150" s="33">
        <f>IF($A150=AB$83, 0, distance(VLOOKUP($A150,Cuision!$G:$P,9,FALSE),VLOOKUP($A150,Cuision!$G:$P,10,FALSE),VLOOKUP(AB$83,Cuision!$G:$P,9,FALSE),VLOOKUP(AB$83,Cuision!$G:$P,10,FALSE)))</f>
        <v>180.97497673481982</v>
      </c>
      <c r="AC150" s="33">
        <f>IF($A150=AC$83, 0, distance(VLOOKUP($A150,Cuision!$G:$P,9,FALSE),VLOOKUP($A150,Cuision!$G:$P,10,FALSE),VLOOKUP(AC$83,Cuision!$G:$P,9,FALSE),VLOOKUP(AC$83,Cuision!$G:$P,10,FALSE)))</f>
        <v>2982.9213814040781</v>
      </c>
      <c r="AD150" s="33">
        <f>IF($A150=AD$83, 0, distance(VLOOKUP($A150,Cuision!$G:$P,9,FALSE),VLOOKUP($A150,Cuision!$G:$P,10,FALSE),VLOOKUP(AD$83,Cuision!$G:$P,9,FALSE),VLOOKUP(AD$83,Cuision!$G:$P,10,FALSE)))</f>
        <v>6087.4730104073769</v>
      </c>
      <c r="AE150" s="33">
        <f>IF($A150=AE$83, 0, distance(VLOOKUP($A150,Cuision!$G:$P,9,FALSE),VLOOKUP($A150,Cuision!$G:$P,10,FALSE),VLOOKUP(AE$83,Cuision!$G:$P,9,FALSE),VLOOKUP(AE$83,Cuision!$G:$P,10,FALSE)))</f>
        <v>993.42892852216823</v>
      </c>
      <c r="AF150" s="33">
        <f>IF($A150=AF$83, 0, distance(VLOOKUP($A150,Cuision!$G:$P,9,FALSE),VLOOKUP($A150,Cuision!$G:$P,10,FALSE),VLOOKUP(AF$83,Cuision!$G:$P,9,FALSE),VLOOKUP(AF$83,Cuision!$G:$P,10,FALSE)))</f>
        <v>676.37927896689428</v>
      </c>
      <c r="AG150" s="33">
        <f>IF($A150=AG$83, 0, distance(VLOOKUP($A150,Cuision!$G:$P,9,FALSE),VLOOKUP($A150,Cuision!$G:$P,10,FALSE),VLOOKUP(AG$83,Cuision!$G:$P,9,FALSE),VLOOKUP(AG$83,Cuision!$G:$P,10,FALSE)))</f>
        <v>343.08509788242304</v>
      </c>
      <c r="AH150" s="33">
        <f>IF($A150=AH$83, 0, distance(VLOOKUP($A150,Cuision!$G:$P,9,FALSE),VLOOKUP($A150,Cuision!$G:$P,10,FALSE),VLOOKUP(AH$83,Cuision!$G:$P,9,FALSE),VLOOKUP(AH$83,Cuision!$G:$P,10,FALSE)))</f>
        <v>-1</v>
      </c>
      <c r="AI150" s="33">
        <f>IF($A150=AI$83, 0, distance(VLOOKUP($A150,Cuision!$G:$P,9,FALSE),VLOOKUP($A150,Cuision!$G:$P,10,FALSE),VLOOKUP(AI$83,Cuision!$G:$P,9,FALSE),VLOOKUP(AI$83,Cuision!$G:$P,10,FALSE)))</f>
        <v>777.11727234137845</v>
      </c>
      <c r="AJ150" s="33">
        <f>IF($A150=AJ$83, 0, distance(VLOOKUP($A150,Cuision!$G:$P,9,FALSE),VLOOKUP($A150,Cuision!$G:$P,10,FALSE),VLOOKUP(AJ$83,Cuision!$G:$P,9,FALSE),VLOOKUP(AJ$83,Cuision!$G:$P,10,FALSE)))</f>
        <v>1874.7303697421555</v>
      </c>
      <c r="AK150" s="33">
        <f>IF($A150=AK$83, 0, distance(VLOOKUP($A150,Cuision!$G:$P,9,FALSE),VLOOKUP($A150,Cuision!$G:$P,10,FALSE),VLOOKUP(AK$83,Cuision!$G:$P,9,FALSE),VLOOKUP(AK$83,Cuision!$G:$P,10,FALSE)))</f>
        <v>7713.1266356037104</v>
      </c>
      <c r="AL150" s="33">
        <f>IF($A150=AL$83, 0, distance(VLOOKUP($A150,Cuision!$G:$P,9,FALSE),VLOOKUP($A150,Cuision!$G:$P,10,FALSE),VLOOKUP(AL$83,Cuision!$G:$P,9,FALSE),VLOOKUP(AL$83,Cuision!$G:$P,10,FALSE)))</f>
        <v>3838.6710385753067</v>
      </c>
      <c r="AM150" s="33">
        <f>IF($A150=AM$83, 0, distance(VLOOKUP($A150,Cuision!$G:$P,9,FALSE),VLOOKUP($A150,Cuision!$G:$P,10,FALSE),VLOOKUP(AM$83,Cuision!$G:$P,9,FALSE),VLOOKUP(AM$83,Cuision!$G:$P,10,FALSE)))</f>
        <v>-1</v>
      </c>
      <c r="AN150" s="33">
        <f>IF($A150=AN$83, 0, distance(VLOOKUP($A150,Cuision!$G:$P,9,FALSE),VLOOKUP($A150,Cuision!$G:$P,10,FALSE),VLOOKUP(AN$83,Cuision!$G:$P,9,FALSE),VLOOKUP(AN$83,Cuision!$G:$P,10,FALSE)))</f>
        <v>100.15472436064863</v>
      </c>
      <c r="AO150" s="33">
        <f>IF($A150=AO$83, 0, distance(VLOOKUP($A150,Cuision!$G:$P,9,FALSE),VLOOKUP($A150,Cuision!$G:$P,10,FALSE),VLOOKUP(AO$83,Cuision!$G:$P,9,FALSE),VLOOKUP(AO$83,Cuision!$G:$P,10,FALSE)))</f>
        <v>1154.4275032314604</v>
      </c>
      <c r="AP150" s="33">
        <f>IF($A150=AP$83, 0, distance(VLOOKUP($A150,Cuision!$G:$P,9,FALSE),VLOOKUP($A150,Cuision!$G:$P,10,FALSE),VLOOKUP(AP$83,Cuision!$G:$P,9,FALSE),VLOOKUP(AP$83,Cuision!$G:$P,10,FALSE)))</f>
        <v>3423.1551843068614</v>
      </c>
      <c r="AQ150" s="33">
        <f>IF($A150=AQ$83, 0, distance(VLOOKUP($A150,Cuision!$G:$P,9,FALSE),VLOOKUP($A150,Cuision!$G:$P,10,FALSE),VLOOKUP(AQ$83,Cuision!$G:$P,9,FALSE),VLOOKUP(AQ$83,Cuision!$G:$P,10,FALSE)))</f>
        <v>6525.4648560472624</v>
      </c>
      <c r="AR150" s="33">
        <f>IF($A150=AR$83, 0, distance(VLOOKUP($A150,Cuision!$G:$P,9,FALSE),VLOOKUP($A150,Cuision!$G:$P,10,FALSE),VLOOKUP(AR$83,Cuision!$G:$P,9,FALSE),VLOOKUP(AR$83,Cuision!$G:$P,10,FALSE)))</f>
        <v>800.46477971837828</v>
      </c>
      <c r="AS150" s="33">
        <f>IF($A150=AS$83, 0, distance(VLOOKUP($A150,Cuision!$G:$P,9,FALSE),VLOOKUP($A150,Cuision!$G:$P,10,FALSE),VLOOKUP(AS$83,Cuision!$G:$P,9,FALSE),VLOOKUP(AS$83,Cuision!$G:$P,10,FALSE)))</f>
        <v>487.82116804731248</v>
      </c>
      <c r="AT150" s="33">
        <f>IF($A150=AT$83, 0, distance(VLOOKUP($A150,Cuision!$G:$P,9,FALSE),VLOOKUP($A150,Cuision!$G:$P,10,FALSE),VLOOKUP(AT$83,Cuision!$G:$P,9,FALSE),VLOOKUP(AT$83,Cuision!$G:$P,10,FALSE)))</f>
        <v>5650.9451542635934</v>
      </c>
      <c r="AU150" s="33">
        <f>IF($A150=AU$83, 0, distance(VLOOKUP($A150,Cuision!$G:$P,9,FALSE),VLOOKUP($A150,Cuision!$G:$P,10,FALSE),VLOOKUP(AU$83,Cuision!$G:$P,9,FALSE),VLOOKUP(AU$83,Cuision!$G:$P,10,FALSE)))</f>
        <v>5117.5612376110685</v>
      </c>
      <c r="AV150" s="33">
        <f>IF($A150=AV$83, 0, distance(VLOOKUP($A150,Cuision!$G:$P,9,FALSE),VLOOKUP($A150,Cuision!$G:$P,10,FALSE),VLOOKUP(AV$83,Cuision!$G:$P,9,FALSE),VLOOKUP(AV$83,Cuision!$G:$P,10,FALSE)))</f>
        <v>1165.883486167404</v>
      </c>
      <c r="AW150" s="33">
        <f>IF($A150=AW$83, 0, distance(VLOOKUP($A150,Cuision!$G:$P,9,FALSE),VLOOKUP($A150,Cuision!$G:$P,10,FALSE),VLOOKUP(AW$83,Cuision!$G:$P,9,FALSE),VLOOKUP(AW$83,Cuision!$G:$P,10,FALSE)))</f>
        <v>5095.8478169061036</v>
      </c>
      <c r="AX150" s="33">
        <f>IF($A150=AX$83, 0, distance(VLOOKUP($A150,Cuision!$G:$P,9,FALSE),VLOOKUP($A150,Cuision!$G:$P,10,FALSE),VLOOKUP(AX$83,Cuision!$G:$P,9,FALSE),VLOOKUP(AX$83,Cuision!$G:$P,10,FALSE)))</f>
        <v>5918.3832985217823</v>
      </c>
      <c r="AY150" s="33">
        <f>IF($A150=AY$83, 0, distance(VLOOKUP($A150,Cuision!$G:$P,9,FALSE),VLOOKUP($A150,Cuision!$G:$P,10,FALSE),VLOOKUP(AY$83,Cuision!$G:$P,9,FALSE),VLOOKUP(AY$83,Cuision!$G:$P,10,FALSE)))</f>
        <v>-1</v>
      </c>
      <c r="AZ150" s="33">
        <f>IF($A150=AZ$83, 0, distance(VLOOKUP($A150,Cuision!$G:$P,9,FALSE),VLOOKUP($A150,Cuision!$G:$P,10,FALSE),VLOOKUP(AZ$83,Cuision!$G:$P,9,FALSE),VLOOKUP(AZ$83,Cuision!$G:$P,10,FALSE)))</f>
        <v>5806.7502433708123</v>
      </c>
      <c r="BA150" s="33">
        <f>IF($A150=BA$83, 0, distance(VLOOKUP($A150,Cuision!$G:$P,9,FALSE),VLOOKUP($A150,Cuision!$G:$P,10,FALSE),VLOOKUP(BA$83,Cuision!$G:$P,9,FALSE),VLOOKUP(BA$83,Cuision!$G:$P,10,FALSE)))</f>
        <v>940.64701651263329</v>
      </c>
      <c r="BB150" s="33">
        <f>IF($A150=BB$83, 0, distance(VLOOKUP($A150,Cuision!$G:$P,9,FALSE),VLOOKUP($A150,Cuision!$G:$P,10,FALSE),VLOOKUP(BB$83,Cuision!$G:$P,9,FALSE),VLOOKUP(BB$83,Cuision!$G:$P,10,FALSE)))</f>
        <v>6338.4215522282093</v>
      </c>
      <c r="BC150" s="33">
        <f>IF($A150=BC$83, 0, distance(VLOOKUP($A150,Cuision!$G:$P,9,FALSE),VLOOKUP($A150,Cuision!$G:$P,10,FALSE),VLOOKUP(BC$83,Cuision!$G:$P,9,FALSE),VLOOKUP(BC$83,Cuision!$G:$P,10,FALSE)))</f>
        <v>1874.7303697421555</v>
      </c>
      <c r="BD150" s="33">
        <f>IF($A150=BD$83, 0, distance(VLOOKUP($A150,Cuision!$G:$P,9,FALSE),VLOOKUP($A150,Cuision!$G:$P,10,FALSE),VLOOKUP(BD$83,Cuision!$G:$P,9,FALSE),VLOOKUP(BD$83,Cuision!$G:$P,10,FALSE)))</f>
        <v>3891.0452197730601</v>
      </c>
      <c r="BE150" s="33">
        <f>IF($A150=BE$83, 0, distance(VLOOKUP($A150,Cuision!$G:$P,9,FALSE),VLOOKUP($A150,Cuision!$G:$P,10,FALSE),VLOOKUP(BE$83,Cuision!$G:$P,9,FALSE),VLOOKUP(BE$83,Cuision!$G:$P,10,FALSE)))</f>
        <v>1572.5962736476667</v>
      </c>
      <c r="BF150" s="33">
        <f>IF($A150=BF$83, 0, distance(VLOOKUP($A150,Cuision!$G:$P,9,FALSE),VLOOKUP($A150,Cuision!$G:$P,10,FALSE),VLOOKUP(BF$83,Cuision!$G:$P,9,FALSE),VLOOKUP(BF$83,Cuision!$G:$P,10,FALSE)))</f>
        <v>3011.0438360505696</v>
      </c>
      <c r="BG150" s="33">
        <f>IF($A150=BG$83, 0, distance(VLOOKUP($A150,Cuision!$G:$P,9,FALSE),VLOOKUP($A150,Cuision!$G:$P,10,FALSE),VLOOKUP(BG$83,Cuision!$G:$P,9,FALSE),VLOOKUP(BG$83,Cuision!$G:$P,10,FALSE)))</f>
        <v>1941.1471806762447</v>
      </c>
      <c r="BH150" s="33">
        <f>IF($A150=BH$83, 0, distance(VLOOKUP($A150,Cuision!$G:$P,9,FALSE),VLOOKUP($A150,Cuision!$G:$P,10,FALSE),VLOOKUP(BH$83,Cuision!$G:$P,9,FALSE),VLOOKUP(BH$83,Cuision!$G:$P,10,FALSE)))</f>
        <v>7025.2419087470644</v>
      </c>
      <c r="BI150" s="33">
        <f>IF($A150=BI$83, 0, distance(VLOOKUP($A150,Cuision!$G:$P,9,FALSE),VLOOKUP($A150,Cuision!$G:$P,10,FALSE),VLOOKUP(BI$83,Cuision!$G:$P,9,FALSE),VLOOKUP(BI$83,Cuision!$G:$P,10,FALSE)))</f>
        <v>330.37539249134534</v>
      </c>
      <c r="BJ150" s="33">
        <f>IF($A150=BJ$83, 0, distance(VLOOKUP($A150,Cuision!$G:$P,9,FALSE),VLOOKUP($A150,Cuision!$G:$P,10,FALSE),VLOOKUP(BJ$83,Cuision!$G:$P,9,FALSE),VLOOKUP(BJ$83,Cuision!$G:$P,10,FALSE)))</f>
        <v>1458.9985700733262</v>
      </c>
      <c r="BK150" s="33">
        <f>IF($A150=BK$83, 0, distance(VLOOKUP($A150,Cuision!$G:$P,9,FALSE),VLOOKUP($A150,Cuision!$G:$P,10,FALSE),VLOOKUP(BK$83,Cuision!$G:$P,9,FALSE),VLOOKUP(BK$83,Cuision!$G:$P,10,FALSE)))</f>
        <v>1013.348654955406</v>
      </c>
      <c r="BL150" s="33">
        <f>IF($A150=BL$83, 0, distance(VLOOKUP($A150,Cuision!$G:$P,9,FALSE),VLOOKUP($A150,Cuision!$G:$P,10,FALSE),VLOOKUP(BL$83,Cuision!$G:$P,9,FALSE),VLOOKUP(BL$83,Cuision!$G:$P,10,FALSE)))</f>
        <v>-1</v>
      </c>
      <c r="BM150" s="33">
        <f>IF($A150=BM$83, 0, distance(VLOOKUP($A150,Cuision!$G:$P,9,FALSE),VLOOKUP($A150,Cuision!$G:$P,10,FALSE),VLOOKUP(BM$83,Cuision!$G:$P,9,FALSE),VLOOKUP(BM$83,Cuision!$G:$P,10,FALSE)))</f>
        <v>-1</v>
      </c>
      <c r="BN150" s="33">
        <f>IF($A150=BN$83, 0, distance(VLOOKUP($A150,Cuision!$G:$P,9,FALSE),VLOOKUP($A150,Cuision!$G:$P,10,FALSE),VLOOKUP(BN$83,Cuision!$G:$P,9,FALSE),VLOOKUP(BN$83,Cuision!$G:$P,10,FALSE)))</f>
        <v>800.46477971837828</v>
      </c>
      <c r="BO150" s="33">
        <f>IF($A150=BO$83, 0, distance(VLOOKUP($A150,Cuision!$G:$P,9,FALSE),VLOOKUP($A150,Cuision!$G:$P,10,FALSE),VLOOKUP(BO$83,Cuision!$G:$P,9,FALSE),VLOOKUP(BO$83,Cuision!$G:$P,10,FALSE)))</f>
        <v>6001.4552647046148</v>
      </c>
      <c r="BP150" s="33">
        <f>IF($A150=BP$83, 0, distance(VLOOKUP($A150,Cuision!$G:$P,9,FALSE),VLOOKUP($A150,Cuision!$G:$P,10,FALSE),VLOOKUP(BP$83,Cuision!$G:$P,9,FALSE),VLOOKUP(BP$83,Cuision!$G:$P,10,FALSE)))</f>
        <v>0</v>
      </c>
      <c r="BQ150" s="33">
        <f>IF($A150=BQ$83, 0, distance(VLOOKUP($A150,Cuision!$G:$P,9,FALSE),VLOOKUP($A150,Cuision!$G:$P,10,FALSE),VLOOKUP(BQ$83,Cuision!$G:$P,9,FALSE),VLOOKUP(BQ$83,Cuision!$G:$P,10,FALSE)))</f>
        <v>-1</v>
      </c>
      <c r="BR150" s="33">
        <f>IF($A150=BR$83, 0, distance(VLOOKUP($A150,Cuision!$G:$P,9,FALSE),VLOOKUP($A150,Cuision!$G:$P,10,FALSE),VLOOKUP(BR$83,Cuision!$G:$P,9,FALSE),VLOOKUP(BR$83,Cuision!$G:$P,10,FALSE)))</f>
        <v>4457.7115648599465</v>
      </c>
      <c r="BS150" s="33">
        <f>IF($A150=BS$83, 0, distance(VLOOKUP($A150,Cuision!$G:$P,9,FALSE),VLOOKUP($A150,Cuision!$G:$P,10,FALSE),VLOOKUP(BS$83,Cuision!$G:$P,9,FALSE),VLOOKUP(BS$83,Cuision!$G:$P,10,FALSE)))</f>
        <v>4609.3749906343519</v>
      </c>
      <c r="BT150" s="33">
        <f>IF($A150=BT$83, 0, distance(VLOOKUP($A150,Cuision!$G:$P,9,FALSE),VLOOKUP($A150,Cuision!$G:$P,10,FALSE),VLOOKUP(BT$83,Cuision!$G:$P,9,FALSE),VLOOKUP(BT$83,Cuision!$G:$P,10,FALSE)))</f>
        <v>1154.4275032314604</v>
      </c>
      <c r="BU150" s="33">
        <f>IF($A150=BU$83, 0, distance(VLOOKUP($A150,Cuision!$G:$P,9,FALSE),VLOOKUP($A150,Cuision!$G:$P,10,FALSE),VLOOKUP(BU$83,Cuision!$G:$P,9,FALSE),VLOOKUP(BU$83,Cuision!$G:$P,10,FALSE)))</f>
        <v>5211.1028057080293</v>
      </c>
      <c r="BV150" s="33">
        <f>IF($A150=BV$83, 0, distance(VLOOKUP($A150,Cuision!$G:$P,9,FALSE),VLOOKUP($A150,Cuision!$G:$P,10,FALSE),VLOOKUP(BV$83,Cuision!$G:$P,9,FALSE),VLOOKUP(BV$83,Cuision!$G:$P,10,FALSE)))</f>
        <v>963.67581542856226</v>
      </c>
      <c r="BW150" s="33">
        <f>IF($A150=BW$83, 0, distance(VLOOKUP($A150,Cuision!$G:$P,9,FALSE),VLOOKUP($A150,Cuision!$G:$P,10,FALSE),VLOOKUP(BW$83,Cuision!$G:$P,9,FALSE),VLOOKUP(BW$83,Cuision!$G:$P,10,FALSE)))</f>
        <v>623.74905177721359</v>
      </c>
      <c r="BX150" s="33">
        <f>IF($A150=BX$83, 0, distance(VLOOKUP($A150,Cuision!$G:$P,9,FALSE),VLOOKUP($A150,Cuision!$G:$P,10,FALSE),VLOOKUP(BX$83,Cuision!$G:$P,9,FALSE),VLOOKUP(BX$83,Cuision!$G:$P,10,FALSE)))</f>
        <v>2552.2281862992627</v>
      </c>
      <c r="BY150" s="33">
        <f>IF($A150=BY$83, 0, distance(VLOOKUP($A150,Cuision!$G:$P,9,FALSE),VLOOKUP($A150,Cuision!$G:$P,10,FALSE),VLOOKUP(BY$83,Cuision!$G:$P,9,FALSE),VLOOKUP(BY$83,Cuision!$G:$P,10,FALSE)))</f>
        <v>-1</v>
      </c>
      <c r="BZ150" s="33">
        <f>IF($A150=BZ$83, 0, distance(VLOOKUP($A150,Cuision!$G:$P,9,FALSE),VLOOKUP($A150,Cuision!$G:$P,10,FALSE),VLOOKUP(BZ$83,Cuision!$G:$P,9,FALSE),VLOOKUP(BZ$83,Cuision!$G:$P,10,FALSE)))</f>
        <v>-1</v>
      </c>
      <c r="CA150" s="33">
        <f>IF($A150=CA$83, 0, distance(VLOOKUP($A150,Cuision!$G:$P,9,FALSE),VLOOKUP($A150,Cuision!$G:$P,10,FALSE),VLOOKUP(CA$83,Cuision!$G:$P,9,FALSE),VLOOKUP(CA$83,Cuision!$G:$P,10,FALSE)))</f>
        <v>5090.5904311493878</v>
      </c>
    </row>
    <row r="151" spans="1:79" ht="14.25" x14ac:dyDescent="0.2">
      <c r="A151" s="30" t="s">
        <v>121</v>
      </c>
      <c r="B151" s="33">
        <f>IF($A151=B$83, 0, distance(VLOOKUP($A151,Cuision!$G:$P,9,FALSE),VLOOKUP($A151,Cuision!$G:$P,10,FALSE),VLOOKUP(B$83,Cuision!$G:$P,9,FALSE),VLOOKUP(B$83,Cuision!$G:$P,10,FALSE)))</f>
        <v>-1</v>
      </c>
      <c r="C151" s="33">
        <f>IF($A151=C$83, 0, distance(VLOOKUP($A151,Cuision!$G:$P,9,FALSE),VLOOKUP($A151,Cuision!$G:$P,10,FALSE),VLOOKUP(C$83,Cuision!$G:$P,9,FALSE),VLOOKUP(C$83,Cuision!$G:$P,10,FALSE)))</f>
        <v>-1</v>
      </c>
      <c r="D151" s="33">
        <f>IF($A151=D$83, 0, distance(VLOOKUP($A151,Cuision!$G:$P,9,FALSE),VLOOKUP($A151,Cuision!$G:$P,10,FALSE),VLOOKUP(D$83,Cuision!$G:$P,9,FALSE),VLOOKUP(D$83,Cuision!$G:$P,10,FALSE)))</f>
        <v>-1</v>
      </c>
      <c r="E151" s="33">
        <f>IF($A151=E$83, 0, distance(VLOOKUP($A151,Cuision!$G:$P,9,FALSE),VLOOKUP($A151,Cuision!$G:$P,10,FALSE),VLOOKUP(E$83,Cuision!$G:$P,9,FALSE),VLOOKUP(E$83,Cuision!$G:$P,10,FALSE)))</f>
        <v>-1</v>
      </c>
      <c r="F151" s="33">
        <f>IF($A151=F$83, 0, distance(VLOOKUP($A151,Cuision!$G:$P,9,FALSE),VLOOKUP($A151,Cuision!$G:$P,10,FALSE),VLOOKUP(F$83,Cuision!$G:$P,9,FALSE),VLOOKUP(F$83,Cuision!$G:$P,10,FALSE)))</f>
        <v>-1</v>
      </c>
      <c r="G151" s="33">
        <f>IF($A151=G$83, 0, distance(VLOOKUP($A151,Cuision!$G:$P,9,FALSE),VLOOKUP($A151,Cuision!$G:$P,10,FALSE),VLOOKUP(G$83,Cuision!$G:$P,9,FALSE),VLOOKUP(G$83,Cuision!$G:$P,10,FALSE)))</f>
        <v>-1</v>
      </c>
      <c r="H151" s="33">
        <f>IF($A151=H$83, 0, distance(VLOOKUP($A151,Cuision!$G:$P,9,FALSE),VLOOKUP($A151,Cuision!$G:$P,10,FALSE),VLOOKUP(H$83,Cuision!$G:$P,9,FALSE),VLOOKUP(H$83,Cuision!$G:$P,10,FALSE)))</f>
        <v>-1</v>
      </c>
      <c r="I151" s="33">
        <f>IF($A151=I$83, 0, distance(VLOOKUP($A151,Cuision!$G:$P,9,FALSE),VLOOKUP($A151,Cuision!$G:$P,10,FALSE),VLOOKUP(I$83,Cuision!$G:$P,9,FALSE),VLOOKUP(I$83,Cuision!$G:$P,10,FALSE)))</f>
        <v>-1</v>
      </c>
      <c r="J151" s="33">
        <f>IF($A151=J$83, 0, distance(VLOOKUP($A151,Cuision!$G:$P,9,FALSE),VLOOKUP($A151,Cuision!$G:$P,10,FALSE),VLOOKUP(J$83,Cuision!$G:$P,9,FALSE),VLOOKUP(J$83,Cuision!$G:$P,10,FALSE)))</f>
        <v>-1</v>
      </c>
      <c r="K151" s="33">
        <f>IF($A151=K$83, 0, distance(VLOOKUP($A151,Cuision!$G:$P,9,FALSE),VLOOKUP($A151,Cuision!$G:$P,10,FALSE),VLOOKUP(K$83,Cuision!$G:$P,9,FALSE),VLOOKUP(K$83,Cuision!$G:$P,10,FALSE)))</f>
        <v>-1</v>
      </c>
      <c r="L151" s="33">
        <f>IF($A151=L$83, 0, distance(VLOOKUP($A151,Cuision!$G:$P,9,FALSE),VLOOKUP($A151,Cuision!$G:$P,10,FALSE),VLOOKUP(L$83,Cuision!$G:$P,9,FALSE),VLOOKUP(L$83,Cuision!$G:$P,10,FALSE)))</f>
        <v>-1</v>
      </c>
      <c r="M151" s="33">
        <f>IF($A151=M$83, 0, distance(VLOOKUP($A151,Cuision!$G:$P,9,FALSE),VLOOKUP($A151,Cuision!$G:$P,10,FALSE),VLOOKUP(M$83,Cuision!$G:$P,9,FALSE),VLOOKUP(M$83,Cuision!$G:$P,10,FALSE)))</f>
        <v>-1</v>
      </c>
      <c r="N151" s="33">
        <f>IF($A151=N$83, 0, distance(VLOOKUP($A151,Cuision!$G:$P,9,FALSE),VLOOKUP($A151,Cuision!$G:$P,10,FALSE),VLOOKUP(N$83,Cuision!$G:$P,9,FALSE),VLOOKUP(N$83,Cuision!$G:$P,10,FALSE)))</f>
        <v>-1</v>
      </c>
      <c r="O151" s="33">
        <f>IF($A151=O$83, 0, distance(VLOOKUP($A151,Cuision!$G:$P,9,FALSE),VLOOKUP($A151,Cuision!$G:$P,10,FALSE),VLOOKUP(O$83,Cuision!$G:$P,9,FALSE),VLOOKUP(O$83,Cuision!$G:$P,10,FALSE)))</f>
        <v>-1</v>
      </c>
      <c r="P151" s="33">
        <f>IF($A151=P$83, 0, distance(VLOOKUP($A151,Cuision!$G:$P,9,FALSE),VLOOKUP($A151,Cuision!$G:$P,10,FALSE),VLOOKUP(P$83,Cuision!$G:$P,9,FALSE),VLOOKUP(P$83,Cuision!$G:$P,10,FALSE)))</f>
        <v>-1</v>
      </c>
      <c r="Q151" s="33">
        <f>IF($A151=Q$83, 0, distance(VLOOKUP($A151,Cuision!$G:$P,9,FALSE),VLOOKUP($A151,Cuision!$G:$P,10,FALSE),VLOOKUP(Q$83,Cuision!$G:$P,9,FALSE),VLOOKUP(Q$83,Cuision!$G:$P,10,FALSE)))</f>
        <v>-1</v>
      </c>
      <c r="R151" s="33">
        <f>IF($A151=R$83, 0, distance(VLOOKUP($A151,Cuision!$G:$P,9,FALSE),VLOOKUP($A151,Cuision!$G:$P,10,FALSE),VLOOKUP(R$83,Cuision!$G:$P,9,FALSE),VLOOKUP(R$83,Cuision!$G:$P,10,FALSE)))</f>
        <v>-1</v>
      </c>
      <c r="S151" s="33">
        <f>IF($A151=S$83, 0, distance(VLOOKUP($A151,Cuision!$G:$P,9,FALSE),VLOOKUP($A151,Cuision!$G:$P,10,FALSE),VLOOKUP(S$83,Cuision!$G:$P,9,FALSE),VLOOKUP(S$83,Cuision!$G:$P,10,FALSE)))</f>
        <v>-1</v>
      </c>
      <c r="T151" s="33">
        <f>IF($A151=T$83, 0, distance(VLOOKUP($A151,Cuision!$G:$P,9,FALSE),VLOOKUP($A151,Cuision!$G:$P,10,FALSE),VLOOKUP(T$83,Cuision!$G:$P,9,FALSE),VLOOKUP(T$83,Cuision!$G:$P,10,FALSE)))</f>
        <v>-1</v>
      </c>
      <c r="U151" s="33">
        <f>IF($A151=U$83, 0, distance(VLOOKUP($A151,Cuision!$G:$P,9,FALSE),VLOOKUP($A151,Cuision!$G:$P,10,FALSE),VLOOKUP(U$83,Cuision!$G:$P,9,FALSE),VLOOKUP(U$83,Cuision!$G:$P,10,FALSE)))</f>
        <v>-1</v>
      </c>
      <c r="V151" s="33">
        <f>IF($A151=V$83, 0, distance(VLOOKUP($A151,Cuision!$G:$P,9,FALSE),VLOOKUP($A151,Cuision!$G:$P,10,FALSE),VLOOKUP(V$83,Cuision!$G:$P,9,FALSE),VLOOKUP(V$83,Cuision!$G:$P,10,FALSE)))</f>
        <v>-1</v>
      </c>
      <c r="W151" s="33">
        <f>IF($A151=W$83, 0, distance(VLOOKUP($A151,Cuision!$G:$P,9,FALSE),VLOOKUP($A151,Cuision!$G:$P,10,FALSE),VLOOKUP(W$83,Cuision!$G:$P,9,FALSE),VLOOKUP(W$83,Cuision!$G:$P,10,FALSE)))</f>
        <v>-1</v>
      </c>
      <c r="X151" s="33">
        <f>IF($A151=X$83, 0, distance(VLOOKUP($A151,Cuision!$G:$P,9,FALSE),VLOOKUP($A151,Cuision!$G:$P,10,FALSE),VLOOKUP(X$83,Cuision!$G:$P,9,FALSE),VLOOKUP(X$83,Cuision!$G:$P,10,FALSE)))</f>
        <v>-1</v>
      </c>
      <c r="Y151" s="33">
        <f>IF($A151=Y$83, 0, distance(VLOOKUP($A151,Cuision!$G:$P,9,FALSE),VLOOKUP($A151,Cuision!$G:$P,10,FALSE),VLOOKUP(Y$83,Cuision!$G:$P,9,FALSE),VLOOKUP(Y$83,Cuision!$G:$P,10,FALSE)))</f>
        <v>-1</v>
      </c>
      <c r="Z151" s="33">
        <f>IF($A151=Z$83, 0, distance(VLOOKUP($A151,Cuision!$G:$P,9,FALSE),VLOOKUP($A151,Cuision!$G:$P,10,FALSE),VLOOKUP(Z$83,Cuision!$G:$P,9,FALSE),VLOOKUP(Z$83,Cuision!$G:$P,10,FALSE)))</f>
        <v>-1</v>
      </c>
      <c r="AA151" s="33">
        <f>IF($A151=AA$83, 0, distance(VLOOKUP($A151,Cuision!$G:$P,9,FALSE),VLOOKUP($A151,Cuision!$G:$P,10,FALSE),VLOOKUP(AA$83,Cuision!$G:$P,9,FALSE),VLOOKUP(AA$83,Cuision!$G:$P,10,FALSE)))</f>
        <v>-1</v>
      </c>
      <c r="AB151" s="33">
        <f>IF($A151=AB$83, 0, distance(VLOOKUP($A151,Cuision!$G:$P,9,FALSE),VLOOKUP($A151,Cuision!$G:$P,10,FALSE),VLOOKUP(AB$83,Cuision!$G:$P,9,FALSE),VLOOKUP(AB$83,Cuision!$G:$P,10,FALSE)))</f>
        <v>-1</v>
      </c>
      <c r="AC151" s="33">
        <f>IF($A151=AC$83, 0, distance(VLOOKUP($A151,Cuision!$G:$P,9,FALSE),VLOOKUP($A151,Cuision!$G:$P,10,FALSE),VLOOKUP(AC$83,Cuision!$G:$P,9,FALSE),VLOOKUP(AC$83,Cuision!$G:$P,10,FALSE)))</f>
        <v>-1</v>
      </c>
      <c r="AD151" s="33">
        <f>IF($A151=AD$83, 0, distance(VLOOKUP($A151,Cuision!$G:$P,9,FALSE),VLOOKUP($A151,Cuision!$G:$P,10,FALSE),VLOOKUP(AD$83,Cuision!$G:$P,9,FALSE),VLOOKUP(AD$83,Cuision!$G:$P,10,FALSE)))</f>
        <v>-1</v>
      </c>
      <c r="AE151" s="33">
        <f>IF($A151=AE$83, 0, distance(VLOOKUP($A151,Cuision!$G:$P,9,FALSE),VLOOKUP($A151,Cuision!$G:$P,10,FALSE),VLOOKUP(AE$83,Cuision!$G:$P,9,FALSE),VLOOKUP(AE$83,Cuision!$G:$P,10,FALSE)))</f>
        <v>-1</v>
      </c>
      <c r="AF151" s="33">
        <f>IF($A151=AF$83, 0, distance(VLOOKUP($A151,Cuision!$G:$P,9,FALSE),VLOOKUP($A151,Cuision!$G:$P,10,FALSE),VLOOKUP(AF$83,Cuision!$G:$P,9,FALSE),VLOOKUP(AF$83,Cuision!$G:$P,10,FALSE)))</f>
        <v>-1</v>
      </c>
      <c r="AG151" s="33">
        <f>IF($A151=AG$83, 0, distance(VLOOKUP($A151,Cuision!$G:$P,9,FALSE),VLOOKUP($A151,Cuision!$G:$P,10,FALSE),VLOOKUP(AG$83,Cuision!$G:$P,9,FALSE),VLOOKUP(AG$83,Cuision!$G:$P,10,FALSE)))</f>
        <v>-1</v>
      </c>
      <c r="AH151" s="33">
        <f>IF($A151=AH$83, 0, distance(VLOOKUP($A151,Cuision!$G:$P,9,FALSE),VLOOKUP($A151,Cuision!$G:$P,10,FALSE),VLOOKUP(AH$83,Cuision!$G:$P,9,FALSE),VLOOKUP(AH$83,Cuision!$G:$P,10,FALSE)))</f>
        <v>-1</v>
      </c>
      <c r="AI151" s="33">
        <f>IF($A151=AI$83, 0, distance(VLOOKUP($A151,Cuision!$G:$P,9,FALSE),VLOOKUP($A151,Cuision!$G:$P,10,FALSE),VLOOKUP(AI$83,Cuision!$G:$P,9,FALSE),VLOOKUP(AI$83,Cuision!$G:$P,10,FALSE)))</f>
        <v>-1</v>
      </c>
      <c r="AJ151" s="33">
        <f>IF($A151=AJ$83, 0, distance(VLOOKUP($A151,Cuision!$G:$P,9,FALSE),VLOOKUP($A151,Cuision!$G:$P,10,FALSE),VLOOKUP(AJ$83,Cuision!$G:$P,9,FALSE),VLOOKUP(AJ$83,Cuision!$G:$P,10,FALSE)))</f>
        <v>-1</v>
      </c>
      <c r="AK151" s="33">
        <f>IF($A151=AK$83, 0, distance(VLOOKUP($A151,Cuision!$G:$P,9,FALSE),VLOOKUP($A151,Cuision!$G:$P,10,FALSE),VLOOKUP(AK$83,Cuision!$G:$P,9,FALSE),VLOOKUP(AK$83,Cuision!$G:$P,10,FALSE)))</f>
        <v>-1</v>
      </c>
      <c r="AL151" s="33">
        <f>IF($A151=AL$83, 0, distance(VLOOKUP($A151,Cuision!$G:$P,9,FALSE),VLOOKUP($A151,Cuision!$G:$P,10,FALSE),VLOOKUP(AL$83,Cuision!$G:$P,9,FALSE),VLOOKUP(AL$83,Cuision!$G:$P,10,FALSE)))</f>
        <v>-1</v>
      </c>
      <c r="AM151" s="33">
        <f>IF($A151=AM$83, 0, distance(VLOOKUP($A151,Cuision!$G:$P,9,FALSE),VLOOKUP($A151,Cuision!$G:$P,10,FALSE),VLOOKUP(AM$83,Cuision!$G:$P,9,FALSE),VLOOKUP(AM$83,Cuision!$G:$P,10,FALSE)))</f>
        <v>-1</v>
      </c>
      <c r="AN151" s="33">
        <f>IF($A151=AN$83, 0, distance(VLOOKUP($A151,Cuision!$G:$P,9,FALSE),VLOOKUP($A151,Cuision!$G:$P,10,FALSE),VLOOKUP(AN$83,Cuision!$G:$P,9,FALSE),VLOOKUP(AN$83,Cuision!$G:$P,10,FALSE)))</f>
        <v>-1</v>
      </c>
      <c r="AO151" s="33">
        <f>IF($A151=AO$83, 0, distance(VLOOKUP($A151,Cuision!$G:$P,9,FALSE),VLOOKUP($A151,Cuision!$G:$P,10,FALSE),VLOOKUP(AO$83,Cuision!$G:$P,9,FALSE),VLOOKUP(AO$83,Cuision!$G:$P,10,FALSE)))</f>
        <v>-1</v>
      </c>
      <c r="AP151" s="33">
        <f>IF($A151=AP$83, 0, distance(VLOOKUP($A151,Cuision!$G:$P,9,FALSE),VLOOKUP($A151,Cuision!$G:$P,10,FALSE),VLOOKUP(AP$83,Cuision!$G:$P,9,FALSE),VLOOKUP(AP$83,Cuision!$G:$P,10,FALSE)))</f>
        <v>-1</v>
      </c>
      <c r="AQ151" s="33">
        <f>IF($A151=AQ$83, 0, distance(VLOOKUP($A151,Cuision!$G:$P,9,FALSE),VLOOKUP($A151,Cuision!$G:$P,10,FALSE),VLOOKUP(AQ$83,Cuision!$G:$P,9,FALSE),VLOOKUP(AQ$83,Cuision!$G:$P,10,FALSE)))</f>
        <v>-1</v>
      </c>
      <c r="AR151" s="33">
        <f>IF($A151=AR$83, 0, distance(VLOOKUP($A151,Cuision!$G:$P,9,FALSE),VLOOKUP($A151,Cuision!$G:$P,10,FALSE),VLOOKUP(AR$83,Cuision!$G:$P,9,FALSE),VLOOKUP(AR$83,Cuision!$G:$P,10,FALSE)))</f>
        <v>-1</v>
      </c>
      <c r="AS151" s="33">
        <f>IF($A151=AS$83, 0, distance(VLOOKUP($A151,Cuision!$G:$P,9,FALSE),VLOOKUP($A151,Cuision!$G:$P,10,FALSE),VLOOKUP(AS$83,Cuision!$G:$P,9,FALSE),VLOOKUP(AS$83,Cuision!$G:$P,10,FALSE)))</f>
        <v>-1</v>
      </c>
      <c r="AT151" s="33">
        <f>IF($A151=AT$83, 0, distance(VLOOKUP($A151,Cuision!$G:$P,9,FALSE),VLOOKUP($A151,Cuision!$G:$P,10,FALSE),VLOOKUP(AT$83,Cuision!$G:$P,9,FALSE),VLOOKUP(AT$83,Cuision!$G:$P,10,FALSE)))</f>
        <v>-1</v>
      </c>
      <c r="AU151" s="33">
        <f>IF($A151=AU$83, 0, distance(VLOOKUP($A151,Cuision!$G:$P,9,FALSE),VLOOKUP($A151,Cuision!$G:$P,10,FALSE),VLOOKUP(AU$83,Cuision!$G:$P,9,FALSE),VLOOKUP(AU$83,Cuision!$G:$P,10,FALSE)))</f>
        <v>-1</v>
      </c>
      <c r="AV151" s="33">
        <f>IF($A151=AV$83, 0, distance(VLOOKUP($A151,Cuision!$G:$P,9,FALSE),VLOOKUP($A151,Cuision!$G:$P,10,FALSE),VLOOKUP(AV$83,Cuision!$G:$P,9,FALSE),VLOOKUP(AV$83,Cuision!$G:$P,10,FALSE)))</f>
        <v>-1</v>
      </c>
      <c r="AW151" s="33">
        <f>IF($A151=AW$83, 0, distance(VLOOKUP($A151,Cuision!$G:$P,9,FALSE),VLOOKUP($A151,Cuision!$G:$P,10,FALSE),VLOOKUP(AW$83,Cuision!$G:$P,9,FALSE),VLOOKUP(AW$83,Cuision!$G:$P,10,FALSE)))</f>
        <v>-1</v>
      </c>
      <c r="AX151" s="33">
        <f>IF($A151=AX$83, 0, distance(VLOOKUP($A151,Cuision!$G:$P,9,FALSE),VLOOKUP($A151,Cuision!$G:$P,10,FALSE),VLOOKUP(AX$83,Cuision!$G:$P,9,FALSE),VLOOKUP(AX$83,Cuision!$G:$P,10,FALSE)))</f>
        <v>-1</v>
      </c>
      <c r="AY151" s="33">
        <f>IF($A151=AY$83, 0, distance(VLOOKUP($A151,Cuision!$G:$P,9,FALSE),VLOOKUP($A151,Cuision!$G:$P,10,FALSE),VLOOKUP(AY$83,Cuision!$G:$P,9,FALSE),VLOOKUP(AY$83,Cuision!$G:$P,10,FALSE)))</f>
        <v>-1</v>
      </c>
      <c r="AZ151" s="33">
        <f>IF($A151=AZ$83, 0, distance(VLOOKUP($A151,Cuision!$G:$P,9,FALSE),VLOOKUP($A151,Cuision!$G:$P,10,FALSE),VLOOKUP(AZ$83,Cuision!$G:$P,9,FALSE),VLOOKUP(AZ$83,Cuision!$G:$P,10,FALSE)))</f>
        <v>-1</v>
      </c>
      <c r="BA151" s="33">
        <f>IF($A151=BA$83, 0, distance(VLOOKUP($A151,Cuision!$G:$P,9,FALSE),VLOOKUP($A151,Cuision!$G:$P,10,FALSE),VLOOKUP(BA$83,Cuision!$G:$P,9,FALSE),VLOOKUP(BA$83,Cuision!$G:$P,10,FALSE)))</f>
        <v>-1</v>
      </c>
      <c r="BB151" s="33">
        <f>IF($A151=BB$83, 0, distance(VLOOKUP($A151,Cuision!$G:$P,9,FALSE),VLOOKUP($A151,Cuision!$G:$P,10,FALSE),VLOOKUP(BB$83,Cuision!$G:$P,9,FALSE),VLOOKUP(BB$83,Cuision!$G:$P,10,FALSE)))</f>
        <v>-1</v>
      </c>
      <c r="BC151" s="33">
        <f>IF($A151=BC$83, 0, distance(VLOOKUP($A151,Cuision!$G:$P,9,FALSE),VLOOKUP($A151,Cuision!$G:$P,10,FALSE),VLOOKUP(BC$83,Cuision!$G:$P,9,FALSE),VLOOKUP(BC$83,Cuision!$G:$P,10,FALSE)))</f>
        <v>-1</v>
      </c>
      <c r="BD151" s="33">
        <f>IF($A151=BD$83, 0, distance(VLOOKUP($A151,Cuision!$G:$P,9,FALSE),VLOOKUP($A151,Cuision!$G:$P,10,FALSE),VLOOKUP(BD$83,Cuision!$G:$P,9,FALSE),VLOOKUP(BD$83,Cuision!$G:$P,10,FALSE)))</f>
        <v>-1</v>
      </c>
      <c r="BE151" s="33">
        <f>IF($A151=BE$83, 0, distance(VLOOKUP($A151,Cuision!$G:$P,9,FALSE),VLOOKUP($A151,Cuision!$G:$P,10,FALSE),VLOOKUP(BE$83,Cuision!$G:$P,9,FALSE),VLOOKUP(BE$83,Cuision!$G:$P,10,FALSE)))</f>
        <v>-1</v>
      </c>
      <c r="BF151" s="33">
        <f>IF($A151=BF$83, 0, distance(VLOOKUP($A151,Cuision!$G:$P,9,FALSE),VLOOKUP($A151,Cuision!$G:$P,10,FALSE),VLOOKUP(BF$83,Cuision!$G:$P,9,FALSE),VLOOKUP(BF$83,Cuision!$G:$P,10,FALSE)))</f>
        <v>-1</v>
      </c>
      <c r="BG151" s="33">
        <f>IF($A151=BG$83, 0, distance(VLOOKUP($A151,Cuision!$G:$P,9,FALSE),VLOOKUP($A151,Cuision!$G:$P,10,FALSE),VLOOKUP(BG$83,Cuision!$G:$P,9,FALSE),VLOOKUP(BG$83,Cuision!$G:$P,10,FALSE)))</f>
        <v>-1</v>
      </c>
      <c r="BH151" s="33">
        <f>IF($A151=BH$83, 0, distance(VLOOKUP($A151,Cuision!$G:$P,9,FALSE),VLOOKUP($A151,Cuision!$G:$P,10,FALSE),VLOOKUP(BH$83,Cuision!$G:$P,9,FALSE),VLOOKUP(BH$83,Cuision!$G:$P,10,FALSE)))</f>
        <v>-1</v>
      </c>
      <c r="BI151" s="33">
        <f>IF($A151=BI$83, 0, distance(VLOOKUP($A151,Cuision!$G:$P,9,FALSE),VLOOKUP($A151,Cuision!$G:$P,10,FALSE),VLOOKUP(BI$83,Cuision!$G:$P,9,FALSE),VLOOKUP(BI$83,Cuision!$G:$P,10,FALSE)))</f>
        <v>-1</v>
      </c>
      <c r="BJ151" s="33">
        <f>IF($A151=BJ$83, 0, distance(VLOOKUP($A151,Cuision!$G:$P,9,FALSE),VLOOKUP($A151,Cuision!$G:$P,10,FALSE),VLOOKUP(BJ$83,Cuision!$G:$P,9,FALSE),VLOOKUP(BJ$83,Cuision!$G:$P,10,FALSE)))</f>
        <v>-1</v>
      </c>
      <c r="BK151" s="33">
        <f>IF($A151=BK$83, 0, distance(VLOOKUP($A151,Cuision!$G:$P,9,FALSE),VLOOKUP($A151,Cuision!$G:$P,10,FALSE),VLOOKUP(BK$83,Cuision!$G:$P,9,FALSE),VLOOKUP(BK$83,Cuision!$G:$P,10,FALSE)))</f>
        <v>-1</v>
      </c>
      <c r="BL151" s="33">
        <f>IF($A151=BL$83, 0, distance(VLOOKUP($A151,Cuision!$G:$P,9,FALSE),VLOOKUP($A151,Cuision!$G:$P,10,FALSE),VLOOKUP(BL$83,Cuision!$G:$P,9,FALSE),VLOOKUP(BL$83,Cuision!$G:$P,10,FALSE)))</f>
        <v>-1</v>
      </c>
      <c r="BM151" s="33">
        <f>IF($A151=BM$83, 0, distance(VLOOKUP($A151,Cuision!$G:$P,9,FALSE),VLOOKUP($A151,Cuision!$G:$P,10,FALSE),VLOOKUP(BM$83,Cuision!$G:$P,9,FALSE),VLOOKUP(BM$83,Cuision!$G:$P,10,FALSE)))</f>
        <v>-1</v>
      </c>
      <c r="BN151" s="33">
        <f>IF($A151=BN$83, 0, distance(VLOOKUP($A151,Cuision!$G:$P,9,FALSE),VLOOKUP($A151,Cuision!$G:$P,10,FALSE),VLOOKUP(BN$83,Cuision!$G:$P,9,FALSE),VLOOKUP(BN$83,Cuision!$G:$P,10,FALSE)))</f>
        <v>-1</v>
      </c>
      <c r="BO151" s="33">
        <f>IF($A151=BO$83, 0, distance(VLOOKUP($A151,Cuision!$G:$P,9,FALSE),VLOOKUP($A151,Cuision!$G:$P,10,FALSE),VLOOKUP(BO$83,Cuision!$G:$P,9,FALSE),VLOOKUP(BO$83,Cuision!$G:$P,10,FALSE)))</f>
        <v>-1</v>
      </c>
      <c r="BP151" s="33">
        <f>IF($A151=BP$83, 0, distance(VLOOKUP($A151,Cuision!$G:$P,9,FALSE),VLOOKUP($A151,Cuision!$G:$P,10,FALSE),VLOOKUP(BP$83,Cuision!$G:$P,9,FALSE),VLOOKUP(BP$83,Cuision!$G:$P,10,FALSE)))</f>
        <v>-1</v>
      </c>
      <c r="BQ151" s="33">
        <f>IF($A151=BQ$83, 0, distance(VLOOKUP($A151,Cuision!$G:$P,9,FALSE),VLOOKUP($A151,Cuision!$G:$P,10,FALSE),VLOOKUP(BQ$83,Cuision!$G:$P,9,FALSE),VLOOKUP(BQ$83,Cuision!$G:$P,10,FALSE)))</f>
        <v>0</v>
      </c>
      <c r="BR151" s="33">
        <f>IF($A151=BR$83, 0, distance(VLOOKUP($A151,Cuision!$G:$P,9,FALSE),VLOOKUP($A151,Cuision!$G:$P,10,FALSE),VLOOKUP(BR$83,Cuision!$G:$P,9,FALSE),VLOOKUP(BR$83,Cuision!$G:$P,10,FALSE)))</f>
        <v>-1</v>
      </c>
      <c r="BS151" s="33">
        <f>IF($A151=BS$83, 0, distance(VLOOKUP($A151,Cuision!$G:$P,9,FALSE),VLOOKUP($A151,Cuision!$G:$P,10,FALSE),VLOOKUP(BS$83,Cuision!$G:$P,9,FALSE),VLOOKUP(BS$83,Cuision!$G:$P,10,FALSE)))</f>
        <v>-1</v>
      </c>
      <c r="BT151" s="33">
        <f>IF($A151=BT$83, 0, distance(VLOOKUP($A151,Cuision!$G:$P,9,FALSE),VLOOKUP($A151,Cuision!$G:$P,10,FALSE),VLOOKUP(BT$83,Cuision!$G:$P,9,FALSE),VLOOKUP(BT$83,Cuision!$G:$P,10,FALSE)))</f>
        <v>-1</v>
      </c>
      <c r="BU151" s="33">
        <f>IF($A151=BU$83, 0, distance(VLOOKUP($A151,Cuision!$G:$P,9,FALSE),VLOOKUP($A151,Cuision!$G:$P,10,FALSE),VLOOKUP(BU$83,Cuision!$G:$P,9,FALSE),VLOOKUP(BU$83,Cuision!$G:$P,10,FALSE)))</f>
        <v>-1</v>
      </c>
      <c r="BV151" s="33">
        <f>IF($A151=BV$83, 0, distance(VLOOKUP($A151,Cuision!$G:$P,9,FALSE),VLOOKUP($A151,Cuision!$G:$P,10,FALSE),VLOOKUP(BV$83,Cuision!$G:$P,9,FALSE),VLOOKUP(BV$83,Cuision!$G:$P,10,FALSE)))</f>
        <v>-1</v>
      </c>
      <c r="BW151" s="33">
        <f>IF($A151=BW$83, 0, distance(VLOOKUP($A151,Cuision!$G:$P,9,FALSE),VLOOKUP($A151,Cuision!$G:$P,10,FALSE),VLOOKUP(BW$83,Cuision!$G:$P,9,FALSE),VLOOKUP(BW$83,Cuision!$G:$P,10,FALSE)))</f>
        <v>-1</v>
      </c>
      <c r="BX151" s="33">
        <f>IF($A151=BX$83, 0, distance(VLOOKUP($A151,Cuision!$G:$P,9,FALSE),VLOOKUP($A151,Cuision!$G:$P,10,FALSE),VLOOKUP(BX$83,Cuision!$G:$P,9,FALSE),VLOOKUP(BX$83,Cuision!$G:$P,10,FALSE)))</f>
        <v>-1</v>
      </c>
      <c r="BY151" s="33">
        <f>IF($A151=BY$83, 0, distance(VLOOKUP($A151,Cuision!$G:$P,9,FALSE),VLOOKUP($A151,Cuision!$G:$P,10,FALSE),VLOOKUP(BY$83,Cuision!$G:$P,9,FALSE),VLOOKUP(BY$83,Cuision!$G:$P,10,FALSE)))</f>
        <v>-1</v>
      </c>
      <c r="BZ151" s="33">
        <f>IF($A151=BZ$83, 0, distance(VLOOKUP($A151,Cuision!$G:$P,9,FALSE),VLOOKUP($A151,Cuision!$G:$P,10,FALSE),VLOOKUP(BZ$83,Cuision!$G:$P,9,FALSE),VLOOKUP(BZ$83,Cuision!$G:$P,10,FALSE)))</f>
        <v>-1</v>
      </c>
      <c r="CA151" s="33">
        <f>IF($A151=CA$83, 0, distance(VLOOKUP($A151,Cuision!$G:$P,9,FALSE),VLOOKUP($A151,Cuision!$G:$P,10,FALSE),VLOOKUP(CA$83,Cuision!$G:$P,9,FALSE),VLOOKUP(CA$83,Cuision!$G:$P,10,FALSE)))</f>
        <v>-1</v>
      </c>
    </row>
    <row r="152" spans="1:79" ht="14.25" x14ac:dyDescent="0.2">
      <c r="A152" s="30" t="s">
        <v>122</v>
      </c>
      <c r="B152" s="33">
        <f>IF($A152=B$83, 0, distance(VLOOKUP($A152,Cuision!$G:$P,9,FALSE),VLOOKUP($A152,Cuision!$G:$P,10,FALSE),VLOOKUP(B$83,Cuision!$G:$P,9,FALSE),VLOOKUP(B$83,Cuision!$G:$P,10,FALSE)))</f>
        <v>6922.0195865768437</v>
      </c>
      <c r="C152" s="33">
        <f>IF($A152=C$83, 0, distance(VLOOKUP($A152,Cuision!$G:$P,9,FALSE),VLOOKUP($A152,Cuision!$G:$P,10,FALSE),VLOOKUP(C$83,Cuision!$G:$P,9,FALSE),VLOOKUP(C$83,Cuision!$G:$P,10,FALSE)))</f>
        <v>7754.1850184220366</v>
      </c>
      <c r="D152" s="33">
        <f>IF($A152=D$83, 0, distance(VLOOKUP($A152,Cuision!$G:$P,9,FALSE),VLOOKUP($A152,Cuision!$G:$P,10,FALSE),VLOOKUP(D$83,Cuision!$G:$P,9,FALSE),VLOOKUP(D$83,Cuision!$G:$P,10,FALSE)))</f>
        <v>0</v>
      </c>
      <c r="E152" s="33">
        <f>IF($A152=E$83, 0, distance(VLOOKUP($A152,Cuision!$G:$P,9,FALSE),VLOOKUP($A152,Cuision!$G:$P,10,FALSE),VLOOKUP(E$83,Cuision!$G:$P,9,FALSE),VLOOKUP(E$83,Cuision!$G:$P,10,FALSE)))</f>
        <v>0</v>
      </c>
      <c r="F152" s="33">
        <f>IF($A152=F$83, 0, distance(VLOOKUP($A152,Cuision!$G:$P,9,FALSE),VLOOKUP($A152,Cuision!$G:$P,10,FALSE),VLOOKUP(F$83,Cuision!$G:$P,9,FALSE),VLOOKUP(F$83,Cuision!$G:$P,10,FALSE)))</f>
        <v>6328.3267379660138</v>
      </c>
      <c r="G152" s="33">
        <f>IF($A152=G$83, 0, distance(VLOOKUP($A152,Cuision!$G:$P,9,FALSE),VLOOKUP($A152,Cuision!$G:$P,10,FALSE),VLOOKUP(G$83,Cuision!$G:$P,9,FALSE),VLOOKUP(G$83,Cuision!$G:$P,10,FALSE)))</f>
        <v>5217.1202018930744</v>
      </c>
      <c r="H152" s="33">
        <f>IF($A152=H$83, 0, distance(VLOOKUP($A152,Cuision!$G:$P,9,FALSE),VLOOKUP($A152,Cuision!$G:$P,10,FALSE),VLOOKUP(H$83,Cuision!$G:$P,9,FALSE),VLOOKUP(H$83,Cuision!$G:$P,10,FALSE)))</f>
        <v>5845.2890180192007</v>
      </c>
      <c r="I152" s="33">
        <f>IF($A152=I$83, 0, distance(VLOOKUP($A152,Cuision!$G:$P,9,FALSE),VLOOKUP($A152,Cuision!$G:$P,10,FALSE),VLOOKUP(I$83,Cuision!$G:$P,9,FALSE),VLOOKUP(I$83,Cuision!$G:$P,10,FALSE)))</f>
        <v>7394.0053664196539</v>
      </c>
      <c r="J152" s="33">
        <f>IF($A152=J$83, 0, distance(VLOOKUP($A152,Cuision!$G:$P,9,FALSE),VLOOKUP($A152,Cuision!$G:$P,10,FALSE),VLOOKUP(J$83,Cuision!$G:$P,9,FALSE),VLOOKUP(J$83,Cuision!$G:$P,10,FALSE)))</f>
        <v>9906.4615041233737</v>
      </c>
      <c r="K152" s="33">
        <f>IF($A152=K$83, 0, distance(VLOOKUP($A152,Cuision!$G:$P,9,FALSE),VLOOKUP($A152,Cuision!$G:$P,10,FALSE),VLOOKUP(K$83,Cuision!$G:$P,9,FALSE),VLOOKUP(K$83,Cuision!$G:$P,10,FALSE)))</f>
        <v>4426.2279267410295</v>
      </c>
      <c r="L152" s="33">
        <f>IF($A152=L$83, 0, distance(VLOOKUP($A152,Cuision!$G:$P,9,FALSE),VLOOKUP($A152,Cuision!$G:$P,10,FALSE),VLOOKUP(L$83,Cuision!$G:$P,9,FALSE),VLOOKUP(L$83,Cuision!$G:$P,10,FALSE)))</f>
        <v>8034.9392383876966</v>
      </c>
      <c r="M152" s="33">
        <f>IF($A152=M$83, 0, distance(VLOOKUP($A152,Cuision!$G:$P,9,FALSE),VLOOKUP($A152,Cuision!$G:$P,10,FALSE),VLOOKUP(M$83,Cuision!$G:$P,9,FALSE),VLOOKUP(M$83,Cuision!$G:$P,10,FALSE)))</f>
        <v>-1</v>
      </c>
      <c r="N152" s="33">
        <f>IF($A152=N$83, 0, distance(VLOOKUP($A152,Cuision!$G:$P,9,FALSE),VLOOKUP($A152,Cuision!$G:$P,10,FALSE),VLOOKUP(N$83,Cuision!$G:$P,9,FALSE),VLOOKUP(N$83,Cuision!$G:$P,10,FALSE)))</f>
        <v>3783.2693926891457</v>
      </c>
      <c r="O152" s="33">
        <f>IF($A152=O$83, 0, distance(VLOOKUP($A152,Cuision!$G:$P,9,FALSE),VLOOKUP($A152,Cuision!$G:$P,10,FALSE),VLOOKUP(O$83,Cuision!$G:$P,9,FALSE),VLOOKUP(O$83,Cuision!$G:$P,10,FALSE)))</f>
        <v>3862.5991612505318</v>
      </c>
      <c r="P152" s="33">
        <f>IF($A152=P$83, 0, distance(VLOOKUP($A152,Cuision!$G:$P,9,FALSE),VLOOKUP($A152,Cuision!$G:$P,10,FALSE),VLOOKUP(P$83,Cuision!$G:$P,9,FALSE),VLOOKUP(P$83,Cuision!$G:$P,10,FALSE)))</f>
        <v>4220.2104754152506</v>
      </c>
      <c r="Q152" s="33">
        <f>IF($A152=Q$83, 0, distance(VLOOKUP($A152,Cuision!$G:$P,9,FALSE),VLOOKUP($A152,Cuision!$G:$P,10,FALSE),VLOOKUP(Q$83,Cuision!$G:$P,9,FALSE),VLOOKUP(Q$83,Cuision!$G:$P,10,FALSE)))</f>
        <v>-1</v>
      </c>
      <c r="R152" s="33">
        <f>IF($A152=R$83, 0, distance(VLOOKUP($A152,Cuision!$G:$P,9,FALSE),VLOOKUP($A152,Cuision!$G:$P,10,FALSE),VLOOKUP(R$83,Cuision!$G:$P,9,FALSE),VLOOKUP(R$83,Cuision!$G:$P,10,FALSE)))</f>
        <v>3664.7380839482948</v>
      </c>
      <c r="S152" s="33">
        <f>IF($A152=S$83, 0, distance(VLOOKUP($A152,Cuision!$G:$P,9,FALSE),VLOOKUP($A152,Cuision!$G:$P,10,FALSE),VLOOKUP(S$83,Cuision!$G:$P,9,FALSE),VLOOKUP(S$83,Cuision!$G:$P,10,FALSE)))</f>
        <v>-1</v>
      </c>
      <c r="T152" s="33">
        <f>IF($A152=T$83, 0, distance(VLOOKUP($A152,Cuision!$G:$P,9,FALSE),VLOOKUP($A152,Cuision!$G:$P,10,FALSE),VLOOKUP(T$83,Cuision!$G:$P,9,FALSE),VLOOKUP(T$83,Cuision!$G:$P,10,FALSE)))</f>
        <v>8360.0215036814861</v>
      </c>
      <c r="U152" s="33">
        <f>IF($A152=U$83, 0, distance(VLOOKUP($A152,Cuision!$G:$P,9,FALSE),VLOOKUP($A152,Cuision!$G:$P,10,FALSE),VLOOKUP(U$83,Cuision!$G:$P,9,FALSE),VLOOKUP(U$83,Cuision!$G:$P,10,FALSE)))</f>
        <v>-1</v>
      </c>
      <c r="V152" s="33">
        <f>IF($A152=V$83, 0, distance(VLOOKUP($A152,Cuision!$G:$P,9,FALSE),VLOOKUP($A152,Cuision!$G:$P,10,FALSE),VLOOKUP(V$83,Cuision!$G:$P,9,FALSE),VLOOKUP(V$83,Cuision!$G:$P,10,FALSE)))</f>
        <v>0</v>
      </c>
      <c r="W152" s="33">
        <f>IF($A152=W$83, 0, distance(VLOOKUP($A152,Cuision!$G:$P,9,FALSE),VLOOKUP($A152,Cuision!$G:$P,10,FALSE),VLOOKUP(W$83,Cuision!$G:$P,9,FALSE),VLOOKUP(W$83,Cuision!$G:$P,10,FALSE)))</f>
        <v>8947.6293774193964</v>
      </c>
      <c r="X152" s="33">
        <f>IF($A152=X$83, 0, distance(VLOOKUP($A152,Cuision!$G:$P,9,FALSE),VLOOKUP($A152,Cuision!$G:$P,10,FALSE),VLOOKUP(X$83,Cuision!$G:$P,9,FALSE),VLOOKUP(X$83,Cuision!$G:$P,10,FALSE)))</f>
        <v>3783.2693926891457</v>
      </c>
      <c r="Y152" s="33">
        <f>IF($A152=Y$83, 0, distance(VLOOKUP($A152,Cuision!$G:$P,9,FALSE),VLOOKUP($A152,Cuision!$G:$P,10,FALSE),VLOOKUP(Y$83,Cuision!$G:$P,9,FALSE),VLOOKUP(Y$83,Cuision!$G:$P,10,FALSE)))</f>
        <v>6925.3526153099201</v>
      </c>
      <c r="Z152" s="33">
        <f>IF($A152=Z$83, 0, distance(VLOOKUP($A152,Cuision!$G:$P,9,FALSE),VLOOKUP($A152,Cuision!$G:$P,10,FALSE),VLOOKUP(Z$83,Cuision!$G:$P,9,FALSE),VLOOKUP(Z$83,Cuision!$G:$P,10,FALSE)))</f>
        <v>-1</v>
      </c>
      <c r="AA152" s="33">
        <f>IF($A152=AA$83, 0, distance(VLOOKUP($A152,Cuision!$G:$P,9,FALSE),VLOOKUP($A152,Cuision!$G:$P,10,FALSE),VLOOKUP(AA$83,Cuision!$G:$P,9,FALSE),VLOOKUP(AA$83,Cuision!$G:$P,10,FALSE)))</f>
        <v>1133.9119070339707</v>
      </c>
      <c r="AB152" s="33">
        <f>IF($A152=AB$83, 0, distance(VLOOKUP($A152,Cuision!$G:$P,9,FALSE),VLOOKUP($A152,Cuision!$G:$P,10,FALSE),VLOOKUP(AB$83,Cuision!$G:$P,9,FALSE),VLOOKUP(AB$83,Cuision!$G:$P,10,FALSE)))</f>
        <v>4285.8768769408171</v>
      </c>
      <c r="AC152" s="33">
        <f>IF($A152=AC$83, 0, distance(VLOOKUP($A152,Cuision!$G:$P,9,FALSE),VLOOKUP($A152,Cuision!$G:$P,10,FALSE),VLOOKUP(AC$83,Cuision!$G:$P,9,FALSE),VLOOKUP(AC$83,Cuision!$G:$P,10,FALSE)))</f>
        <v>7161.0334431549763</v>
      </c>
      <c r="AD152" s="33">
        <f>IF($A152=AD$83, 0, distance(VLOOKUP($A152,Cuision!$G:$P,9,FALSE),VLOOKUP($A152,Cuision!$G:$P,10,FALSE),VLOOKUP(AD$83,Cuision!$G:$P,9,FALSE),VLOOKUP(AD$83,Cuision!$G:$P,10,FALSE)))</f>
        <v>8560.9016737059901</v>
      </c>
      <c r="AE152" s="33">
        <f>IF($A152=AE$83, 0, distance(VLOOKUP($A152,Cuision!$G:$P,9,FALSE),VLOOKUP($A152,Cuision!$G:$P,10,FALSE),VLOOKUP(AE$83,Cuision!$G:$P,9,FALSE),VLOOKUP(AE$83,Cuision!$G:$P,10,FALSE)))</f>
        <v>3866.1313323118429</v>
      </c>
      <c r="AF152" s="33">
        <f>IF($A152=AF$83, 0, distance(VLOOKUP($A152,Cuision!$G:$P,9,FALSE),VLOOKUP($A152,Cuision!$G:$P,10,FALSE),VLOOKUP(AF$83,Cuision!$G:$P,9,FALSE),VLOOKUP(AF$83,Cuision!$G:$P,10,FALSE)))</f>
        <v>3830.9664587251614</v>
      </c>
      <c r="AG152" s="33">
        <f>IF($A152=AG$83, 0, distance(VLOOKUP($A152,Cuision!$G:$P,9,FALSE),VLOOKUP($A152,Cuision!$G:$P,10,FALSE),VLOOKUP(AG$83,Cuision!$G:$P,9,FALSE),VLOOKUP(AG$83,Cuision!$G:$P,10,FALSE)))</f>
        <v>4169.9898960172895</v>
      </c>
      <c r="AH152" s="33">
        <f>IF($A152=AH$83, 0, distance(VLOOKUP($A152,Cuision!$G:$P,9,FALSE),VLOOKUP($A152,Cuision!$G:$P,10,FALSE),VLOOKUP(AH$83,Cuision!$G:$P,9,FALSE),VLOOKUP(AH$83,Cuision!$G:$P,10,FALSE)))</f>
        <v>-1</v>
      </c>
      <c r="AI152" s="33">
        <f>IF($A152=AI$83, 0, distance(VLOOKUP($A152,Cuision!$G:$P,9,FALSE),VLOOKUP($A152,Cuision!$G:$P,10,FALSE),VLOOKUP(AI$83,Cuision!$G:$P,9,FALSE),VLOOKUP(AI$83,Cuision!$G:$P,10,FALSE)))</f>
        <v>5127.9802846669618</v>
      </c>
      <c r="AJ152" s="33">
        <f>IF($A152=AJ$83, 0, distance(VLOOKUP($A152,Cuision!$G:$P,9,FALSE),VLOOKUP($A152,Cuision!$G:$P,10,FALSE),VLOOKUP(AJ$83,Cuision!$G:$P,9,FALSE),VLOOKUP(AJ$83,Cuision!$G:$P,10,FALSE)))</f>
        <v>6328.3267379660138</v>
      </c>
      <c r="AK152" s="33">
        <f>IF($A152=AK$83, 0, distance(VLOOKUP($A152,Cuision!$G:$P,9,FALSE),VLOOKUP($A152,Cuision!$G:$P,10,FALSE),VLOOKUP(AK$83,Cuision!$G:$P,9,FALSE),VLOOKUP(AK$83,Cuision!$G:$P,10,FALSE)))</f>
        <v>4764.224348016216</v>
      </c>
      <c r="AL152" s="33">
        <f>IF($A152=AL$83, 0, distance(VLOOKUP($A152,Cuision!$G:$P,9,FALSE),VLOOKUP($A152,Cuision!$G:$P,10,FALSE),VLOOKUP(AL$83,Cuision!$G:$P,9,FALSE),VLOOKUP(AL$83,Cuision!$G:$P,10,FALSE)))</f>
        <v>7696.0794592044522</v>
      </c>
      <c r="AM152" s="33">
        <f>IF($A152=AM$83, 0, distance(VLOOKUP($A152,Cuision!$G:$P,9,FALSE),VLOOKUP($A152,Cuision!$G:$P,10,FALSE),VLOOKUP(AM$83,Cuision!$G:$P,9,FALSE),VLOOKUP(AM$83,Cuision!$G:$P,10,FALSE)))</f>
        <v>-1</v>
      </c>
      <c r="AN152" s="33">
        <f>IF($A152=AN$83, 0, distance(VLOOKUP($A152,Cuision!$G:$P,9,FALSE),VLOOKUP($A152,Cuision!$G:$P,10,FALSE),VLOOKUP(AN$83,Cuision!$G:$P,9,FALSE),VLOOKUP(AN$83,Cuision!$G:$P,10,FALSE)))</f>
        <v>4557.5219504867046</v>
      </c>
      <c r="AO152" s="33">
        <f>IF($A152=AO$83, 0, distance(VLOOKUP($A152,Cuision!$G:$P,9,FALSE),VLOOKUP($A152,Cuision!$G:$P,10,FALSE),VLOOKUP(AO$83,Cuision!$G:$P,9,FALSE),VLOOKUP(AO$83,Cuision!$G:$P,10,FALSE)))</f>
        <v>3783.2693926891457</v>
      </c>
      <c r="AP152" s="33">
        <f>IF($A152=AP$83, 0, distance(VLOOKUP($A152,Cuision!$G:$P,9,FALSE),VLOOKUP($A152,Cuision!$G:$P,10,FALSE),VLOOKUP(AP$83,Cuision!$G:$P,9,FALSE),VLOOKUP(AP$83,Cuision!$G:$P,10,FALSE)))</f>
        <v>7483.5819315311392</v>
      </c>
      <c r="AQ152" s="33">
        <f>IF($A152=AQ$83, 0, distance(VLOOKUP($A152,Cuision!$G:$P,9,FALSE),VLOOKUP($A152,Cuision!$G:$P,10,FALSE),VLOOKUP(AQ$83,Cuision!$G:$P,9,FALSE),VLOOKUP(AQ$83,Cuision!$G:$P,10,FALSE)))</f>
        <v>10164.61701869959</v>
      </c>
      <c r="AR152" s="33">
        <f>IF($A152=AR$83, 0, distance(VLOOKUP($A152,Cuision!$G:$P,9,FALSE),VLOOKUP($A152,Cuision!$G:$P,10,FALSE),VLOOKUP(AR$83,Cuision!$G:$P,9,FALSE),VLOOKUP(AR$83,Cuision!$G:$P,10,FALSE)))</f>
        <v>3664.7380839482948</v>
      </c>
      <c r="AS152" s="33">
        <f>IF($A152=AS$83, 0, distance(VLOOKUP($A152,Cuision!$G:$P,9,FALSE),VLOOKUP($A152,Cuision!$G:$P,10,FALSE),VLOOKUP(AS$83,Cuision!$G:$P,9,FALSE),VLOOKUP(AS$83,Cuision!$G:$P,10,FALSE)))</f>
        <v>4484.1742999085373</v>
      </c>
      <c r="AT152" s="33">
        <f>IF($A152=AT$83, 0, distance(VLOOKUP($A152,Cuision!$G:$P,9,FALSE),VLOOKUP($A152,Cuision!$G:$P,10,FALSE),VLOOKUP(AT$83,Cuision!$G:$P,9,FALSE),VLOOKUP(AT$83,Cuision!$G:$P,10,FALSE)))</f>
        <v>6775.0585510427936</v>
      </c>
      <c r="AU152" s="33">
        <f>IF($A152=AU$83, 0, distance(VLOOKUP($A152,Cuision!$G:$P,9,FALSE),VLOOKUP($A152,Cuision!$G:$P,10,FALSE),VLOOKUP(AU$83,Cuision!$G:$P,9,FALSE),VLOOKUP(AU$83,Cuision!$G:$P,10,FALSE)))</f>
        <v>6936.711935738972</v>
      </c>
      <c r="AV152" s="33">
        <f>IF($A152=AV$83, 0, distance(VLOOKUP($A152,Cuision!$G:$P,9,FALSE),VLOOKUP($A152,Cuision!$G:$P,10,FALSE),VLOOKUP(AV$83,Cuision!$G:$P,9,FALSE),VLOOKUP(AV$83,Cuision!$G:$P,10,FALSE)))</f>
        <v>5592.9141309463548</v>
      </c>
      <c r="AW152" s="33">
        <f>IF($A152=AW$83, 0, distance(VLOOKUP($A152,Cuision!$G:$P,9,FALSE),VLOOKUP($A152,Cuision!$G:$P,10,FALSE),VLOOKUP(AW$83,Cuision!$G:$P,9,FALSE),VLOOKUP(AW$83,Cuision!$G:$P,10,FALSE)))</f>
        <v>8506.9826268567722</v>
      </c>
      <c r="AX152" s="33">
        <f>IF($A152=AX$83, 0, distance(VLOOKUP($A152,Cuision!$G:$P,9,FALSE),VLOOKUP($A152,Cuision!$G:$P,10,FALSE),VLOOKUP(AX$83,Cuision!$G:$P,9,FALSE),VLOOKUP(AX$83,Cuision!$G:$P,10,FALSE)))</f>
        <v>3158.1971248225836</v>
      </c>
      <c r="AY152" s="33">
        <f>IF($A152=AY$83, 0, distance(VLOOKUP($A152,Cuision!$G:$P,9,FALSE),VLOOKUP($A152,Cuision!$G:$P,10,FALSE),VLOOKUP(AY$83,Cuision!$G:$P,9,FALSE),VLOOKUP(AY$83,Cuision!$G:$P,10,FALSE)))</f>
        <v>-1</v>
      </c>
      <c r="AZ152" s="33">
        <f>IF($A152=AZ$83, 0, distance(VLOOKUP($A152,Cuision!$G:$P,9,FALSE),VLOOKUP($A152,Cuision!$G:$P,10,FALSE),VLOOKUP(AZ$83,Cuision!$G:$P,9,FALSE),VLOOKUP(AZ$83,Cuision!$G:$P,10,FALSE)))</f>
        <v>9530.5281664634804</v>
      </c>
      <c r="BA152" s="33">
        <f>IF($A152=BA$83, 0, distance(VLOOKUP($A152,Cuision!$G:$P,9,FALSE),VLOOKUP($A152,Cuision!$G:$P,10,FALSE),VLOOKUP(BA$83,Cuision!$G:$P,9,FALSE),VLOOKUP(BA$83,Cuision!$G:$P,10,FALSE)))</f>
        <v>5014.7853128433189</v>
      </c>
      <c r="BB152" s="33">
        <f>IF($A152=BB$83, 0, distance(VLOOKUP($A152,Cuision!$G:$P,9,FALSE),VLOOKUP($A152,Cuision!$G:$P,10,FALSE),VLOOKUP(BB$83,Cuision!$G:$P,9,FALSE),VLOOKUP(BB$83,Cuision!$G:$P,10,FALSE)))</f>
        <v>1883.3508701719099</v>
      </c>
      <c r="BC152" s="33">
        <f>IF($A152=BC$83, 0, distance(VLOOKUP($A152,Cuision!$G:$P,9,FALSE),VLOOKUP($A152,Cuision!$G:$P,10,FALSE),VLOOKUP(BC$83,Cuision!$G:$P,9,FALSE),VLOOKUP(BC$83,Cuision!$G:$P,10,FALSE)))</f>
        <v>6328.3267379660138</v>
      </c>
      <c r="BD152" s="33">
        <f>IF($A152=BD$83, 0, distance(VLOOKUP($A152,Cuision!$G:$P,9,FALSE),VLOOKUP($A152,Cuision!$G:$P,10,FALSE),VLOOKUP(BD$83,Cuision!$G:$P,9,FALSE),VLOOKUP(BD$83,Cuision!$G:$P,10,FALSE)))</f>
        <v>6433.658644858926</v>
      </c>
      <c r="BE152" s="33">
        <f>IF($A152=BE$83, 0, distance(VLOOKUP($A152,Cuision!$G:$P,9,FALSE),VLOOKUP($A152,Cuision!$G:$P,10,FALSE),VLOOKUP(BE$83,Cuision!$G:$P,9,FALSE),VLOOKUP(BE$83,Cuision!$G:$P,10,FALSE)))</f>
        <v>3818.8305748681173</v>
      </c>
      <c r="BF152" s="33">
        <f>IF($A152=BF$83, 0, distance(VLOOKUP($A152,Cuision!$G:$P,9,FALSE),VLOOKUP($A152,Cuision!$G:$P,10,FALSE),VLOOKUP(BF$83,Cuision!$G:$P,9,FALSE),VLOOKUP(BF$83,Cuision!$G:$P,10,FALSE)))</f>
        <v>7065.4977601354203</v>
      </c>
      <c r="BG152" s="33">
        <f>IF($A152=BG$83, 0, distance(VLOOKUP($A152,Cuision!$G:$P,9,FALSE),VLOOKUP($A152,Cuision!$G:$P,10,FALSE),VLOOKUP(BG$83,Cuision!$G:$P,9,FALSE),VLOOKUP(BG$83,Cuision!$G:$P,10,FALSE)))</f>
        <v>6324.1185508828385</v>
      </c>
      <c r="BH152" s="33">
        <f>IF($A152=BH$83, 0, distance(VLOOKUP($A152,Cuision!$G:$P,9,FALSE),VLOOKUP($A152,Cuision!$G:$P,10,FALSE),VLOOKUP(BH$83,Cuision!$G:$P,9,FALSE),VLOOKUP(BH$83,Cuision!$G:$P,10,FALSE)))</f>
        <v>3519.4446590994971</v>
      </c>
      <c r="BI152" s="33">
        <f>IF($A152=BI$83, 0, distance(VLOOKUP($A152,Cuision!$G:$P,9,FALSE),VLOOKUP($A152,Cuision!$G:$P,10,FALSE),VLOOKUP(BI$83,Cuision!$G:$P,9,FALSE),VLOOKUP(BI$83,Cuision!$G:$P,10,FALSE)))</f>
        <v>4460.1322200226678</v>
      </c>
      <c r="BJ152" s="33">
        <f>IF($A152=BJ$83, 0, distance(VLOOKUP($A152,Cuision!$G:$P,9,FALSE),VLOOKUP($A152,Cuision!$G:$P,10,FALSE),VLOOKUP(BJ$83,Cuision!$G:$P,9,FALSE),VLOOKUP(BJ$83,Cuision!$G:$P,10,FALSE)))</f>
        <v>3565.0654515008168</v>
      </c>
      <c r="BK152" s="33">
        <f>IF($A152=BK$83, 0, distance(VLOOKUP($A152,Cuision!$G:$P,9,FALSE),VLOOKUP($A152,Cuision!$G:$P,10,FALSE),VLOOKUP(BK$83,Cuision!$G:$P,9,FALSE),VLOOKUP(BK$83,Cuision!$G:$P,10,FALSE)))</f>
        <v>4860.2850342260354</v>
      </c>
      <c r="BL152" s="33">
        <f>IF($A152=BL$83, 0, distance(VLOOKUP($A152,Cuision!$G:$P,9,FALSE),VLOOKUP($A152,Cuision!$G:$P,10,FALSE),VLOOKUP(BL$83,Cuision!$G:$P,9,FALSE),VLOOKUP(BL$83,Cuision!$G:$P,10,FALSE)))</f>
        <v>-1</v>
      </c>
      <c r="BM152" s="33">
        <f>IF($A152=BM$83, 0, distance(VLOOKUP($A152,Cuision!$G:$P,9,FALSE),VLOOKUP($A152,Cuision!$G:$P,10,FALSE),VLOOKUP(BM$83,Cuision!$G:$P,9,FALSE),VLOOKUP(BM$83,Cuision!$G:$P,10,FALSE)))</f>
        <v>-1</v>
      </c>
      <c r="BN152" s="33">
        <f>IF($A152=BN$83, 0, distance(VLOOKUP($A152,Cuision!$G:$P,9,FALSE),VLOOKUP($A152,Cuision!$G:$P,10,FALSE),VLOOKUP(BN$83,Cuision!$G:$P,9,FALSE),VLOOKUP(BN$83,Cuision!$G:$P,10,FALSE)))</f>
        <v>3664.7380839482948</v>
      </c>
      <c r="BO152" s="33">
        <f>IF($A152=BO$83, 0, distance(VLOOKUP($A152,Cuision!$G:$P,9,FALSE),VLOOKUP($A152,Cuision!$G:$P,10,FALSE),VLOOKUP(BO$83,Cuision!$G:$P,9,FALSE),VLOOKUP(BO$83,Cuision!$G:$P,10,FALSE)))</f>
        <v>9658.8971636921433</v>
      </c>
      <c r="BP152" s="33">
        <f>IF($A152=BP$83, 0, distance(VLOOKUP($A152,Cuision!$G:$P,9,FALSE),VLOOKUP($A152,Cuision!$G:$P,10,FALSE),VLOOKUP(BP$83,Cuision!$G:$P,9,FALSE),VLOOKUP(BP$83,Cuision!$G:$P,10,FALSE)))</f>
        <v>4457.7115648599465</v>
      </c>
      <c r="BQ152" s="33">
        <f>IF($A152=BQ$83, 0, distance(VLOOKUP($A152,Cuision!$G:$P,9,FALSE),VLOOKUP($A152,Cuision!$G:$P,10,FALSE),VLOOKUP(BQ$83,Cuision!$G:$P,9,FALSE),VLOOKUP(BQ$83,Cuision!$G:$P,10,FALSE)))</f>
        <v>-1</v>
      </c>
      <c r="BR152" s="33">
        <f>IF($A152=BR$83, 0, distance(VLOOKUP($A152,Cuision!$G:$P,9,FALSE),VLOOKUP($A152,Cuision!$G:$P,10,FALSE),VLOOKUP(BR$83,Cuision!$G:$P,9,FALSE),VLOOKUP(BR$83,Cuision!$G:$P,10,FALSE)))</f>
        <v>0</v>
      </c>
      <c r="BS152" s="33">
        <f>IF($A152=BS$83, 0, distance(VLOOKUP($A152,Cuision!$G:$P,9,FALSE),VLOOKUP($A152,Cuision!$G:$P,10,FALSE),VLOOKUP(BS$83,Cuision!$G:$P,9,FALSE),VLOOKUP(BS$83,Cuision!$G:$P,10,FALSE)))</f>
        <v>6925.3526153099201</v>
      </c>
      <c r="BT152" s="33">
        <f>IF($A152=BT$83, 0, distance(VLOOKUP($A152,Cuision!$G:$P,9,FALSE),VLOOKUP($A152,Cuision!$G:$P,10,FALSE),VLOOKUP(BT$83,Cuision!$G:$P,9,FALSE),VLOOKUP(BT$83,Cuision!$G:$P,10,FALSE)))</f>
        <v>3783.2693926891457</v>
      </c>
      <c r="BU152" s="33">
        <f>IF($A152=BU$83, 0, distance(VLOOKUP($A152,Cuision!$G:$P,9,FALSE),VLOOKUP($A152,Cuision!$G:$P,10,FALSE),VLOOKUP(BU$83,Cuision!$G:$P,9,FALSE),VLOOKUP(BU$83,Cuision!$G:$P,10,FALSE)))</f>
        <v>8795.1435587154083</v>
      </c>
      <c r="BV152" s="33">
        <f>IF($A152=BV$83, 0, distance(VLOOKUP($A152,Cuision!$G:$P,9,FALSE),VLOOKUP($A152,Cuision!$G:$P,10,FALSE),VLOOKUP(BV$83,Cuision!$G:$P,9,FALSE),VLOOKUP(BV$83,Cuision!$G:$P,10,FALSE)))</f>
        <v>5421.3689076575865</v>
      </c>
      <c r="BW152" s="33">
        <f>IF($A152=BW$83, 0, distance(VLOOKUP($A152,Cuision!$G:$P,9,FALSE),VLOOKUP($A152,Cuision!$G:$P,10,FALSE),VLOOKUP(BW$83,Cuision!$G:$P,9,FALSE),VLOOKUP(BW$83,Cuision!$G:$P,10,FALSE)))</f>
        <v>4867.1181653717495</v>
      </c>
      <c r="BX152" s="33">
        <f>IF($A152=BX$83, 0, distance(VLOOKUP($A152,Cuision!$G:$P,9,FALSE),VLOOKUP($A152,Cuision!$G:$P,10,FALSE),VLOOKUP(BX$83,Cuision!$G:$P,9,FALSE),VLOOKUP(BX$83,Cuision!$G:$P,10,FALSE)))</f>
        <v>6504.7911484691258</v>
      </c>
      <c r="BY152" s="33">
        <f>IF($A152=BY$83, 0, distance(VLOOKUP($A152,Cuision!$G:$P,9,FALSE),VLOOKUP($A152,Cuision!$G:$P,10,FALSE),VLOOKUP(BY$83,Cuision!$G:$P,9,FALSE),VLOOKUP(BY$83,Cuision!$G:$P,10,FALSE)))</f>
        <v>-1</v>
      </c>
      <c r="BZ152" s="33">
        <f>IF($A152=BZ$83, 0, distance(VLOOKUP($A152,Cuision!$G:$P,9,FALSE),VLOOKUP($A152,Cuision!$G:$P,10,FALSE),VLOOKUP(BZ$83,Cuision!$G:$P,9,FALSE),VLOOKUP(BZ$83,Cuision!$G:$P,10,FALSE)))</f>
        <v>-1</v>
      </c>
      <c r="CA152" s="33">
        <f>IF($A152=CA$83, 0, distance(VLOOKUP($A152,Cuision!$G:$P,9,FALSE),VLOOKUP($A152,Cuision!$G:$P,10,FALSE),VLOOKUP(CA$83,Cuision!$G:$P,9,FALSE),VLOOKUP(CA$83,Cuision!$G:$P,10,FALSE)))</f>
        <v>8292.1310430124922</v>
      </c>
    </row>
    <row r="153" spans="1:79" ht="14.25" x14ac:dyDescent="0.2">
      <c r="A153" s="30" t="s">
        <v>123</v>
      </c>
      <c r="B153" s="33">
        <f>IF($A153=B$83, 0, distance(VLOOKUP($A153,Cuision!$G:$P,9,FALSE),VLOOKUP($A153,Cuision!$G:$P,10,FALSE),VLOOKUP(B$83,Cuision!$G:$P,9,FALSE),VLOOKUP(B$83,Cuision!$G:$P,10,FALSE)))</f>
        <v>2594.5740814390215</v>
      </c>
      <c r="C153" s="33">
        <f>IF($A153=C$83, 0, distance(VLOOKUP($A153,Cuision!$G:$P,9,FALSE),VLOOKUP($A153,Cuision!$G:$P,10,FALSE),VLOOKUP(C$83,Cuision!$G:$P,9,FALSE),VLOOKUP(C$83,Cuision!$G:$P,10,FALSE)))</f>
        <v>6182.6476563965662</v>
      </c>
      <c r="D153" s="33">
        <f>IF($A153=D$83, 0, distance(VLOOKUP($A153,Cuision!$G:$P,9,FALSE),VLOOKUP($A153,Cuision!$G:$P,10,FALSE),VLOOKUP(D$83,Cuision!$G:$P,9,FALSE),VLOOKUP(D$83,Cuision!$G:$P,10,FALSE)))</f>
        <v>6925.3526153099201</v>
      </c>
      <c r="E153" s="33">
        <f>IF($A153=E$83, 0, distance(VLOOKUP($A153,Cuision!$G:$P,9,FALSE),VLOOKUP($A153,Cuision!$G:$P,10,FALSE),VLOOKUP(E$83,Cuision!$G:$P,9,FALSE),VLOOKUP(E$83,Cuision!$G:$P,10,FALSE)))</f>
        <v>6925.3526153099201</v>
      </c>
      <c r="F153" s="33">
        <f>IF($A153=F$83, 0, distance(VLOOKUP($A153,Cuision!$G:$P,9,FALSE),VLOOKUP($A153,Cuision!$G:$P,10,FALSE),VLOOKUP(F$83,Cuision!$G:$P,9,FALSE),VLOOKUP(F$83,Cuision!$G:$P,10,FALSE)))</f>
        <v>4145.2066021845849</v>
      </c>
      <c r="G153" s="33">
        <f>IF($A153=G$83, 0, distance(VLOOKUP($A153,Cuision!$G:$P,9,FALSE),VLOOKUP($A153,Cuision!$G:$P,10,FALSE),VLOOKUP(G$83,Cuision!$G:$P,9,FALSE),VLOOKUP(G$83,Cuision!$G:$P,10,FALSE)))</f>
        <v>11971.123932631619</v>
      </c>
      <c r="H153" s="33">
        <f>IF($A153=H$83, 0, distance(VLOOKUP($A153,Cuision!$G:$P,9,FALSE),VLOOKUP($A153,Cuision!$G:$P,10,FALSE),VLOOKUP(H$83,Cuision!$G:$P,9,FALSE),VLOOKUP(H$83,Cuision!$G:$P,10,FALSE)))</f>
        <v>3689.9649577281907</v>
      </c>
      <c r="I153" s="33">
        <f>IF($A153=I$83, 0, distance(VLOOKUP($A153,Cuision!$G:$P,9,FALSE),VLOOKUP($A153,Cuision!$G:$P,10,FALSE),VLOOKUP(I$83,Cuision!$G:$P,9,FALSE),VLOOKUP(I$83,Cuision!$G:$P,10,FALSE)))</f>
        <v>958.68728598068651</v>
      </c>
      <c r="J153" s="33">
        <f>IF($A153=J$83, 0, distance(VLOOKUP($A153,Cuision!$G:$P,9,FALSE),VLOOKUP($A153,Cuision!$G:$P,10,FALSE),VLOOKUP(J$83,Cuision!$G:$P,9,FALSE),VLOOKUP(J$83,Cuision!$G:$P,10,FALSE)))</f>
        <v>5597.2488794087549</v>
      </c>
      <c r="K153" s="33">
        <f>IF($A153=K$83, 0, distance(VLOOKUP($A153,Cuision!$G:$P,9,FALSE),VLOOKUP($A153,Cuision!$G:$P,10,FALSE),VLOOKUP(K$83,Cuision!$G:$P,9,FALSE),VLOOKUP(K$83,Cuision!$G:$P,10,FALSE)))</f>
        <v>4635.0400867959006</v>
      </c>
      <c r="L153" s="33">
        <f>IF($A153=L$83, 0, distance(VLOOKUP($A153,Cuision!$G:$P,9,FALSE),VLOOKUP($A153,Cuision!$G:$P,10,FALSE),VLOOKUP(L$83,Cuision!$G:$P,9,FALSE),VLOOKUP(L$83,Cuision!$G:$P,10,FALSE)))</f>
        <v>1880.5182585279579</v>
      </c>
      <c r="M153" s="33">
        <f>IF($A153=M$83, 0, distance(VLOOKUP($A153,Cuision!$G:$P,9,FALSE),VLOOKUP($A153,Cuision!$G:$P,10,FALSE),VLOOKUP(M$83,Cuision!$G:$P,9,FALSE),VLOOKUP(M$83,Cuision!$G:$P,10,FALSE)))</f>
        <v>-1</v>
      </c>
      <c r="N153" s="33">
        <f>IF($A153=N$83, 0, distance(VLOOKUP($A153,Cuision!$G:$P,9,FALSE),VLOOKUP($A153,Cuision!$G:$P,10,FALSE),VLOOKUP(N$83,Cuision!$G:$P,9,FALSE),VLOOKUP(N$83,Cuision!$G:$P,10,FALSE)))</f>
        <v>5729.4499419733847</v>
      </c>
      <c r="O153" s="33">
        <f>IF($A153=O$83, 0, distance(VLOOKUP($A153,Cuision!$G:$P,9,FALSE),VLOOKUP($A153,Cuision!$G:$P,10,FALSE),VLOOKUP(O$83,Cuision!$G:$P,9,FALSE),VLOOKUP(O$83,Cuision!$G:$P,10,FALSE)))</f>
        <v>4946.4703786708014</v>
      </c>
      <c r="P153" s="33">
        <f>IF($A153=P$83, 0, distance(VLOOKUP($A153,Cuision!$G:$P,9,FALSE),VLOOKUP($A153,Cuision!$G:$P,10,FALSE),VLOOKUP(P$83,Cuision!$G:$P,9,FALSE),VLOOKUP(P$83,Cuision!$G:$P,10,FALSE)))</f>
        <v>10520.638165397544</v>
      </c>
      <c r="Q153" s="33">
        <f>IF($A153=Q$83, 0, distance(VLOOKUP($A153,Cuision!$G:$P,9,FALSE),VLOOKUP($A153,Cuision!$G:$P,10,FALSE),VLOOKUP(Q$83,Cuision!$G:$P,9,FALSE),VLOOKUP(Q$83,Cuision!$G:$P,10,FALSE)))</f>
        <v>-1</v>
      </c>
      <c r="R153" s="33">
        <f>IF($A153=R$83, 0, distance(VLOOKUP($A153,Cuision!$G:$P,9,FALSE),VLOOKUP($A153,Cuision!$G:$P,10,FALSE),VLOOKUP(R$83,Cuision!$G:$P,9,FALSE),VLOOKUP(R$83,Cuision!$G:$P,10,FALSE)))</f>
        <v>5057.7634483185511</v>
      </c>
      <c r="S153" s="33">
        <f>IF($A153=S$83, 0, distance(VLOOKUP($A153,Cuision!$G:$P,9,FALSE),VLOOKUP($A153,Cuision!$G:$P,10,FALSE),VLOOKUP(S$83,Cuision!$G:$P,9,FALSE),VLOOKUP(S$83,Cuision!$G:$P,10,FALSE)))</f>
        <v>-1</v>
      </c>
      <c r="T153" s="33">
        <f>IF($A153=T$83, 0, distance(VLOOKUP($A153,Cuision!$G:$P,9,FALSE),VLOOKUP($A153,Cuision!$G:$P,10,FALSE),VLOOKUP(T$83,Cuision!$G:$P,9,FALSE),VLOOKUP(T$83,Cuision!$G:$P,10,FALSE)))</f>
        <v>1838.9367806046748</v>
      </c>
      <c r="U153" s="33">
        <f>IF($A153=U$83, 0, distance(VLOOKUP($A153,Cuision!$G:$P,9,FALSE),VLOOKUP($A153,Cuision!$G:$P,10,FALSE),VLOOKUP(U$83,Cuision!$G:$P,9,FALSE),VLOOKUP(U$83,Cuision!$G:$P,10,FALSE)))</f>
        <v>-1</v>
      </c>
      <c r="V153" s="33">
        <f>IF($A153=V$83, 0, distance(VLOOKUP($A153,Cuision!$G:$P,9,FALSE),VLOOKUP($A153,Cuision!$G:$P,10,FALSE),VLOOKUP(V$83,Cuision!$G:$P,9,FALSE),VLOOKUP(V$83,Cuision!$G:$P,10,FALSE)))</f>
        <v>6925.3526153099201</v>
      </c>
      <c r="W153" s="33">
        <f>IF($A153=W$83, 0, distance(VLOOKUP($A153,Cuision!$G:$P,9,FALSE),VLOOKUP($A153,Cuision!$G:$P,10,FALSE),VLOOKUP(W$83,Cuision!$G:$P,9,FALSE),VLOOKUP(W$83,Cuision!$G:$P,10,FALSE)))</f>
        <v>2080.5743743054149</v>
      </c>
      <c r="X153" s="33">
        <f>IF($A153=X$83, 0, distance(VLOOKUP($A153,Cuision!$G:$P,9,FALSE),VLOOKUP($A153,Cuision!$G:$P,10,FALSE),VLOOKUP(X$83,Cuision!$G:$P,9,FALSE),VLOOKUP(X$83,Cuision!$G:$P,10,FALSE)))</f>
        <v>5729.4499419733847</v>
      </c>
      <c r="Y153" s="33">
        <f>IF($A153=Y$83, 0, distance(VLOOKUP($A153,Cuision!$G:$P,9,FALSE),VLOOKUP($A153,Cuision!$G:$P,10,FALSE),VLOOKUP(Y$83,Cuision!$G:$P,9,FALSE),VLOOKUP(Y$83,Cuision!$G:$P,10,FALSE)))</f>
        <v>0</v>
      </c>
      <c r="Z153" s="33">
        <f>IF($A153=Z$83, 0, distance(VLOOKUP($A153,Cuision!$G:$P,9,FALSE),VLOOKUP($A153,Cuision!$G:$P,10,FALSE),VLOOKUP(Z$83,Cuision!$G:$P,9,FALSE),VLOOKUP(Z$83,Cuision!$G:$P,10,FALSE)))</f>
        <v>-1</v>
      </c>
      <c r="AA153" s="33">
        <f>IF($A153=AA$83, 0, distance(VLOOKUP($A153,Cuision!$G:$P,9,FALSE),VLOOKUP($A153,Cuision!$G:$P,10,FALSE),VLOOKUP(AA$83,Cuision!$G:$P,9,FALSE),VLOOKUP(AA$83,Cuision!$G:$P,10,FALSE)))</f>
        <v>7915.6834754802967</v>
      </c>
      <c r="AB153" s="33">
        <f>IF($A153=AB$83, 0, distance(VLOOKUP($A153,Cuision!$G:$P,9,FALSE),VLOOKUP($A153,Cuision!$G:$P,10,FALSE),VLOOKUP(AB$83,Cuision!$G:$P,9,FALSE),VLOOKUP(AB$83,Cuision!$G:$P,10,FALSE)))</f>
        <v>4632.270738846014</v>
      </c>
      <c r="AC153" s="33">
        <f>IF($A153=AC$83, 0, distance(VLOOKUP($A153,Cuision!$G:$P,9,FALSE),VLOOKUP($A153,Cuision!$G:$P,10,FALSE),VLOOKUP(AC$83,Cuision!$G:$P,9,FALSE),VLOOKUP(AC$83,Cuision!$G:$P,10,FALSE)))</f>
        <v>5166.1739021496505</v>
      </c>
      <c r="AD153" s="33">
        <f>IF($A153=AD$83, 0, distance(VLOOKUP($A153,Cuision!$G:$P,9,FALSE),VLOOKUP($A153,Cuision!$G:$P,10,FALSE),VLOOKUP(AD$83,Cuision!$G:$P,9,FALSE),VLOOKUP(AD$83,Cuision!$G:$P,10,FALSE)))</f>
        <v>1770.4881182960353</v>
      </c>
      <c r="AE153" s="33">
        <f>IF($A153=AE$83, 0, distance(VLOOKUP($A153,Cuision!$G:$P,9,FALSE),VLOOKUP($A153,Cuision!$G:$P,10,FALSE),VLOOKUP(AE$83,Cuision!$G:$P,9,FALSE),VLOOKUP(AE$83,Cuision!$G:$P,10,FALSE)))</f>
        <v>4230.5343323383104</v>
      </c>
      <c r="AF153" s="33">
        <f>IF($A153=AF$83, 0, distance(VLOOKUP($A153,Cuision!$G:$P,9,FALSE),VLOOKUP($A153,Cuision!$G:$P,10,FALSE),VLOOKUP(AF$83,Cuision!$G:$P,9,FALSE),VLOOKUP(AF$83,Cuision!$G:$P,10,FALSE)))</f>
        <v>5105.3803948869372</v>
      </c>
      <c r="AG153" s="33">
        <f>IF($A153=AG$83, 0, distance(VLOOKUP($A153,Cuision!$G:$P,9,FALSE),VLOOKUP($A153,Cuision!$G:$P,10,FALSE),VLOOKUP(AG$83,Cuision!$G:$P,9,FALSE),VLOOKUP(AG$83,Cuision!$G:$P,10,FALSE)))</f>
        <v>4570.8191072065283</v>
      </c>
      <c r="AH153" s="33">
        <f>IF($A153=AH$83, 0, distance(VLOOKUP($A153,Cuision!$G:$P,9,FALSE),VLOOKUP($A153,Cuision!$G:$P,10,FALSE),VLOOKUP(AH$83,Cuision!$G:$P,9,FALSE),VLOOKUP(AH$83,Cuision!$G:$P,10,FALSE)))</f>
        <v>-1</v>
      </c>
      <c r="AI153" s="33">
        <f>IF($A153=AI$83, 0, distance(VLOOKUP($A153,Cuision!$G:$P,9,FALSE),VLOOKUP($A153,Cuision!$G:$P,10,FALSE),VLOOKUP(AI$83,Cuision!$G:$P,9,FALSE),VLOOKUP(AI$83,Cuision!$G:$P,10,FALSE)))</f>
        <v>4732.4511398125096</v>
      </c>
      <c r="AJ153" s="33">
        <f>IF($A153=AJ$83, 0, distance(VLOOKUP($A153,Cuision!$G:$P,9,FALSE),VLOOKUP($A153,Cuision!$G:$P,10,FALSE),VLOOKUP(AJ$83,Cuision!$G:$P,9,FALSE),VLOOKUP(AJ$83,Cuision!$G:$P,10,FALSE)))</f>
        <v>4145.2066021845849</v>
      </c>
      <c r="AK153" s="33">
        <f>IF($A153=AK$83, 0, distance(VLOOKUP($A153,Cuision!$G:$P,9,FALSE),VLOOKUP($A153,Cuision!$G:$P,10,FALSE),VLOOKUP(AK$83,Cuision!$G:$P,9,FALSE),VLOOKUP(AK$83,Cuision!$G:$P,10,FALSE)))</f>
        <v>5245.2042244274962</v>
      </c>
      <c r="AL153" s="33">
        <f>IF($A153=AL$83, 0, distance(VLOOKUP($A153,Cuision!$G:$P,9,FALSE),VLOOKUP($A153,Cuision!$G:$P,10,FALSE),VLOOKUP(AL$83,Cuision!$G:$P,9,FALSE),VLOOKUP(AL$83,Cuision!$G:$P,10,FALSE)))</f>
        <v>1960.1784584809275</v>
      </c>
      <c r="AM153" s="33">
        <f>IF($A153=AM$83, 0, distance(VLOOKUP($A153,Cuision!$G:$P,9,FALSE),VLOOKUP($A153,Cuision!$G:$P,10,FALSE),VLOOKUP(AM$83,Cuision!$G:$P,9,FALSE),VLOOKUP(AM$83,Cuision!$G:$P,10,FALSE)))</f>
        <v>-1</v>
      </c>
      <c r="AN153" s="33">
        <f>IF($A153=AN$83, 0, distance(VLOOKUP($A153,Cuision!$G:$P,9,FALSE),VLOOKUP($A153,Cuision!$G:$P,10,FALSE),VLOOKUP(AN$83,Cuision!$G:$P,9,FALSE),VLOOKUP(AN$83,Cuision!$G:$P,10,FALSE)))</f>
        <v>4560.3581609949579</v>
      </c>
      <c r="AO153" s="33">
        <f>IF($A153=AO$83, 0, distance(VLOOKUP($A153,Cuision!$G:$P,9,FALSE),VLOOKUP($A153,Cuision!$G:$P,10,FALSE),VLOOKUP(AO$83,Cuision!$G:$P,9,FALSE),VLOOKUP(AO$83,Cuision!$G:$P,10,FALSE)))</f>
        <v>5729.4499419733847</v>
      </c>
      <c r="AP153" s="33">
        <f>IF($A153=AP$83, 0, distance(VLOOKUP($A153,Cuision!$G:$P,9,FALSE),VLOOKUP($A153,Cuision!$G:$P,10,FALSE),VLOOKUP(AP$83,Cuision!$G:$P,9,FALSE),VLOOKUP(AP$83,Cuision!$G:$P,10,FALSE)))</f>
        <v>2346.7939937671476</v>
      </c>
      <c r="AQ153" s="33">
        <f>IF($A153=AQ$83, 0, distance(VLOOKUP($A153,Cuision!$G:$P,9,FALSE),VLOOKUP($A153,Cuision!$G:$P,10,FALSE),VLOOKUP(AQ$83,Cuision!$G:$P,9,FALSE),VLOOKUP(AQ$83,Cuision!$G:$P,10,FALSE)))</f>
        <v>3244.0686769670197</v>
      </c>
      <c r="AR153" s="33">
        <f>IF($A153=AR$83, 0, distance(VLOOKUP($A153,Cuision!$G:$P,9,FALSE),VLOOKUP($A153,Cuision!$G:$P,10,FALSE),VLOOKUP(AR$83,Cuision!$G:$P,9,FALSE),VLOOKUP(AR$83,Cuision!$G:$P,10,FALSE)))</f>
        <v>5057.7634483185511</v>
      </c>
      <c r="AS153" s="33">
        <f>IF($A153=AS$83, 0, distance(VLOOKUP($A153,Cuision!$G:$P,9,FALSE),VLOOKUP($A153,Cuision!$G:$P,10,FALSE),VLOOKUP(AS$83,Cuision!$G:$P,9,FALSE),VLOOKUP(AS$83,Cuision!$G:$P,10,FALSE)))</f>
        <v>5049.1662087804625</v>
      </c>
      <c r="AT153" s="33">
        <f>IF($A153=AT$83, 0, distance(VLOOKUP($A153,Cuision!$G:$P,9,FALSE),VLOOKUP($A153,Cuision!$G:$P,10,FALSE),VLOOKUP(AT$83,Cuision!$G:$P,9,FALSE),VLOOKUP(AT$83,Cuision!$G:$P,10,FALSE)))</f>
        <v>1300.4197753212788</v>
      </c>
      <c r="AU153" s="33">
        <f>IF($A153=AU$83, 0, distance(VLOOKUP($A153,Cuision!$G:$P,9,FALSE),VLOOKUP($A153,Cuision!$G:$P,10,FALSE),VLOOKUP(AU$83,Cuision!$G:$P,9,FALSE),VLOOKUP(AU$83,Cuision!$G:$P,10,FALSE)))</f>
        <v>592.21437154410091</v>
      </c>
      <c r="AV153" s="33">
        <f>IF($A153=AV$83, 0, distance(VLOOKUP($A153,Cuision!$G:$P,9,FALSE),VLOOKUP($A153,Cuision!$G:$P,10,FALSE),VLOOKUP(AV$83,Cuision!$G:$P,9,FALSE),VLOOKUP(AV$83,Cuision!$G:$P,10,FALSE)))</f>
        <v>4464.0602932069742</v>
      </c>
      <c r="AW153" s="33">
        <f>IF($A153=AW$83, 0, distance(VLOOKUP($A153,Cuision!$G:$P,9,FALSE),VLOOKUP($A153,Cuision!$G:$P,10,FALSE),VLOOKUP(AW$83,Cuision!$G:$P,9,FALSE),VLOOKUP(AW$83,Cuision!$G:$P,10,FALSE)))</f>
        <v>1725.3156094331791</v>
      </c>
      <c r="AX153" s="33">
        <f>IF($A153=AX$83, 0, distance(VLOOKUP($A153,Cuision!$G:$P,9,FALSE),VLOOKUP($A153,Cuision!$G:$P,10,FALSE),VLOOKUP(AX$83,Cuision!$G:$P,9,FALSE),VLOOKUP(AX$83,Cuision!$G:$P,10,FALSE)))</f>
        <v>9981.6159904222623</v>
      </c>
      <c r="AY153" s="33">
        <f>IF($A153=AY$83, 0, distance(VLOOKUP($A153,Cuision!$G:$P,9,FALSE),VLOOKUP($A153,Cuision!$G:$P,10,FALSE),VLOOKUP(AY$83,Cuision!$G:$P,9,FALSE),VLOOKUP(AY$83,Cuision!$G:$P,10,FALSE)))</f>
        <v>-1</v>
      </c>
      <c r="AZ153" s="33">
        <f>IF($A153=AZ$83, 0, distance(VLOOKUP($A153,Cuision!$G:$P,9,FALSE),VLOOKUP($A153,Cuision!$G:$P,10,FALSE),VLOOKUP(AZ$83,Cuision!$G:$P,9,FALSE),VLOOKUP(AZ$83,Cuision!$G:$P,10,FALSE)))</f>
        <v>2702.0786792225776</v>
      </c>
      <c r="BA153" s="33">
        <f>IF($A153=BA$83, 0, distance(VLOOKUP($A153,Cuision!$G:$P,9,FALSE),VLOOKUP($A153,Cuision!$G:$P,10,FALSE),VLOOKUP(BA$83,Cuision!$G:$P,9,FALSE),VLOOKUP(BA$83,Cuision!$G:$P,10,FALSE)))</f>
        <v>5127.12299040575</v>
      </c>
      <c r="BB153" s="33">
        <f>IF($A153=BB$83, 0, distance(VLOOKUP($A153,Cuision!$G:$P,9,FALSE),VLOOKUP($A153,Cuision!$G:$P,10,FALSE),VLOOKUP(BB$83,Cuision!$G:$P,9,FALSE),VLOOKUP(BB$83,Cuision!$G:$P,10,FALSE)))</f>
        <v>7740.8679962902615</v>
      </c>
      <c r="BC153" s="33">
        <f>IF($A153=BC$83, 0, distance(VLOOKUP($A153,Cuision!$G:$P,9,FALSE),VLOOKUP($A153,Cuision!$G:$P,10,FALSE),VLOOKUP(BC$83,Cuision!$G:$P,9,FALSE),VLOOKUP(BC$83,Cuision!$G:$P,10,FALSE)))</f>
        <v>4145.2066021845849</v>
      </c>
      <c r="BD153" s="33">
        <f>IF($A153=BD$83, 0, distance(VLOOKUP($A153,Cuision!$G:$P,9,FALSE),VLOOKUP($A153,Cuision!$G:$P,10,FALSE),VLOOKUP(BD$83,Cuision!$G:$P,9,FALSE),VLOOKUP(BD$83,Cuision!$G:$P,10,FALSE)))</f>
        <v>726.91624570839917</v>
      </c>
      <c r="BE153" s="33">
        <f>IF($A153=BE$83, 0, distance(VLOOKUP($A153,Cuision!$G:$P,9,FALSE),VLOOKUP($A153,Cuision!$G:$P,10,FALSE),VLOOKUP(BE$83,Cuision!$G:$P,9,FALSE),VLOOKUP(BE$83,Cuision!$G:$P,10,FALSE)))</f>
        <v>6176.8506995570151</v>
      </c>
      <c r="BF153" s="33">
        <f>IF($A153=BF$83, 0, distance(VLOOKUP($A153,Cuision!$G:$P,9,FALSE),VLOOKUP($A153,Cuision!$G:$P,10,FALSE),VLOOKUP(BF$83,Cuision!$G:$P,9,FALSE),VLOOKUP(BF$83,Cuision!$G:$P,10,FALSE)))</f>
        <v>2412.0900397401579</v>
      </c>
      <c r="BG153" s="33">
        <f>IF($A153=BG$83, 0, distance(VLOOKUP($A153,Cuision!$G:$P,9,FALSE),VLOOKUP($A153,Cuision!$G:$P,10,FALSE),VLOOKUP(BG$83,Cuision!$G:$P,9,FALSE),VLOOKUP(BG$83,Cuision!$G:$P,10,FALSE)))</f>
        <v>3480.2899702519962</v>
      </c>
      <c r="BH153" s="33">
        <f>IF($A153=BH$83, 0, distance(VLOOKUP($A153,Cuision!$G:$P,9,FALSE),VLOOKUP($A153,Cuision!$G:$P,10,FALSE),VLOOKUP(BH$83,Cuision!$G:$P,9,FALSE),VLOOKUP(BH$83,Cuision!$G:$P,10,FALSE)))</f>
        <v>10343.564435599781</v>
      </c>
      <c r="BI153" s="33">
        <f>IF($A153=BI$83, 0, distance(VLOOKUP($A153,Cuision!$G:$P,9,FALSE),VLOOKUP($A153,Cuision!$G:$P,10,FALSE),VLOOKUP(BI$83,Cuision!$G:$P,9,FALSE),VLOOKUP(BI$83,Cuision!$G:$P,10,FALSE)))</f>
        <v>4312.429239981142</v>
      </c>
      <c r="BJ153" s="33">
        <f>IF($A153=BJ$83, 0, distance(VLOOKUP($A153,Cuision!$G:$P,9,FALSE),VLOOKUP($A153,Cuision!$G:$P,10,FALSE),VLOOKUP(BJ$83,Cuision!$G:$P,9,FALSE),VLOOKUP(BJ$83,Cuision!$G:$P,10,FALSE)))</f>
        <v>6006.0762107798828</v>
      </c>
      <c r="BK153" s="33">
        <f>IF($A153=BK$83, 0, distance(VLOOKUP($A153,Cuision!$G:$P,9,FALSE),VLOOKUP($A153,Cuision!$G:$P,10,FALSE),VLOOKUP(BK$83,Cuision!$G:$P,9,FALSE),VLOOKUP(BK$83,Cuision!$G:$P,10,FALSE)))</f>
        <v>3599.3873254582618</v>
      </c>
      <c r="BL153" s="33">
        <f>IF($A153=BL$83, 0, distance(VLOOKUP($A153,Cuision!$G:$P,9,FALSE),VLOOKUP($A153,Cuision!$G:$P,10,FALSE),VLOOKUP(BL$83,Cuision!$G:$P,9,FALSE),VLOOKUP(BL$83,Cuision!$G:$P,10,FALSE)))</f>
        <v>-1</v>
      </c>
      <c r="BM153" s="33">
        <f>IF($A153=BM$83, 0, distance(VLOOKUP($A153,Cuision!$G:$P,9,FALSE),VLOOKUP($A153,Cuision!$G:$P,10,FALSE),VLOOKUP(BM$83,Cuision!$G:$P,9,FALSE),VLOOKUP(BM$83,Cuision!$G:$P,10,FALSE)))</f>
        <v>-1</v>
      </c>
      <c r="BN153" s="33">
        <f>IF($A153=BN$83, 0, distance(VLOOKUP($A153,Cuision!$G:$P,9,FALSE),VLOOKUP($A153,Cuision!$G:$P,10,FALSE),VLOOKUP(BN$83,Cuision!$G:$P,9,FALSE),VLOOKUP(BN$83,Cuision!$G:$P,10,FALSE)))</f>
        <v>5057.7634483185511</v>
      </c>
      <c r="BO153" s="33">
        <f>IF($A153=BO$83, 0, distance(VLOOKUP($A153,Cuision!$G:$P,9,FALSE),VLOOKUP($A153,Cuision!$G:$P,10,FALSE),VLOOKUP(BO$83,Cuision!$G:$P,9,FALSE),VLOOKUP(BO$83,Cuision!$G:$P,10,FALSE)))</f>
        <v>2782.4195090708558</v>
      </c>
      <c r="BP153" s="33">
        <f>IF($A153=BP$83, 0, distance(VLOOKUP($A153,Cuision!$G:$P,9,FALSE),VLOOKUP($A153,Cuision!$G:$P,10,FALSE),VLOOKUP(BP$83,Cuision!$G:$P,9,FALSE),VLOOKUP(BP$83,Cuision!$G:$P,10,FALSE)))</f>
        <v>4609.3749906343519</v>
      </c>
      <c r="BQ153" s="33">
        <f>IF($A153=BQ$83, 0, distance(VLOOKUP($A153,Cuision!$G:$P,9,FALSE),VLOOKUP($A153,Cuision!$G:$P,10,FALSE),VLOOKUP(BQ$83,Cuision!$G:$P,9,FALSE),VLOOKUP(BQ$83,Cuision!$G:$P,10,FALSE)))</f>
        <v>-1</v>
      </c>
      <c r="BR153" s="33">
        <f>IF($A153=BR$83, 0, distance(VLOOKUP($A153,Cuision!$G:$P,9,FALSE),VLOOKUP($A153,Cuision!$G:$P,10,FALSE),VLOOKUP(BR$83,Cuision!$G:$P,9,FALSE),VLOOKUP(BR$83,Cuision!$G:$P,10,FALSE)))</f>
        <v>6925.3526153099201</v>
      </c>
      <c r="BS153" s="33">
        <f>IF($A153=BS$83, 0, distance(VLOOKUP($A153,Cuision!$G:$P,9,FALSE),VLOOKUP($A153,Cuision!$G:$P,10,FALSE),VLOOKUP(BS$83,Cuision!$G:$P,9,FALSE),VLOOKUP(BS$83,Cuision!$G:$P,10,FALSE)))</f>
        <v>0</v>
      </c>
      <c r="BT153" s="33">
        <f>IF($A153=BT$83, 0, distance(VLOOKUP($A153,Cuision!$G:$P,9,FALSE),VLOOKUP($A153,Cuision!$G:$P,10,FALSE),VLOOKUP(BT$83,Cuision!$G:$P,9,FALSE),VLOOKUP(BT$83,Cuision!$G:$P,10,FALSE)))</f>
        <v>5729.4499419733847</v>
      </c>
      <c r="BU153" s="33">
        <f>IF($A153=BU$83, 0, distance(VLOOKUP($A153,Cuision!$G:$P,9,FALSE),VLOOKUP($A153,Cuision!$G:$P,10,FALSE),VLOOKUP(BU$83,Cuision!$G:$P,9,FALSE),VLOOKUP(BU$83,Cuision!$G:$P,10,FALSE)))</f>
        <v>2048.5394212998303</v>
      </c>
      <c r="BV153" s="33">
        <f>IF($A153=BV$83, 0, distance(VLOOKUP($A153,Cuision!$G:$P,9,FALSE),VLOOKUP($A153,Cuision!$G:$P,10,FALSE),VLOOKUP(BV$83,Cuision!$G:$P,9,FALSE),VLOOKUP(BV$83,Cuision!$G:$P,10,FALSE)))</f>
        <v>4246.1418969628439</v>
      </c>
      <c r="BW153" s="33">
        <f>IF($A153=BW$83, 0, distance(VLOOKUP($A153,Cuision!$G:$P,9,FALSE),VLOOKUP($A153,Cuision!$G:$P,10,FALSE),VLOOKUP(BW$83,Cuision!$G:$P,9,FALSE),VLOOKUP(BW$83,Cuision!$G:$P,10,FALSE)))</f>
        <v>4007.7940359549493</v>
      </c>
      <c r="BX153" s="33">
        <f>IF($A153=BX$83, 0, distance(VLOOKUP($A153,Cuision!$G:$P,9,FALSE),VLOOKUP($A153,Cuision!$G:$P,10,FALSE),VLOOKUP(BX$83,Cuision!$G:$P,9,FALSE),VLOOKUP(BX$83,Cuision!$G:$P,10,FALSE)))</f>
        <v>2446.4417241607243</v>
      </c>
      <c r="BY153" s="33">
        <f>IF($A153=BY$83, 0, distance(VLOOKUP($A153,Cuision!$G:$P,9,FALSE),VLOOKUP($A153,Cuision!$G:$P,10,FALSE),VLOOKUP(BY$83,Cuision!$G:$P,9,FALSE),VLOOKUP(BY$83,Cuision!$G:$P,10,FALSE)))</f>
        <v>-1</v>
      </c>
      <c r="BZ153" s="33">
        <f>IF($A153=BZ$83, 0, distance(VLOOKUP($A153,Cuision!$G:$P,9,FALSE),VLOOKUP($A153,Cuision!$G:$P,10,FALSE),VLOOKUP(BZ$83,Cuision!$G:$P,9,FALSE),VLOOKUP(BZ$83,Cuision!$G:$P,10,FALSE)))</f>
        <v>-1</v>
      </c>
      <c r="CA153" s="33">
        <f>IF($A153=CA$83, 0, distance(VLOOKUP($A153,Cuision!$G:$P,9,FALSE),VLOOKUP($A153,Cuision!$G:$P,10,FALSE),VLOOKUP(CA$83,Cuision!$G:$P,9,FALSE),VLOOKUP(CA$83,Cuision!$G:$P,10,FALSE)))</f>
        <v>1446.079828612139</v>
      </c>
    </row>
    <row r="154" spans="1:79" ht="14.25" x14ac:dyDescent="0.2">
      <c r="A154" s="30" t="s">
        <v>124</v>
      </c>
      <c r="B154" s="33">
        <f>IF($A154=B$83, 0, distance(VLOOKUP($A154,Cuision!$G:$P,9,FALSE),VLOOKUP($A154,Cuision!$G:$P,10,FALSE),VLOOKUP(B$83,Cuision!$G:$P,9,FALSE),VLOOKUP(B$83,Cuision!$G:$P,10,FALSE)))</f>
        <v>3902.0380014748603</v>
      </c>
      <c r="C154" s="33">
        <f>IF($A154=C$83, 0, distance(VLOOKUP($A154,Cuision!$G:$P,9,FALSE),VLOOKUP($A154,Cuision!$G:$P,10,FALSE),VLOOKUP(C$83,Cuision!$G:$P,9,FALSE),VLOOKUP(C$83,Cuision!$G:$P,10,FALSE)))</f>
        <v>4181.0014510469164</v>
      </c>
      <c r="D154" s="33">
        <f>IF($A154=D$83, 0, distance(VLOOKUP($A154,Cuision!$G:$P,9,FALSE),VLOOKUP($A154,Cuision!$G:$P,10,FALSE),VLOOKUP(D$83,Cuision!$G:$P,9,FALSE),VLOOKUP(D$83,Cuision!$G:$P,10,FALSE)))</f>
        <v>3783.2693926891457</v>
      </c>
      <c r="E154" s="33">
        <f>IF($A154=E$83, 0, distance(VLOOKUP($A154,Cuision!$G:$P,9,FALSE),VLOOKUP($A154,Cuision!$G:$P,10,FALSE),VLOOKUP(E$83,Cuision!$G:$P,9,FALSE),VLOOKUP(E$83,Cuision!$G:$P,10,FALSE)))</f>
        <v>3783.2693926891457</v>
      </c>
      <c r="F154" s="33">
        <f>IF($A154=F$83, 0, distance(VLOOKUP($A154,Cuision!$G:$P,9,FALSE),VLOOKUP($A154,Cuision!$G:$P,10,FALSE),VLOOKUP(F$83,Cuision!$G:$P,9,FALSE),VLOOKUP(F$83,Cuision!$G:$P,10,FALSE)))</f>
        <v>2699.2022856792228</v>
      </c>
      <c r="G154" s="33">
        <f>IF($A154=G$83, 0, distance(VLOOKUP($A154,Cuision!$G:$P,9,FALSE),VLOOKUP($A154,Cuision!$G:$P,10,FALSE),VLOOKUP(G$83,Cuision!$G:$P,9,FALSE),VLOOKUP(G$83,Cuision!$G:$P,10,FALSE)))</f>
        <v>6241.9215071578274</v>
      </c>
      <c r="H154" s="33">
        <f>IF($A154=H$83, 0, distance(VLOOKUP($A154,Cuision!$G:$P,9,FALSE),VLOOKUP($A154,Cuision!$G:$P,10,FALSE),VLOOKUP(H$83,Cuision!$G:$P,9,FALSE),VLOOKUP(H$83,Cuision!$G:$P,10,FALSE)))</f>
        <v>2507.8131736189293</v>
      </c>
      <c r="I154" s="33">
        <f>IF($A154=I$83, 0, distance(VLOOKUP($A154,Cuision!$G:$P,9,FALSE),VLOOKUP($A154,Cuision!$G:$P,10,FALSE),VLOOKUP(I$83,Cuision!$G:$P,9,FALSE),VLOOKUP(I$83,Cuision!$G:$P,10,FALSE)))</f>
        <v>5392.6916510897654</v>
      </c>
      <c r="J154" s="33">
        <f>IF($A154=J$83, 0, distance(VLOOKUP($A154,Cuision!$G:$P,9,FALSE),VLOOKUP($A154,Cuision!$G:$P,10,FALSE),VLOOKUP(J$83,Cuision!$G:$P,9,FALSE),VLOOKUP(J$83,Cuision!$G:$P,10,FALSE)))</f>
        <v>10918.515608145402</v>
      </c>
      <c r="K154" s="33">
        <f>IF($A154=K$83, 0, distance(VLOOKUP($A154,Cuision!$G:$P,9,FALSE),VLOOKUP($A154,Cuision!$G:$P,10,FALSE),VLOOKUP(K$83,Cuision!$G:$P,9,FALSE),VLOOKUP(K$83,Cuision!$G:$P,10,FALSE)))</f>
        <v>1123.9432343334427</v>
      </c>
      <c r="L154" s="33">
        <f>IF($A154=L$83, 0, distance(VLOOKUP($A154,Cuision!$G:$P,9,FALSE),VLOOKUP($A154,Cuision!$G:$P,10,FALSE),VLOOKUP(L$83,Cuision!$G:$P,9,FALSE),VLOOKUP(L$83,Cuision!$G:$P,10,FALSE)))</f>
        <v>5377.4809840655871</v>
      </c>
      <c r="M154" s="33">
        <f>IF($A154=M$83, 0, distance(VLOOKUP($A154,Cuision!$G:$P,9,FALSE),VLOOKUP($A154,Cuision!$G:$P,10,FALSE),VLOOKUP(M$83,Cuision!$G:$P,9,FALSE),VLOOKUP(M$83,Cuision!$G:$P,10,FALSE)))</f>
        <v>-1</v>
      </c>
      <c r="N154" s="33">
        <f>IF($A154=N$83, 0, distance(VLOOKUP($A154,Cuision!$G:$P,9,FALSE),VLOOKUP($A154,Cuision!$G:$P,10,FALSE),VLOOKUP(N$83,Cuision!$G:$P,9,FALSE),VLOOKUP(N$83,Cuision!$G:$P,10,FALSE)))</f>
        <v>0</v>
      </c>
      <c r="O154" s="33">
        <f>IF($A154=O$83, 0, distance(VLOOKUP($A154,Cuision!$G:$P,9,FALSE),VLOOKUP($A154,Cuision!$G:$P,10,FALSE),VLOOKUP(O$83,Cuision!$G:$P,9,FALSE),VLOOKUP(O$83,Cuision!$G:$P,10,FALSE)))</f>
        <v>817.71380377535468</v>
      </c>
      <c r="P154" s="33">
        <f>IF($A154=P$83, 0, distance(VLOOKUP($A154,Cuision!$G:$P,9,FALSE),VLOOKUP($A154,Cuision!$G:$P,10,FALSE),VLOOKUP(P$83,Cuision!$G:$P,9,FALSE),VLOOKUP(P$83,Cuision!$G:$P,10,FALSE)))</f>
        <v>4808.414862126243</v>
      </c>
      <c r="Q154" s="33">
        <f>IF($A154=Q$83, 0, distance(VLOOKUP($A154,Cuision!$G:$P,9,FALSE),VLOOKUP($A154,Cuision!$G:$P,10,FALSE),VLOOKUP(Q$83,Cuision!$G:$P,9,FALSE),VLOOKUP(Q$83,Cuision!$G:$P,10,FALSE)))</f>
        <v>-1</v>
      </c>
      <c r="R154" s="33">
        <f>IF($A154=R$83, 0, distance(VLOOKUP($A154,Cuision!$G:$P,9,FALSE),VLOOKUP($A154,Cuision!$G:$P,10,FALSE),VLOOKUP(R$83,Cuision!$G:$P,9,FALSE),VLOOKUP(R$83,Cuision!$G:$P,10,FALSE)))</f>
        <v>784.90553114647901</v>
      </c>
      <c r="S154" s="33">
        <f>IF($A154=S$83, 0, distance(VLOOKUP($A154,Cuision!$G:$P,9,FALSE),VLOOKUP($A154,Cuision!$G:$P,10,FALSE),VLOOKUP(S$83,Cuision!$G:$P,9,FALSE),VLOOKUP(S$83,Cuision!$G:$P,10,FALSE)))</f>
        <v>-1</v>
      </c>
      <c r="T154" s="33">
        <f>IF($A154=T$83, 0, distance(VLOOKUP($A154,Cuision!$G:$P,9,FALSE),VLOOKUP($A154,Cuision!$G:$P,10,FALSE),VLOOKUP(T$83,Cuision!$G:$P,9,FALSE),VLOOKUP(T$83,Cuision!$G:$P,10,FALSE)))</f>
        <v>5834.4264171615005</v>
      </c>
      <c r="U154" s="33">
        <f>IF($A154=U$83, 0, distance(VLOOKUP($A154,Cuision!$G:$P,9,FALSE),VLOOKUP($A154,Cuision!$G:$P,10,FALSE),VLOOKUP(U$83,Cuision!$G:$P,9,FALSE),VLOOKUP(U$83,Cuision!$G:$P,10,FALSE)))</f>
        <v>-1</v>
      </c>
      <c r="V154" s="33">
        <f>IF($A154=V$83, 0, distance(VLOOKUP($A154,Cuision!$G:$P,9,FALSE),VLOOKUP($A154,Cuision!$G:$P,10,FALSE),VLOOKUP(V$83,Cuision!$G:$P,9,FALSE),VLOOKUP(V$83,Cuision!$G:$P,10,FALSE)))</f>
        <v>3783.2693926891457</v>
      </c>
      <c r="W154" s="33">
        <f>IF($A154=W$83, 0, distance(VLOOKUP($A154,Cuision!$G:$P,9,FALSE),VLOOKUP($A154,Cuision!$G:$P,10,FALSE),VLOOKUP(W$83,Cuision!$G:$P,9,FALSE),VLOOKUP(W$83,Cuision!$G:$P,10,FALSE)))</f>
        <v>6647.3208068324857</v>
      </c>
      <c r="X154" s="33">
        <f>IF($A154=X$83, 0, distance(VLOOKUP($A154,Cuision!$G:$P,9,FALSE),VLOOKUP($A154,Cuision!$G:$P,10,FALSE),VLOOKUP(X$83,Cuision!$G:$P,9,FALSE),VLOOKUP(X$83,Cuision!$G:$P,10,FALSE)))</f>
        <v>0</v>
      </c>
      <c r="Y154" s="33">
        <f>IF($A154=Y$83, 0, distance(VLOOKUP($A154,Cuision!$G:$P,9,FALSE),VLOOKUP($A154,Cuision!$G:$P,10,FALSE),VLOOKUP(Y$83,Cuision!$G:$P,9,FALSE),VLOOKUP(Y$83,Cuision!$G:$P,10,FALSE)))</f>
        <v>5729.4499419733847</v>
      </c>
      <c r="Z154" s="33">
        <f>IF($A154=Z$83, 0, distance(VLOOKUP($A154,Cuision!$G:$P,9,FALSE),VLOOKUP($A154,Cuision!$G:$P,10,FALSE),VLOOKUP(Z$83,Cuision!$G:$P,9,FALSE),VLOOKUP(Z$83,Cuision!$G:$P,10,FALSE)))</f>
        <v>-1</v>
      </c>
      <c r="AA154" s="33">
        <f>IF($A154=AA$83, 0, distance(VLOOKUP($A154,Cuision!$G:$P,9,FALSE),VLOOKUP($A154,Cuision!$G:$P,10,FALSE),VLOOKUP(AA$83,Cuision!$G:$P,9,FALSE),VLOOKUP(AA$83,Cuision!$G:$P,10,FALSE)))</f>
        <v>4623.0449185729312</v>
      </c>
      <c r="AB154" s="33">
        <f>IF($A154=AB$83, 0, distance(VLOOKUP($A154,Cuision!$G:$P,9,FALSE),VLOOKUP($A154,Cuision!$G:$P,10,FALSE),VLOOKUP(AB$83,Cuision!$G:$P,9,FALSE),VLOOKUP(AB$83,Cuision!$G:$P,10,FALSE)))</f>
        <v>1101.0295637429265</v>
      </c>
      <c r="AC154" s="33">
        <f>IF($A154=AC$83, 0, distance(VLOOKUP($A154,Cuision!$G:$P,9,FALSE),VLOOKUP($A154,Cuision!$G:$P,10,FALSE),VLOOKUP(AC$83,Cuision!$G:$P,9,FALSE),VLOOKUP(AC$83,Cuision!$G:$P,10,FALSE)))</f>
        <v>3383.3410356236627</v>
      </c>
      <c r="AD154" s="33">
        <f>IF($A154=AD$83, 0, distance(VLOOKUP($A154,Cuision!$G:$P,9,FALSE),VLOOKUP($A154,Cuision!$G:$P,10,FALSE),VLOOKUP(AD$83,Cuision!$G:$P,9,FALSE),VLOOKUP(AD$83,Cuision!$G:$P,10,FALSE)))</f>
        <v>7241.8978224343373</v>
      </c>
      <c r="AE154" s="33">
        <f>IF($A154=AE$83, 0, distance(VLOOKUP($A154,Cuision!$G:$P,9,FALSE),VLOOKUP($A154,Cuision!$G:$P,10,FALSE),VLOOKUP(AE$83,Cuision!$G:$P,9,FALSE),VLOOKUP(AE$83,Cuision!$G:$P,10,FALSE)))</f>
        <v>1650.6264556329184</v>
      </c>
      <c r="AF154" s="33">
        <f>IF($A154=AF$83, 0, distance(VLOOKUP($A154,Cuision!$G:$P,9,FALSE),VLOOKUP($A154,Cuision!$G:$P,10,FALSE),VLOOKUP(AF$83,Cuision!$G:$P,9,FALSE),VLOOKUP(AF$83,Cuision!$G:$P,10,FALSE)))</f>
        <v>653.47387203501921</v>
      </c>
      <c r="AG154" s="33">
        <f>IF($A154=AG$83, 0, distance(VLOOKUP($A154,Cuision!$G:$P,9,FALSE),VLOOKUP($A154,Cuision!$G:$P,10,FALSE),VLOOKUP(AG$83,Cuision!$G:$P,9,FALSE),VLOOKUP(AG$83,Cuision!$G:$P,10,FALSE)))</f>
        <v>1161.242928171687</v>
      </c>
      <c r="AH154" s="33">
        <f>IF($A154=AH$83, 0, distance(VLOOKUP($A154,Cuision!$G:$P,9,FALSE),VLOOKUP($A154,Cuision!$G:$P,10,FALSE),VLOOKUP(AH$83,Cuision!$G:$P,9,FALSE),VLOOKUP(AH$83,Cuision!$G:$P,10,FALSE)))</f>
        <v>-1</v>
      </c>
      <c r="AI154" s="33">
        <f>IF($A154=AI$83, 0, distance(VLOOKUP($A154,Cuision!$G:$P,9,FALSE),VLOOKUP($A154,Cuision!$G:$P,10,FALSE),VLOOKUP(AI$83,Cuision!$G:$P,9,FALSE),VLOOKUP(AI$83,Cuision!$G:$P,10,FALSE)))</f>
        <v>1471.7769895082415</v>
      </c>
      <c r="AJ154" s="33">
        <f>IF($A154=AJ$83, 0, distance(VLOOKUP($A154,Cuision!$G:$P,9,FALSE),VLOOKUP($A154,Cuision!$G:$P,10,FALSE),VLOOKUP(AJ$83,Cuision!$G:$P,9,FALSE),VLOOKUP(AJ$83,Cuision!$G:$P,10,FALSE)))</f>
        <v>2699.2022856792228</v>
      </c>
      <c r="AK154" s="33">
        <f>IF($A154=AK$83, 0, distance(VLOOKUP($A154,Cuision!$G:$P,9,FALSE),VLOOKUP($A154,Cuision!$G:$P,10,FALSE),VLOOKUP(AK$83,Cuision!$G:$P,9,FALSE),VLOOKUP(AK$83,Cuision!$G:$P,10,FALSE)))</f>
        <v>7893.5443895767303</v>
      </c>
      <c r="AL154" s="33">
        <f>IF($A154=AL$83, 0, distance(VLOOKUP($A154,Cuision!$G:$P,9,FALSE),VLOOKUP($A154,Cuision!$G:$P,10,FALSE),VLOOKUP(AL$83,Cuision!$G:$P,9,FALSE),VLOOKUP(AL$83,Cuision!$G:$P,10,FALSE)))</f>
        <v>4958.2001222956069</v>
      </c>
      <c r="AM154" s="33">
        <f>IF($A154=AM$83, 0, distance(VLOOKUP($A154,Cuision!$G:$P,9,FALSE),VLOOKUP($A154,Cuision!$G:$P,10,FALSE),VLOOKUP(AM$83,Cuision!$G:$P,9,FALSE),VLOOKUP(AM$83,Cuision!$G:$P,10,FALSE)))</f>
        <v>-1</v>
      </c>
      <c r="AN154" s="33">
        <f>IF($A154=AN$83, 0, distance(VLOOKUP($A154,Cuision!$G:$P,9,FALSE),VLOOKUP($A154,Cuision!$G:$P,10,FALSE),VLOOKUP(AN$83,Cuision!$G:$P,9,FALSE),VLOOKUP(AN$83,Cuision!$G:$P,10,FALSE)))</f>
        <v>1226.3582670805197</v>
      </c>
      <c r="AO154" s="33">
        <f>IF($A154=AO$83, 0, distance(VLOOKUP($A154,Cuision!$G:$P,9,FALSE),VLOOKUP($A154,Cuision!$G:$P,10,FALSE),VLOOKUP(AO$83,Cuision!$G:$P,9,FALSE),VLOOKUP(AO$83,Cuision!$G:$P,10,FALSE)))</f>
        <v>0</v>
      </c>
      <c r="AP154" s="33">
        <f>IF($A154=AP$83, 0, distance(VLOOKUP($A154,Cuision!$G:$P,9,FALSE),VLOOKUP($A154,Cuision!$G:$P,10,FALSE),VLOOKUP(AP$83,Cuision!$G:$P,9,FALSE),VLOOKUP(AP$83,Cuision!$G:$P,10,FALSE)))</f>
        <v>4518.7524609586753</v>
      </c>
      <c r="AQ154" s="33">
        <f>IF($A154=AQ$83, 0, distance(VLOOKUP($A154,Cuision!$G:$P,9,FALSE),VLOOKUP($A154,Cuision!$G:$P,10,FALSE),VLOOKUP(AQ$83,Cuision!$G:$P,9,FALSE),VLOOKUP(AQ$83,Cuision!$G:$P,10,FALSE)))</f>
        <v>7573.7655786686109</v>
      </c>
      <c r="AR154" s="33">
        <f>IF($A154=AR$83, 0, distance(VLOOKUP($A154,Cuision!$G:$P,9,FALSE),VLOOKUP($A154,Cuision!$G:$P,10,FALSE),VLOOKUP(AR$83,Cuision!$G:$P,9,FALSE),VLOOKUP(AR$83,Cuision!$G:$P,10,FALSE)))</f>
        <v>784.90553114647901</v>
      </c>
      <c r="AS154" s="33">
        <f>IF($A154=AS$83, 0, distance(VLOOKUP($A154,Cuision!$G:$P,9,FALSE),VLOOKUP($A154,Cuision!$G:$P,10,FALSE),VLOOKUP(AS$83,Cuision!$G:$P,9,FALSE),VLOOKUP(AS$83,Cuision!$G:$P,10,FALSE)))</f>
        <v>846.50716821574338</v>
      </c>
      <c r="AT154" s="33">
        <f>IF($A154=AT$83, 0, distance(VLOOKUP($A154,Cuision!$G:$P,9,FALSE),VLOOKUP($A154,Cuision!$G:$P,10,FALSE),VLOOKUP(AT$83,Cuision!$G:$P,9,FALSE),VLOOKUP(AT$83,Cuision!$G:$P,10,FALSE)))</f>
        <v>6686.58496596028</v>
      </c>
      <c r="AU154" s="33">
        <f>IF($A154=AU$83, 0, distance(VLOOKUP($A154,Cuision!$G:$P,9,FALSE),VLOOKUP($A154,Cuision!$G:$P,10,FALSE),VLOOKUP(AU$83,Cuision!$G:$P,9,FALSE),VLOOKUP(AU$83,Cuision!$G:$P,10,FALSE)))</f>
        <v>6210.1470377376618</v>
      </c>
      <c r="AV154" s="33">
        <f>IF($A154=AV$83, 0, distance(VLOOKUP($A154,Cuision!$G:$P,9,FALSE),VLOOKUP($A154,Cuision!$G:$P,10,FALSE),VLOOKUP(AV$83,Cuision!$G:$P,9,FALSE),VLOOKUP(AV$83,Cuision!$G:$P,10,FALSE)))</f>
        <v>1955.1180843530524</v>
      </c>
      <c r="AW154" s="33">
        <f>IF($A154=AW$83, 0, distance(VLOOKUP($A154,Cuision!$G:$P,9,FALSE),VLOOKUP($A154,Cuision!$G:$P,10,FALSE),VLOOKUP(AW$83,Cuision!$G:$P,9,FALSE),VLOOKUP(AW$83,Cuision!$G:$P,10,FALSE)))</f>
        <v>6230.8157181243596</v>
      </c>
      <c r="AX154" s="33">
        <f>IF($A154=AX$83, 0, distance(VLOOKUP($A154,Cuision!$G:$P,9,FALSE),VLOOKUP($A154,Cuision!$G:$P,10,FALSE),VLOOKUP(AX$83,Cuision!$G:$P,9,FALSE),VLOOKUP(AX$83,Cuision!$G:$P,10,FALSE)))</f>
        <v>4776.4501453331732</v>
      </c>
      <c r="AY154" s="33">
        <f>IF($A154=AY$83, 0, distance(VLOOKUP($A154,Cuision!$G:$P,9,FALSE),VLOOKUP($A154,Cuision!$G:$P,10,FALSE),VLOOKUP(AY$83,Cuision!$G:$P,9,FALSE),VLOOKUP(AY$83,Cuision!$G:$P,10,FALSE)))</f>
        <v>-1</v>
      </c>
      <c r="AZ154" s="33">
        <f>IF($A154=AZ$83, 0, distance(VLOOKUP($A154,Cuision!$G:$P,9,FALSE),VLOOKUP($A154,Cuision!$G:$P,10,FALSE),VLOOKUP(AZ$83,Cuision!$G:$P,9,FALSE),VLOOKUP(AZ$83,Cuision!$G:$P,10,FALSE)))</f>
        <v>6879.1758972891921</v>
      </c>
      <c r="BA154" s="33">
        <f>IF($A154=BA$83, 0, distance(VLOOKUP($A154,Cuision!$G:$P,9,FALSE),VLOOKUP($A154,Cuision!$G:$P,10,FALSE),VLOOKUP(BA$83,Cuision!$G:$P,9,FALSE),VLOOKUP(BA$83,Cuision!$G:$P,10,FALSE)))</f>
        <v>1255.4025489877538</v>
      </c>
      <c r="BB154" s="33">
        <f>IF($A154=BB$83, 0, distance(VLOOKUP($A154,Cuision!$G:$P,9,FALSE),VLOOKUP($A154,Cuision!$G:$P,10,FALSE),VLOOKUP(BB$83,Cuision!$G:$P,9,FALSE),VLOOKUP(BB$83,Cuision!$G:$P,10,FALSE)))</f>
        <v>5631.0767659003504</v>
      </c>
      <c r="BC154" s="33">
        <f>IF($A154=BC$83, 0, distance(VLOOKUP($A154,Cuision!$G:$P,9,FALSE),VLOOKUP($A154,Cuision!$G:$P,10,FALSE),VLOOKUP(BC$83,Cuision!$G:$P,9,FALSE),VLOOKUP(BC$83,Cuision!$G:$P,10,FALSE)))</f>
        <v>2699.2022856792228</v>
      </c>
      <c r="BD154" s="33">
        <f>IF($A154=BD$83, 0, distance(VLOOKUP($A154,Cuision!$G:$P,9,FALSE),VLOOKUP($A154,Cuision!$G:$P,10,FALSE),VLOOKUP(BD$83,Cuision!$G:$P,9,FALSE),VLOOKUP(BD$83,Cuision!$G:$P,10,FALSE)))</f>
        <v>5004.5552194452966</v>
      </c>
      <c r="BE154" s="33">
        <f>IF($A154=BE$83, 0, distance(VLOOKUP($A154,Cuision!$G:$P,9,FALSE),VLOOKUP($A154,Cuision!$G:$P,10,FALSE),VLOOKUP(BE$83,Cuision!$G:$P,9,FALSE),VLOOKUP(BE$83,Cuision!$G:$P,10,FALSE)))</f>
        <v>475.0815349941451</v>
      </c>
      <c r="BF154" s="33">
        <f>IF($A154=BF$83, 0, distance(VLOOKUP($A154,Cuision!$G:$P,9,FALSE),VLOOKUP($A154,Cuision!$G:$P,10,FALSE),VLOOKUP(BF$83,Cuision!$G:$P,9,FALSE),VLOOKUP(BF$83,Cuision!$G:$P,10,FALSE)))</f>
        <v>4121.6564447714727</v>
      </c>
      <c r="BG154" s="33">
        <f>IF($A154=BG$83, 0, distance(VLOOKUP($A154,Cuision!$G:$P,9,FALSE),VLOOKUP($A154,Cuision!$G:$P,10,FALSE),VLOOKUP(BG$83,Cuision!$G:$P,9,FALSE),VLOOKUP(BG$83,Cuision!$G:$P,10,FALSE)))</f>
        <v>2967.9081899632765</v>
      </c>
      <c r="BH154" s="33">
        <f>IF($A154=BH$83, 0, distance(VLOOKUP($A154,Cuision!$G:$P,9,FALSE),VLOOKUP($A154,Cuision!$G:$P,10,FALSE),VLOOKUP(BH$83,Cuision!$G:$P,9,FALSE),VLOOKUP(BH$83,Cuision!$G:$P,10,FALSE)))</f>
        <v>5907.6861597019188</v>
      </c>
      <c r="BI154" s="33">
        <f>IF($A154=BI$83, 0, distance(VLOOKUP($A154,Cuision!$G:$P,9,FALSE),VLOOKUP($A154,Cuision!$G:$P,10,FALSE),VLOOKUP(BI$83,Cuision!$G:$P,9,FALSE),VLOOKUP(BI$83,Cuision!$G:$P,10,FALSE)))</f>
        <v>1422.4027836810858</v>
      </c>
      <c r="BJ154" s="33">
        <f>IF($A154=BJ$83, 0, distance(VLOOKUP($A154,Cuision!$G:$P,9,FALSE),VLOOKUP($A154,Cuision!$G:$P,10,FALSE),VLOOKUP(BJ$83,Cuision!$G:$P,9,FALSE),VLOOKUP(BJ$83,Cuision!$G:$P,10,FALSE)))</f>
        <v>312.06072791659329</v>
      </c>
      <c r="BK154" s="33">
        <f>IF($A154=BK$83, 0, distance(VLOOKUP($A154,Cuision!$G:$P,9,FALSE),VLOOKUP($A154,Cuision!$G:$P,10,FALSE),VLOOKUP(BK$83,Cuision!$G:$P,9,FALSE),VLOOKUP(BK$83,Cuision!$G:$P,10,FALSE)))</f>
        <v>2137.3495652072015</v>
      </c>
      <c r="BL154" s="33">
        <f>IF($A154=BL$83, 0, distance(VLOOKUP($A154,Cuision!$G:$P,9,FALSE),VLOOKUP($A154,Cuision!$G:$P,10,FALSE),VLOOKUP(BL$83,Cuision!$G:$P,9,FALSE),VLOOKUP(BL$83,Cuision!$G:$P,10,FALSE)))</f>
        <v>-1</v>
      </c>
      <c r="BM154" s="33">
        <f>IF($A154=BM$83, 0, distance(VLOOKUP($A154,Cuision!$G:$P,9,FALSE),VLOOKUP($A154,Cuision!$G:$P,10,FALSE),VLOOKUP(BM$83,Cuision!$G:$P,9,FALSE),VLOOKUP(BM$83,Cuision!$G:$P,10,FALSE)))</f>
        <v>-1</v>
      </c>
      <c r="BN154" s="33">
        <f>IF($A154=BN$83, 0, distance(VLOOKUP($A154,Cuision!$G:$P,9,FALSE),VLOOKUP($A154,Cuision!$G:$P,10,FALSE),VLOOKUP(BN$83,Cuision!$G:$P,9,FALSE),VLOOKUP(BN$83,Cuision!$G:$P,10,FALSE)))</f>
        <v>784.90553114647901</v>
      </c>
      <c r="BO154" s="33">
        <f>IF($A154=BO$83, 0, distance(VLOOKUP($A154,Cuision!$G:$P,9,FALSE),VLOOKUP($A154,Cuision!$G:$P,10,FALSE),VLOOKUP(BO$83,Cuision!$G:$P,9,FALSE),VLOOKUP(BO$83,Cuision!$G:$P,10,FALSE)))</f>
        <v>7075.5210885552169</v>
      </c>
      <c r="BP154" s="33">
        <f>IF($A154=BP$83, 0, distance(VLOOKUP($A154,Cuision!$G:$P,9,FALSE),VLOOKUP($A154,Cuision!$G:$P,10,FALSE),VLOOKUP(BP$83,Cuision!$G:$P,9,FALSE),VLOOKUP(BP$83,Cuision!$G:$P,10,FALSE)))</f>
        <v>1154.4275032314604</v>
      </c>
      <c r="BQ154" s="33">
        <f>IF($A154=BQ$83, 0, distance(VLOOKUP($A154,Cuision!$G:$P,9,FALSE),VLOOKUP($A154,Cuision!$G:$P,10,FALSE),VLOOKUP(BQ$83,Cuision!$G:$P,9,FALSE),VLOOKUP(BQ$83,Cuision!$G:$P,10,FALSE)))</f>
        <v>-1</v>
      </c>
      <c r="BR154" s="33">
        <f>IF($A154=BR$83, 0, distance(VLOOKUP($A154,Cuision!$G:$P,9,FALSE),VLOOKUP($A154,Cuision!$G:$P,10,FALSE),VLOOKUP(BR$83,Cuision!$G:$P,9,FALSE),VLOOKUP(BR$83,Cuision!$G:$P,10,FALSE)))</f>
        <v>3783.2693926891457</v>
      </c>
      <c r="BS154" s="33">
        <f>IF($A154=BS$83, 0, distance(VLOOKUP($A154,Cuision!$G:$P,9,FALSE),VLOOKUP($A154,Cuision!$G:$P,10,FALSE),VLOOKUP(BS$83,Cuision!$G:$P,9,FALSE),VLOOKUP(BS$83,Cuision!$G:$P,10,FALSE)))</f>
        <v>5729.4499419733847</v>
      </c>
      <c r="BT154" s="33">
        <f>IF($A154=BT$83, 0, distance(VLOOKUP($A154,Cuision!$G:$P,9,FALSE),VLOOKUP($A154,Cuision!$G:$P,10,FALSE),VLOOKUP(BT$83,Cuision!$G:$P,9,FALSE),VLOOKUP(BT$83,Cuision!$G:$P,10,FALSE)))</f>
        <v>0</v>
      </c>
      <c r="BU154" s="33">
        <f>IF($A154=BU$83, 0, distance(VLOOKUP($A154,Cuision!$G:$P,9,FALSE),VLOOKUP($A154,Cuision!$G:$P,10,FALSE),VLOOKUP(BU$83,Cuision!$G:$P,9,FALSE),VLOOKUP(BU$83,Cuision!$G:$P,10,FALSE)))</f>
        <v>6326.1478377531812</v>
      </c>
      <c r="BV154" s="33">
        <f>IF($A154=BV$83, 0, distance(VLOOKUP($A154,Cuision!$G:$P,9,FALSE),VLOOKUP($A154,Cuision!$G:$P,10,FALSE),VLOOKUP(BV$83,Cuision!$G:$P,9,FALSE),VLOOKUP(BV$83,Cuision!$G:$P,10,FALSE)))</f>
        <v>1916.0002180308409</v>
      </c>
      <c r="BW154" s="33">
        <f>IF($A154=BW$83, 0, distance(VLOOKUP($A154,Cuision!$G:$P,9,FALSE),VLOOKUP($A154,Cuision!$G:$P,10,FALSE),VLOOKUP(BW$83,Cuision!$G:$P,9,FALSE),VLOOKUP(BW$83,Cuision!$G:$P,10,FALSE)))</f>
        <v>1778.1763277923328</v>
      </c>
      <c r="BX154" s="33">
        <f>IF($A154=BX$83, 0, distance(VLOOKUP($A154,Cuision!$G:$P,9,FALSE),VLOOKUP($A154,Cuision!$G:$P,10,FALSE),VLOOKUP(BX$83,Cuision!$G:$P,9,FALSE),VLOOKUP(BX$83,Cuision!$G:$P,10,FALSE)))</f>
        <v>3692.0775607520509</v>
      </c>
      <c r="BY154" s="33">
        <f>IF($A154=BY$83, 0, distance(VLOOKUP($A154,Cuision!$G:$P,9,FALSE),VLOOKUP($A154,Cuision!$G:$P,10,FALSE),VLOOKUP(BY$83,Cuision!$G:$P,9,FALSE),VLOOKUP(BY$83,Cuision!$G:$P,10,FALSE)))</f>
        <v>-1</v>
      </c>
      <c r="BZ154" s="33">
        <f>IF($A154=BZ$83, 0, distance(VLOOKUP($A154,Cuision!$G:$P,9,FALSE),VLOOKUP($A154,Cuision!$G:$P,10,FALSE),VLOOKUP(BZ$83,Cuision!$G:$P,9,FALSE),VLOOKUP(BZ$83,Cuision!$G:$P,10,FALSE)))</f>
        <v>-1</v>
      </c>
      <c r="CA154" s="33">
        <f>IF($A154=CA$83, 0, distance(VLOOKUP($A154,Cuision!$G:$P,9,FALSE),VLOOKUP($A154,Cuision!$G:$P,10,FALSE),VLOOKUP(CA$83,Cuision!$G:$P,9,FALSE),VLOOKUP(CA$83,Cuision!$G:$P,10,FALSE)))</f>
        <v>6238.3511882028179</v>
      </c>
    </row>
    <row r="155" spans="1:79" ht="14.25" x14ac:dyDescent="0.2">
      <c r="A155" s="30" t="s">
        <v>125</v>
      </c>
      <c r="B155" s="33">
        <f>IF($A155=B$83, 0, distance(VLOOKUP($A155,Cuision!$G:$P,9,FALSE),VLOOKUP($A155,Cuision!$G:$P,10,FALSE),VLOOKUP(B$83,Cuision!$G:$P,9,FALSE),VLOOKUP(B$83,Cuision!$G:$P,10,FALSE)))</f>
        <v>2424.252747616817</v>
      </c>
      <c r="C155" s="33">
        <f>IF($A155=C$83, 0, distance(VLOOKUP($A155,Cuision!$G:$P,9,FALSE),VLOOKUP($A155,Cuision!$G:$P,10,FALSE),VLOOKUP(C$83,Cuision!$G:$P,9,FALSE),VLOOKUP(C$83,Cuision!$G:$P,10,FALSE)))</f>
        <v>4784.5116376627066</v>
      </c>
      <c r="D155" s="33">
        <f>IF($A155=D$83, 0, distance(VLOOKUP($A155,Cuision!$G:$P,9,FALSE),VLOOKUP($A155,Cuision!$G:$P,10,FALSE),VLOOKUP(D$83,Cuision!$G:$P,9,FALSE),VLOOKUP(D$83,Cuision!$G:$P,10,FALSE)))</f>
        <v>8795.1435587154083</v>
      </c>
      <c r="E155" s="33">
        <f>IF($A155=E$83, 0, distance(VLOOKUP($A155,Cuision!$G:$P,9,FALSE),VLOOKUP($A155,Cuision!$G:$P,10,FALSE),VLOOKUP(E$83,Cuision!$G:$P,9,FALSE),VLOOKUP(E$83,Cuision!$G:$P,10,FALSE)))</f>
        <v>8795.1435587154083</v>
      </c>
      <c r="F155" s="33">
        <f>IF($A155=F$83, 0, distance(VLOOKUP($A155,Cuision!$G:$P,9,FALSE),VLOOKUP($A155,Cuision!$G:$P,10,FALSE),VLOOKUP(F$83,Cuision!$G:$P,9,FALSE),VLOOKUP(F$83,Cuision!$G:$P,10,FALSE)))</f>
        <v>3837.2025088645214</v>
      </c>
      <c r="G155" s="33">
        <f>IF($A155=G$83, 0, distance(VLOOKUP($A155,Cuision!$G:$P,9,FALSE),VLOOKUP($A155,Cuision!$G:$P,10,FALSE),VLOOKUP(G$83,Cuision!$G:$P,9,FALSE),VLOOKUP(G$83,Cuision!$G:$P,10,FALSE)))</f>
        <v>10483.251223833626</v>
      </c>
      <c r="H155" s="33">
        <f>IF($A155=H$83, 0, distance(VLOOKUP($A155,Cuision!$G:$P,9,FALSE),VLOOKUP($A155,Cuision!$G:$P,10,FALSE),VLOOKUP(H$83,Cuision!$G:$P,9,FALSE),VLOOKUP(H$83,Cuision!$G:$P,10,FALSE)))</f>
        <v>3824.661110686447</v>
      </c>
      <c r="I155" s="33">
        <f>IF($A155=I$83, 0, distance(VLOOKUP($A155,Cuision!$G:$P,9,FALSE),VLOOKUP($A155,Cuision!$G:$P,10,FALSE),VLOOKUP(I$83,Cuision!$G:$P,9,FALSE),VLOOKUP(I$83,Cuision!$G:$P,10,FALSE)))</f>
        <v>1402.3993968094455</v>
      </c>
      <c r="J155" s="33">
        <f>IF($A155=J$83, 0, distance(VLOOKUP($A155,Cuision!$G:$P,9,FALSE),VLOOKUP($A155,Cuision!$G:$P,10,FALSE),VLOOKUP(J$83,Cuision!$G:$P,9,FALSE),VLOOKUP(J$83,Cuision!$G:$P,10,FALSE)))</f>
        <v>4645.9575516986179</v>
      </c>
      <c r="K155" s="33">
        <f>IF($A155=K$83, 0, distance(VLOOKUP($A155,Cuision!$G:$P,9,FALSE),VLOOKUP($A155,Cuision!$G:$P,10,FALSE),VLOOKUP(K$83,Cuision!$G:$P,9,FALSE),VLOOKUP(K$83,Cuision!$G:$P,10,FALSE)))</f>
        <v>5244.7362321644277</v>
      </c>
      <c r="L155" s="33">
        <f>IF($A155=L$83, 0, distance(VLOOKUP($A155,Cuision!$G:$P,9,FALSE),VLOOKUP($A155,Cuision!$G:$P,10,FALSE),VLOOKUP(L$83,Cuision!$G:$P,9,FALSE),VLOOKUP(L$83,Cuision!$G:$P,10,FALSE)))</f>
        <v>952.78593546111358</v>
      </c>
      <c r="M155" s="33">
        <f>IF($A155=M$83, 0, distance(VLOOKUP($A155,Cuision!$G:$P,9,FALSE),VLOOKUP($A155,Cuision!$G:$P,10,FALSE),VLOOKUP(M$83,Cuision!$G:$P,9,FALSE),VLOOKUP(M$83,Cuision!$G:$P,10,FALSE)))</f>
        <v>-1</v>
      </c>
      <c r="N155" s="33">
        <f>IF($A155=N$83, 0, distance(VLOOKUP($A155,Cuision!$G:$P,9,FALSE),VLOOKUP($A155,Cuision!$G:$P,10,FALSE),VLOOKUP(N$83,Cuision!$G:$P,9,FALSE),VLOOKUP(N$83,Cuision!$G:$P,10,FALSE)))</f>
        <v>6326.1478377531812</v>
      </c>
      <c r="O155" s="33">
        <f>IF($A155=O$83, 0, distance(VLOOKUP($A155,Cuision!$G:$P,9,FALSE),VLOOKUP($A155,Cuision!$G:$P,10,FALSE),VLOOKUP(O$83,Cuision!$G:$P,9,FALSE),VLOOKUP(O$83,Cuision!$G:$P,10,FALSE)))</f>
        <v>5747.407505866925</v>
      </c>
      <c r="P155" s="33">
        <f>IF($A155=P$83, 0, distance(VLOOKUP($A155,Cuision!$G:$P,9,FALSE),VLOOKUP($A155,Cuision!$G:$P,10,FALSE),VLOOKUP(P$83,Cuision!$G:$P,9,FALSE),VLOOKUP(P$83,Cuision!$G:$P,10,FALSE)))</f>
        <v>10324.307699030536</v>
      </c>
      <c r="Q155" s="33">
        <f>IF($A155=Q$83, 0, distance(VLOOKUP($A155,Cuision!$G:$P,9,FALSE),VLOOKUP($A155,Cuision!$G:$P,10,FALSE),VLOOKUP(Q$83,Cuision!$G:$P,9,FALSE),VLOOKUP(Q$83,Cuision!$G:$P,10,FALSE)))</f>
        <v>-1</v>
      </c>
      <c r="R155" s="33">
        <f>IF($A155=R$83, 0, distance(VLOOKUP($A155,Cuision!$G:$P,9,FALSE),VLOOKUP($A155,Cuision!$G:$P,10,FALSE),VLOOKUP(R$83,Cuision!$G:$P,9,FALSE),VLOOKUP(R$83,Cuision!$G:$P,10,FALSE)))</f>
        <v>5922.8208662926518</v>
      </c>
      <c r="S155" s="33">
        <f>IF($A155=S$83, 0, distance(VLOOKUP($A155,Cuision!$G:$P,9,FALSE),VLOOKUP($A155,Cuision!$G:$P,10,FALSE),VLOOKUP(S$83,Cuision!$G:$P,9,FALSE),VLOOKUP(S$83,Cuision!$G:$P,10,FALSE)))</f>
        <v>-1</v>
      </c>
      <c r="T155" s="33">
        <f>IF($A155=T$83, 0, distance(VLOOKUP($A155,Cuision!$G:$P,9,FALSE),VLOOKUP($A155,Cuision!$G:$P,10,FALSE),VLOOKUP(T$83,Cuision!$G:$P,9,FALSE),VLOOKUP(T$83,Cuision!$G:$P,10,FALSE)))</f>
        <v>505.30114208402148</v>
      </c>
      <c r="U155" s="33">
        <f>IF($A155=U$83, 0, distance(VLOOKUP($A155,Cuision!$G:$P,9,FALSE),VLOOKUP($A155,Cuision!$G:$P,10,FALSE),VLOOKUP(U$83,Cuision!$G:$P,9,FALSE),VLOOKUP(U$83,Cuision!$G:$P,10,FALSE)))</f>
        <v>-1</v>
      </c>
      <c r="V155" s="33">
        <f>IF($A155=V$83, 0, distance(VLOOKUP($A155,Cuision!$G:$P,9,FALSE),VLOOKUP($A155,Cuision!$G:$P,10,FALSE),VLOOKUP(V$83,Cuision!$G:$P,9,FALSE),VLOOKUP(V$83,Cuision!$G:$P,10,FALSE)))</f>
        <v>8795.1435587154083</v>
      </c>
      <c r="W155" s="33">
        <f>IF($A155=W$83, 0, distance(VLOOKUP($A155,Cuision!$G:$P,9,FALSE),VLOOKUP($A155,Cuision!$G:$P,10,FALSE),VLOOKUP(W$83,Cuision!$G:$P,9,FALSE),VLOOKUP(W$83,Cuision!$G:$P,10,FALSE)))</f>
        <v>334.15412781839541</v>
      </c>
      <c r="X155" s="33">
        <f>IF($A155=X$83, 0, distance(VLOOKUP($A155,Cuision!$G:$P,9,FALSE),VLOOKUP($A155,Cuision!$G:$P,10,FALSE),VLOOKUP(X$83,Cuision!$G:$P,9,FALSE),VLOOKUP(X$83,Cuision!$G:$P,10,FALSE)))</f>
        <v>6326.1478377531812</v>
      </c>
      <c r="Y155" s="33">
        <f>IF($A155=Y$83, 0, distance(VLOOKUP($A155,Cuision!$G:$P,9,FALSE),VLOOKUP($A155,Cuision!$G:$P,10,FALSE),VLOOKUP(Y$83,Cuision!$G:$P,9,FALSE),VLOOKUP(Y$83,Cuision!$G:$P,10,FALSE)))</f>
        <v>2048.5394212998303</v>
      </c>
      <c r="Z155" s="33">
        <f>IF($A155=Z$83, 0, distance(VLOOKUP($A155,Cuision!$G:$P,9,FALSE),VLOOKUP($A155,Cuision!$G:$P,10,FALSE),VLOOKUP(Z$83,Cuision!$G:$P,9,FALSE),VLOOKUP(Z$83,Cuision!$G:$P,10,FALSE)))</f>
        <v>-1</v>
      </c>
      <c r="AA155" s="33">
        <f>IF($A155=AA$83, 0, distance(VLOOKUP($A155,Cuision!$G:$P,9,FALSE),VLOOKUP($A155,Cuision!$G:$P,10,FALSE),VLOOKUP(AA$83,Cuision!$G:$P,9,FALSE),VLOOKUP(AA$83,Cuision!$G:$P,10,FALSE)))</f>
        <v>9880.7282364133407</v>
      </c>
      <c r="AB155" s="33">
        <f>IF($A155=AB$83, 0, distance(VLOOKUP($A155,Cuision!$G:$P,9,FALSE),VLOOKUP($A155,Cuision!$G:$P,10,FALSE),VLOOKUP(AB$83,Cuision!$G:$P,9,FALSE),VLOOKUP(AB$83,Cuision!$G:$P,10,FALSE)))</f>
        <v>5320.0493354309801</v>
      </c>
      <c r="AC155" s="33">
        <f>IF($A155=AC$83, 0, distance(VLOOKUP($A155,Cuision!$G:$P,9,FALSE),VLOOKUP($A155,Cuision!$G:$P,10,FALSE),VLOOKUP(AC$83,Cuision!$G:$P,9,FALSE),VLOOKUP(AC$83,Cuision!$G:$P,10,FALSE)))</f>
        <v>4184.8986603585781</v>
      </c>
      <c r="AD155" s="33">
        <f>IF($A155=AD$83, 0, distance(VLOOKUP($A155,Cuision!$G:$P,9,FALSE),VLOOKUP($A155,Cuision!$G:$P,10,FALSE),VLOOKUP(AD$83,Cuision!$G:$P,9,FALSE),VLOOKUP(AD$83,Cuision!$G:$P,10,FALSE)))</f>
        <v>1372.6793397675963</v>
      </c>
      <c r="AE155" s="33">
        <f>IF($A155=AE$83, 0, distance(VLOOKUP($A155,Cuision!$G:$P,9,FALSE),VLOOKUP($A155,Cuision!$G:$P,10,FALSE),VLOOKUP(AE$83,Cuision!$G:$P,9,FALSE),VLOOKUP(AE$83,Cuision!$G:$P,10,FALSE)))</f>
        <v>5320.0817972097166</v>
      </c>
      <c r="AF155" s="33">
        <f>IF($A155=AF$83, 0, distance(VLOOKUP($A155,Cuision!$G:$P,9,FALSE),VLOOKUP($A155,Cuision!$G:$P,10,FALSE),VLOOKUP(AF$83,Cuision!$G:$P,9,FALSE),VLOOKUP(AF$83,Cuision!$G:$P,10,FALSE)))</f>
        <v>5867.8553826067027</v>
      </c>
      <c r="AG155" s="33">
        <f>IF($A155=AG$83, 0, distance(VLOOKUP($A155,Cuision!$G:$P,9,FALSE),VLOOKUP($A155,Cuision!$G:$P,10,FALSE),VLOOKUP(AG$83,Cuision!$G:$P,9,FALSE),VLOOKUP(AG$83,Cuision!$G:$P,10,FALSE)))</f>
        <v>5345.6109447687068</v>
      </c>
      <c r="AH155" s="33">
        <f>IF($A155=AH$83, 0, distance(VLOOKUP($A155,Cuision!$G:$P,9,FALSE),VLOOKUP($A155,Cuision!$G:$P,10,FALSE),VLOOKUP(AH$83,Cuision!$G:$P,9,FALSE),VLOOKUP(AH$83,Cuision!$G:$P,10,FALSE)))</f>
        <v>-1</v>
      </c>
      <c r="AI155" s="33">
        <f>IF($A155=AI$83, 0, distance(VLOOKUP($A155,Cuision!$G:$P,9,FALSE),VLOOKUP($A155,Cuision!$G:$P,10,FALSE),VLOOKUP(AI$83,Cuision!$G:$P,9,FALSE),VLOOKUP(AI$83,Cuision!$G:$P,10,FALSE)))</f>
        <v>4922.9836145482805</v>
      </c>
      <c r="AJ155" s="33">
        <f>IF($A155=AJ$83, 0, distance(VLOOKUP($A155,Cuision!$G:$P,9,FALSE),VLOOKUP($A155,Cuision!$G:$P,10,FALSE),VLOOKUP(AJ$83,Cuision!$G:$P,9,FALSE),VLOOKUP(AJ$83,Cuision!$G:$P,10,FALSE)))</f>
        <v>3837.2025088645214</v>
      </c>
      <c r="AK155" s="33">
        <f>IF($A155=AK$83, 0, distance(VLOOKUP($A155,Cuision!$G:$P,9,FALSE),VLOOKUP($A155,Cuision!$G:$P,10,FALSE),VLOOKUP(AK$83,Cuision!$G:$P,9,FALSE),VLOOKUP(AK$83,Cuision!$G:$P,10,FALSE)))</f>
        <v>6769.2899187036928</v>
      </c>
      <c r="AL155" s="33">
        <f>IF($A155=AL$83, 0, distance(VLOOKUP($A155,Cuision!$G:$P,9,FALSE),VLOOKUP($A155,Cuision!$G:$P,10,FALSE),VLOOKUP(AL$83,Cuision!$G:$P,9,FALSE),VLOOKUP(AL$83,Cuision!$G:$P,10,FALSE)))</f>
        <v>1372.4409493528715</v>
      </c>
      <c r="AM155" s="33">
        <f>IF($A155=AM$83, 0, distance(VLOOKUP($A155,Cuision!$G:$P,9,FALSE),VLOOKUP($A155,Cuision!$G:$P,10,FALSE),VLOOKUP(AM$83,Cuision!$G:$P,9,FALSE),VLOOKUP(AM$83,Cuision!$G:$P,10,FALSE)))</f>
        <v>-1</v>
      </c>
      <c r="AN155" s="33">
        <f>IF($A155=AN$83, 0, distance(VLOOKUP($A155,Cuision!$G:$P,9,FALSE),VLOOKUP($A155,Cuision!$G:$P,10,FALSE),VLOOKUP(AN$83,Cuision!$G:$P,9,FALSE),VLOOKUP(AN$83,Cuision!$G:$P,10,FALSE)))</f>
        <v>5124.7907325739407</v>
      </c>
      <c r="AO155" s="33">
        <f>IF($A155=AO$83, 0, distance(VLOOKUP($A155,Cuision!$G:$P,9,FALSE),VLOOKUP($A155,Cuision!$G:$P,10,FALSE),VLOOKUP(AO$83,Cuision!$G:$P,9,FALSE),VLOOKUP(AO$83,Cuision!$G:$P,10,FALSE)))</f>
        <v>6326.1478377531812</v>
      </c>
      <c r="AP155" s="33">
        <f>IF($A155=AP$83, 0, distance(VLOOKUP($A155,Cuision!$G:$P,9,FALSE),VLOOKUP($A155,Cuision!$G:$P,10,FALSE),VLOOKUP(AP$83,Cuision!$G:$P,9,FALSE),VLOOKUP(AP$83,Cuision!$G:$P,10,FALSE)))</f>
        <v>1812.3443359263588</v>
      </c>
      <c r="AQ155" s="33">
        <f>IF($A155=AQ$83, 0, distance(VLOOKUP($A155,Cuision!$G:$P,9,FALSE),VLOOKUP($A155,Cuision!$G:$P,10,FALSE),VLOOKUP(AQ$83,Cuision!$G:$P,9,FALSE),VLOOKUP(AQ$83,Cuision!$G:$P,10,FALSE)))</f>
        <v>1446.1732127793216</v>
      </c>
      <c r="AR155" s="33">
        <f>IF($A155=AR$83, 0, distance(VLOOKUP($A155,Cuision!$G:$P,9,FALSE),VLOOKUP($A155,Cuision!$G:$P,10,FALSE),VLOOKUP(AR$83,Cuision!$G:$P,9,FALSE),VLOOKUP(AR$83,Cuision!$G:$P,10,FALSE)))</f>
        <v>5922.8208662926518</v>
      </c>
      <c r="AS155" s="33">
        <f>IF($A155=AS$83, 0, distance(VLOOKUP($A155,Cuision!$G:$P,9,FALSE),VLOOKUP($A155,Cuision!$G:$P,10,FALSE),VLOOKUP(AS$83,Cuision!$G:$P,9,FALSE),VLOOKUP(AS$83,Cuision!$G:$P,10,FALSE)))</f>
        <v>5486.8111126890453</v>
      </c>
      <c r="AT155" s="33">
        <f>IF($A155=AT$83, 0, distance(VLOOKUP($A155,Cuision!$G:$P,9,FALSE),VLOOKUP($A155,Cuision!$G:$P,10,FALSE),VLOOKUP(AT$83,Cuision!$G:$P,9,FALSE),VLOOKUP(AT$83,Cuision!$G:$P,10,FALSE)))</f>
        <v>2860.3075744541284</v>
      </c>
      <c r="AU155" s="33">
        <f>IF($A155=AU$83, 0, distance(VLOOKUP($A155,Cuision!$G:$P,9,FALSE),VLOOKUP($A155,Cuision!$G:$P,10,FALSE),VLOOKUP(AU$83,Cuision!$G:$P,9,FALSE),VLOOKUP(AU$83,Cuision!$G:$P,10,FALSE)))</f>
        <v>2313.3432212403304</v>
      </c>
      <c r="AV155" s="33">
        <f>IF($A155=AV$83, 0, distance(VLOOKUP($A155,Cuision!$G:$P,9,FALSE),VLOOKUP($A155,Cuision!$G:$P,10,FALSE),VLOOKUP(AV$83,Cuision!$G:$P,9,FALSE),VLOOKUP(AV$83,Cuision!$G:$P,10,FALSE)))</f>
        <v>4480.7019221302717</v>
      </c>
      <c r="AW155" s="33">
        <f>IF($A155=AW$83, 0, distance(VLOOKUP($A155,Cuision!$G:$P,9,FALSE),VLOOKUP($A155,Cuision!$G:$P,10,FALSE),VLOOKUP(AW$83,Cuision!$G:$P,9,FALSE),VLOOKUP(AW$83,Cuision!$G:$P,10,FALSE)))</f>
        <v>323.22535009992504</v>
      </c>
      <c r="AX155" s="33">
        <f>IF($A155=AX$83, 0, distance(VLOOKUP($A155,Cuision!$G:$P,9,FALSE),VLOOKUP($A155,Cuision!$G:$P,10,FALSE),VLOOKUP(AX$83,Cuision!$G:$P,9,FALSE),VLOOKUP(AX$83,Cuision!$G:$P,10,FALSE)))</f>
        <v>11040.967349872066</v>
      </c>
      <c r="AY155" s="33">
        <f>IF($A155=AY$83, 0, distance(VLOOKUP($A155,Cuision!$G:$P,9,FALSE),VLOOKUP($A155,Cuision!$G:$P,10,FALSE),VLOOKUP(AY$83,Cuision!$G:$P,9,FALSE),VLOOKUP(AY$83,Cuision!$G:$P,10,FALSE)))</f>
        <v>-1</v>
      </c>
      <c r="AZ155" s="33">
        <f>IF($A155=AZ$83, 0, distance(VLOOKUP($A155,Cuision!$G:$P,9,FALSE),VLOOKUP($A155,Cuision!$G:$P,10,FALSE),VLOOKUP(AZ$83,Cuision!$G:$P,9,FALSE),VLOOKUP(AZ$83,Cuision!$G:$P,10,FALSE)))</f>
        <v>737.52865462999432</v>
      </c>
      <c r="BA155" s="33">
        <f>IF($A155=BA$83, 0, distance(VLOOKUP($A155,Cuision!$G:$P,9,FALSE),VLOOKUP($A155,Cuision!$G:$P,10,FALSE),VLOOKUP(BA$83,Cuision!$G:$P,9,FALSE),VLOOKUP(BA$83,Cuision!$G:$P,10,FALSE)))</f>
        <v>5259.1127122223379</v>
      </c>
      <c r="BB155" s="33">
        <f>IF($A155=BB$83, 0, distance(VLOOKUP($A155,Cuision!$G:$P,9,FALSE),VLOOKUP($A155,Cuision!$G:$P,10,FALSE),VLOOKUP(BB$83,Cuision!$G:$P,9,FALSE),VLOOKUP(BB$83,Cuision!$G:$P,10,FALSE)))</f>
        <v>9783.2984641044386</v>
      </c>
      <c r="BC155" s="33">
        <f>IF($A155=BC$83, 0, distance(VLOOKUP($A155,Cuision!$G:$P,9,FALSE),VLOOKUP($A155,Cuision!$G:$P,10,FALSE),VLOOKUP(BC$83,Cuision!$G:$P,9,FALSE),VLOOKUP(BC$83,Cuision!$G:$P,10,FALSE)))</f>
        <v>3837.2025088645214</v>
      </c>
      <c r="BD155" s="33">
        <f>IF($A155=BD$83, 0, distance(VLOOKUP($A155,Cuision!$G:$P,9,FALSE),VLOOKUP($A155,Cuision!$G:$P,10,FALSE),VLOOKUP(BD$83,Cuision!$G:$P,9,FALSE),VLOOKUP(BD$83,Cuision!$G:$P,10,FALSE)))</f>
        <v>2388.3934012357572</v>
      </c>
      <c r="BE155" s="33">
        <f>IF($A155=BE$83, 0, distance(VLOOKUP($A155,Cuision!$G:$P,9,FALSE),VLOOKUP($A155,Cuision!$G:$P,10,FALSE),VLOOKUP(BE$83,Cuision!$G:$P,9,FALSE),VLOOKUP(BE$83,Cuision!$G:$P,10,FALSE)))</f>
        <v>6642.0704414722422</v>
      </c>
      <c r="BF155" s="33">
        <f>IF($A155=BF$83, 0, distance(VLOOKUP($A155,Cuision!$G:$P,9,FALSE),VLOOKUP($A155,Cuision!$G:$P,10,FALSE),VLOOKUP(BF$83,Cuision!$G:$P,9,FALSE),VLOOKUP(BF$83,Cuision!$G:$P,10,FALSE)))</f>
        <v>2204.9183603069414</v>
      </c>
      <c r="BG155" s="33">
        <f>IF($A155=BG$83, 0, distance(VLOOKUP($A155,Cuision!$G:$P,9,FALSE),VLOOKUP($A155,Cuision!$G:$P,10,FALSE),VLOOKUP(BG$83,Cuision!$G:$P,9,FALSE),VLOOKUP(BG$83,Cuision!$G:$P,10,FALSE)))</f>
        <v>3388.837142414473</v>
      </c>
      <c r="BH155" s="33">
        <f>IF($A155=BH$83, 0, distance(VLOOKUP($A155,Cuision!$G:$P,9,FALSE),VLOOKUP($A155,Cuision!$G:$P,10,FALSE),VLOOKUP(BH$83,Cuision!$G:$P,9,FALSE),VLOOKUP(BH$83,Cuision!$G:$P,10,FALSE)))</f>
        <v>12232.172464640274</v>
      </c>
      <c r="BI155" s="33">
        <f>IF($A155=BI$83, 0, distance(VLOOKUP($A155,Cuision!$G:$P,9,FALSE),VLOOKUP($A155,Cuision!$G:$P,10,FALSE),VLOOKUP(BI$83,Cuision!$G:$P,9,FALSE),VLOOKUP(BI$83,Cuision!$G:$P,10,FALSE)))</f>
        <v>5026.8580624090728</v>
      </c>
      <c r="BJ155" s="33">
        <f>IF($A155=BJ$83, 0, distance(VLOOKUP($A155,Cuision!$G:$P,9,FALSE),VLOOKUP($A155,Cuision!$G:$P,10,FALSE),VLOOKUP(BJ$83,Cuision!$G:$P,9,FALSE),VLOOKUP(BJ$83,Cuision!$G:$P,10,FALSE)))</f>
        <v>6638.1816679708372</v>
      </c>
      <c r="BK155" s="33">
        <f>IF($A155=BK$83, 0, distance(VLOOKUP($A155,Cuision!$G:$P,9,FALSE),VLOOKUP($A155,Cuision!$G:$P,10,FALSE),VLOOKUP(BK$83,Cuision!$G:$P,9,FALSE),VLOOKUP(BK$83,Cuision!$G:$P,10,FALSE)))</f>
        <v>4389.5312151109119</v>
      </c>
      <c r="BL155" s="33">
        <f>IF($A155=BL$83, 0, distance(VLOOKUP($A155,Cuision!$G:$P,9,FALSE),VLOOKUP($A155,Cuision!$G:$P,10,FALSE),VLOOKUP(BL$83,Cuision!$G:$P,9,FALSE),VLOOKUP(BL$83,Cuision!$G:$P,10,FALSE)))</f>
        <v>-1</v>
      </c>
      <c r="BM155" s="33">
        <f>IF($A155=BM$83, 0, distance(VLOOKUP($A155,Cuision!$G:$P,9,FALSE),VLOOKUP($A155,Cuision!$G:$P,10,FALSE),VLOOKUP(BM$83,Cuision!$G:$P,9,FALSE),VLOOKUP(BM$83,Cuision!$G:$P,10,FALSE)))</f>
        <v>-1</v>
      </c>
      <c r="BN155" s="33">
        <f>IF($A155=BN$83, 0, distance(VLOOKUP($A155,Cuision!$G:$P,9,FALSE),VLOOKUP($A155,Cuision!$G:$P,10,FALSE),VLOOKUP(BN$83,Cuision!$G:$P,9,FALSE),VLOOKUP(BN$83,Cuision!$G:$P,10,FALSE)))</f>
        <v>5922.8208662926518</v>
      </c>
      <c r="BO155" s="33">
        <f>IF($A155=BO$83, 0, distance(VLOOKUP($A155,Cuision!$G:$P,9,FALSE),VLOOKUP($A155,Cuision!$G:$P,10,FALSE),VLOOKUP(BO$83,Cuision!$G:$P,9,FALSE),VLOOKUP(BO$83,Cuision!$G:$P,10,FALSE)))</f>
        <v>890.79503715636588</v>
      </c>
      <c r="BP155" s="33">
        <f>IF($A155=BP$83, 0, distance(VLOOKUP($A155,Cuision!$G:$P,9,FALSE),VLOOKUP($A155,Cuision!$G:$P,10,FALSE),VLOOKUP(BP$83,Cuision!$G:$P,9,FALSE),VLOOKUP(BP$83,Cuision!$G:$P,10,FALSE)))</f>
        <v>5211.1028057080293</v>
      </c>
      <c r="BQ155" s="33">
        <f>IF($A155=BQ$83, 0, distance(VLOOKUP($A155,Cuision!$G:$P,9,FALSE),VLOOKUP($A155,Cuision!$G:$P,10,FALSE),VLOOKUP(BQ$83,Cuision!$G:$P,9,FALSE),VLOOKUP(BQ$83,Cuision!$G:$P,10,FALSE)))</f>
        <v>-1</v>
      </c>
      <c r="BR155" s="33">
        <f>IF($A155=BR$83, 0, distance(VLOOKUP($A155,Cuision!$G:$P,9,FALSE),VLOOKUP($A155,Cuision!$G:$P,10,FALSE),VLOOKUP(BR$83,Cuision!$G:$P,9,FALSE),VLOOKUP(BR$83,Cuision!$G:$P,10,FALSE)))</f>
        <v>8795.1435587154083</v>
      </c>
      <c r="BS155" s="33">
        <f>IF($A155=BS$83, 0, distance(VLOOKUP($A155,Cuision!$G:$P,9,FALSE),VLOOKUP($A155,Cuision!$G:$P,10,FALSE),VLOOKUP(BS$83,Cuision!$G:$P,9,FALSE),VLOOKUP(BS$83,Cuision!$G:$P,10,FALSE)))</f>
        <v>2048.5394212998303</v>
      </c>
      <c r="BT155" s="33">
        <f>IF($A155=BT$83, 0, distance(VLOOKUP($A155,Cuision!$G:$P,9,FALSE),VLOOKUP($A155,Cuision!$G:$P,10,FALSE),VLOOKUP(BT$83,Cuision!$G:$P,9,FALSE),VLOOKUP(BT$83,Cuision!$G:$P,10,FALSE)))</f>
        <v>6326.1478377531812</v>
      </c>
      <c r="BU155" s="33">
        <f>IF($A155=BU$83, 0, distance(VLOOKUP($A155,Cuision!$G:$P,9,FALSE),VLOOKUP($A155,Cuision!$G:$P,10,FALSE),VLOOKUP(BU$83,Cuision!$G:$P,9,FALSE),VLOOKUP(BU$83,Cuision!$G:$P,10,FALSE)))</f>
        <v>0</v>
      </c>
      <c r="BV155" s="33">
        <f>IF($A155=BV$83, 0, distance(VLOOKUP($A155,Cuision!$G:$P,9,FALSE),VLOOKUP($A155,Cuision!$G:$P,10,FALSE),VLOOKUP(BV$83,Cuision!$G:$P,9,FALSE),VLOOKUP(BV$83,Cuision!$G:$P,10,FALSE)))</f>
        <v>4433.0364159876153</v>
      </c>
      <c r="BW155" s="33">
        <f>IF($A155=BW$83, 0, distance(VLOOKUP($A155,Cuision!$G:$P,9,FALSE),VLOOKUP($A155,Cuision!$G:$P,10,FALSE),VLOOKUP(BW$83,Cuision!$G:$P,9,FALSE),VLOOKUP(BW$83,Cuision!$G:$P,10,FALSE)))</f>
        <v>4610.5859875446085</v>
      </c>
      <c r="BX155" s="33">
        <f>IF($A155=BX$83, 0, distance(VLOOKUP($A155,Cuision!$G:$P,9,FALSE),VLOOKUP($A155,Cuision!$G:$P,10,FALSE),VLOOKUP(BX$83,Cuision!$G:$P,9,FALSE),VLOOKUP(BX$83,Cuision!$G:$P,10,FALSE)))</f>
        <v>2671.4986229723932</v>
      </c>
      <c r="BY155" s="33">
        <f>IF($A155=BY$83, 0, distance(VLOOKUP($A155,Cuision!$G:$P,9,FALSE),VLOOKUP($A155,Cuision!$G:$P,10,FALSE),VLOOKUP(BY$83,Cuision!$G:$P,9,FALSE),VLOOKUP(BY$83,Cuision!$G:$P,10,FALSE)))</f>
        <v>-1</v>
      </c>
      <c r="BZ155" s="33">
        <f>IF($A155=BZ$83, 0, distance(VLOOKUP($A155,Cuision!$G:$P,9,FALSE),VLOOKUP($A155,Cuision!$G:$P,10,FALSE),VLOOKUP(BZ$83,Cuision!$G:$P,9,FALSE),VLOOKUP(BZ$83,Cuision!$G:$P,10,FALSE)))</f>
        <v>-1</v>
      </c>
      <c r="CA155" s="33">
        <f>IF($A155=CA$83, 0, distance(VLOOKUP($A155,Cuision!$G:$P,9,FALSE),VLOOKUP($A155,Cuision!$G:$P,10,FALSE),VLOOKUP(CA$83,Cuision!$G:$P,9,FALSE),VLOOKUP(CA$83,Cuision!$G:$P,10,FALSE)))</f>
        <v>613.21389778628532</v>
      </c>
    </row>
    <row r="156" spans="1:79" ht="14.25" x14ac:dyDescent="0.2">
      <c r="A156" s="30" t="s">
        <v>126</v>
      </c>
      <c r="B156" s="33">
        <f>IF($A156=B$83, 0, distance(VLOOKUP($A156,Cuision!$G:$P,9,FALSE),VLOOKUP($A156,Cuision!$G:$P,10,FALSE),VLOOKUP(B$83,Cuision!$G:$P,9,FALSE),VLOOKUP(B$83,Cuision!$G:$P,10,FALSE)))</f>
        <v>2018.1938460273584</v>
      </c>
      <c r="C156" s="33">
        <f>IF($A156=C$83, 0, distance(VLOOKUP($A156,Cuision!$G:$P,9,FALSE),VLOOKUP($A156,Cuision!$G:$P,10,FALSE),VLOOKUP(C$83,Cuision!$G:$P,9,FALSE),VLOOKUP(C$83,Cuision!$G:$P,10,FALSE)))</f>
        <v>3366.5764493242218</v>
      </c>
      <c r="D156" s="33">
        <f>IF($A156=D$83, 0, distance(VLOOKUP($A156,Cuision!$G:$P,9,FALSE),VLOOKUP($A156,Cuision!$G:$P,10,FALSE),VLOOKUP(D$83,Cuision!$G:$P,9,FALSE),VLOOKUP(D$83,Cuision!$G:$P,10,FALSE)))</f>
        <v>5421.3689076575865</v>
      </c>
      <c r="E156" s="33">
        <f>IF($A156=E$83, 0, distance(VLOOKUP($A156,Cuision!$G:$P,9,FALSE),VLOOKUP($A156,Cuision!$G:$P,10,FALSE),VLOOKUP(E$83,Cuision!$G:$P,9,FALSE),VLOOKUP(E$83,Cuision!$G:$P,10,FALSE)))</f>
        <v>5421.3689076575865</v>
      </c>
      <c r="F156" s="33">
        <f>IF($A156=F$83, 0, distance(VLOOKUP($A156,Cuision!$G:$P,9,FALSE),VLOOKUP($A156,Cuision!$G:$P,10,FALSE),VLOOKUP(F$83,Cuision!$G:$P,9,FALSE),VLOOKUP(F$83,Cuision!$G:$P,10,FALSE)))</f>
        <v>916.76987693497176</v>
      </c>
      <c r="G156" s="33">
        <f>IF($A156=G$83, 0, distance(VLOOKUP($A156,Cuision!$G:$P,9,FALSE),VLOOKUP($A156,Cuision!$G:$P,10,FALSE),VLOOKUP(G$83,Cuision!$G:$P,9,FALSE),VLOOKUP(G$83,Cuision!$G:$P,10,FALSE)))</f>
        <v>7752.7374597956914</v>
      </c>
      <c r="H156" s="33">
        <f>IF($A156=H$83, 0, distance(VLOOKUP($A156,Cuision!$G:$P,9,FALSE),VLOOKUP($A156,Cuision!$G:$P,10,FALSE),VLOOKUP(H$83,Cuision!$G:$P,9,FALSE),VLOOKUP(H$83,Cuision!$G:$P,10,FALSE)))</f>
        <v>616.4837203936155</v>
      </c>
      <c r="I156" s="33">
        <f>IF($A156=I$83, 0, distance(VLOOKUP($A156,Cuision!$G:$P,9,FALSE),VLOOKUP($A156,Cuision!$G:$P,10,FALSE),VLOOKUP(I$83,Cuision!$G:$P,9,FALSE),VLOOKUP(I$83,Cuision!$G:$P,10,FALSE)))</f>
        <v>3672.2249568076977</v>
      </c>
      <c r="J156" s="33">
        <f>IF($A156=J$83, 0, distance(VLOOKUP($A156,Cuision!$G:$P,9,FALSE),VLOOKUP($A156,Cuision!$G:$P,10,FALSE),VLOOKUP(J$83,Cuision!$G:$P,9,FALSE),VLOOKUP(J$83,Cuision!$G:$P,10,FALSE)))</f>
        <v>9007.893625556173</v>
      </c>
      <c r="K156" s="33">
        <f>IF($A156=K$83, 0, distance(VLOOKUP($A156,Cuision!$G:$P,9,FALSE),VLOOKUP($A156,Cuision!$G:$P,10,FALSE),VLOOKUP(K$83,Cuision!$G:$P,9,FALSE),VLOOKUP(K$83,Cuision!$G:$P,10,FALSE)))</f>
        <v>995.34847800280613</v>
      </c>
      <c r="L156" s="33">
        <f>IF($A156=L$83, 0, distance(VLOOKUP($A156,Cuision!$G:$P,9,FALSE),VLOOKUP($A156,Cuision!$G:$P,10,FALSE),VLOOKUP(L$83,Cuision!$G:$P,9,FALSE),VLOOKUP(L$83,Cuision!$G:$P,10,FALSE)))</f>
        <v>3496.0396106245562</v>
      </c>
      <c r="M156" s="33">
        <f>IF($A156=M$83, 0, distance(VLOOKUP($A156,Cuision!$G:$P,9,FALSE),VLOOKUP($A156,Cuision!$G:$P,10,FALSE),VLOOKUP(M$83,Cuision!$G:$P,9,FALSE),VLOOKUP(M$83,Cuision!$G:$P,10,FALSE)))</f>
        <v>-1</v>
      </c>
      <c r="N156" s="33">
        <f>IF($A156=N$83, 0, distance(VLOOKUP($A156,Cuision!$G:$P,9,FALSE),VLOOKUP($A156,Cuision!$G:$P,10,FALSE),VLOOKUP(N$83,Cuision!$G:$P,9,FALSE),VLOOKUP(N$83,Cuision!$G:$P,10,FALSE)))</f>
        <v>1916.0002180308409</v>
      </c>
      <c r="O156" s="33">
        <f>IF($A156=O$83, 0, distance(VLOOKUP($A156,Cuision!$G:$P,9,FALSE),VLOOKUP($A156,Cuision!$G:$P,10,FALSE),VLOOKUP(O$83,Cuision!$G:$P,9,FALSE),VLOOKUP(O$83,Cuision!$G:$P,10,FALSE)))</f>
        <v>1561.7293174868003</v>
      </c>
      <c r="P156" s="33">
        <f>IF($A156=P$83, 0, distance(VLOOKUP($A156,Cuision!$G:$P,9,FALSE),VLOOKUP($A156,Cuision!$G:$P,10,FALSE),VLOOKUP(P$83,Cuision!$G:$P,9,FALSE),VLOOKUP(P$83,Cuision!$G:$P,10,FALSE)))</f>
        <v>6440.9218225688019</v>
      </c>
      <c r="Q156" s="33">
        <f>IF($A156=Q$83, 0, distance(VLOOKUP($A156,Cuision!$G:$P,9,FALSE),VLOOKUP($A156,Cuision!$G:$P,10,FALSE),VLOOKUP(Q$83,Cuision!$G:$P,9,FALSE),VLOOKUP(Q$83,Cuision!$G:$P,10,FALSE)))</f>
        <v>-1</v>
      </c>
      <c r="R156" s="33">
        <f>IF($A156=R$83, 0, distance(VLOOKUP($A156,Cuision!$G:$P,9,FALSE),VLOOKUP($A156,Cuision!$G:$P,10,FALSE),VLOOKUP(R$83,Cuision!$G:$P,9,FALSE),VLOOKUP(R$83,Cuision!$G:$P,10,FALSE)))</f>
        <v>1760.794163609836</v>
      </c>
      <c r="S156" s="33">
        <f>IF($A156=S$83, 0, distance(VLOOKUP($A156,Cuision!$G:$P,9,FALSE),VLOOKUP($A156,Cuision!$G:$P,10,FALSE),VLOOKUP(S$83,Cuision!$G:$P,9,FALSE),VLOOKUP(S$83,Cuision!$G:$P,10,FALSE)))</f>
        <v>-1</v>
      </c>
      <c r="T156" s="33">
        <f>IF($A156=T$83, 0, distance(VLOOKUP($A156,Cuision!$G:$P,9,FALSE),VLOOKUP($A156,Cuision!$G:$P,10,FALSE),VLOOKUP(T$83,Cuision!$G:$P,9,FALSE),VLOOKUP(T$83,Cuision!$G:$P,10,FALSE)))</f>
        <v>3953.3873429422297</v>
      </c>
      <c r="U156" s="33">
        <f>IF($A156=U$83, 0, distance(VLOOKUP($A156,Cuision!$G:$P,9,FALSE),VLOOKUP($A156,Cuision!$G:$P,10,FALSE),VLOOKUP(U$83,Cuision!$G:$P,9,FALSE),VLOOKUP(U$83,Cuision!$G:$P,10,FALSE)))</f>
        <v>-1</v>
      </c>
      <c r="V156" s="33">
        <f>IF($A156=V$83, 0, distance(VLOOKUP($A156,Cuision!$G:$P,9,FALSE),VLOOKUP($A156,Cuision!$G:$P,10,FALSE),VLOOKUP(V$83,Cuision!$G:$P,9,FALSE),VLOOKUP(V$83,Cuision!$G:$P,10,FALSE)))</f>
        <v>5421.3689076575865</v>
      </c>
      <c r="W156" s="33">
        <f>IF($A156=W$83, 0, distance(VLOOKUP($A156,Cuision!$G:$P,9,FALSE),VLOOKUP($A156,Cuision!$G:$P,10,FALSE),VLOOKUP(W$83,Cuision!$G:$P,9,FALSE),VLOOKUP(W$83,Cuision!$G:$P,10,FALSE)))</f>
        <v>4760.6543254008993</v>
      </c>
      <c r="X156" s="33">
        <f>IF($A156=X$83, 0, distance(VLOOKUP($A156,Cuision!$G:$P,9,FALSE),VLOOKUP($A156,Cuision!$G:$P,10,FALSE),VLOOKUP(X$83,Cuision!$G:$P,9,FALSE),VLOOKUP(X$83,Cuision!$G:$P,10,FALSE)))</f>
        <v>1916.0002180308409</v>
      </c>
      <c r="Y156" s="33">
        <f>IF($A156=Y$83, 0, distance(VLOOKUP($A156,Cuision!$G:$P,9,FALSE),VLOOKUP($A156,Cuision!$G:$P,10,FALSE),VLOOKUP(Y$83,Cuision!$G:$P,9,FALSE),VLOOKUP(Y$83,Cuision!$G:$P,10,FALSE)))</f>
        <v>4246.1418969628439</v>
      </c>
      <c r="Z156" s="33">
        <f>IF($A156=Z$83, 0, distance(VLOOKUP($A156,Cuision!$G:$P,9,FALSE),VLOOKUP($A156,Cuision!$G:$P,10,FALSE),VLOOKUP(Z$83,Cuision!$G:$P,9,FALSE),VLOOKUP(Z$83,Cuision!$G:$P,10,FALSE)))</f>
        <v>-1</v>
      </c>
      <c r="AA156" s="33">
        <f>IF($A156=AA$83, 0, distance(VLOOKUP($A156,Cuision!$G:$P,9,FALSE),VLOOKUP($A156,Cuision!$G:$P,10,FALSE),VLOOKUP(AA$83,Cuision!$G:$P,9,FALSE),VLOOKUP(AA$83,Cuision!$G:$P,10,FALSE)))</f>
        <v>6410.3797015136743</v>
      </c>
      <c r="AB156" s="33">
        <f>IF($A156=AB$83, 0, distance(VLOOKUP($A156,Cuision!$G:$P,9,FALSE),VLOOKUP($A156,Cuision!$G:$P,10,FALSE),VLOOKUP(AB$83,Cuision!$G:$P,9,FALSE),VLOOKUP(AB$83,Cuision!$G:$P,10,FALSE)))</f>
        <v>1136.7586310860429</v>
      </c>
      <c r="AC156" s="33">
        <f>IF($A156=AC$83, 0, distance(VLOOKUP($A156,Cuision!$G:$P,9,FALSE),VLOOKUP($A156,Cuision!$G:$P,10,FALSE),VLOOKUP(AC$83,Cuision!$G:$P,9,FALSE),VLOOKUP(AC$83,Cuision!$G:$P,10,FALSE)))</f>
        <v>2165.6109791208214</v>
      </c>
      <c r="AD156" s="33">
        <f>IF($A156=AD$83, 0, distance(VLOOKUP($A156,Cuision!$G:$P,9,FALSE),VLOOKUP($A156,Cuision!$G:$P,10,FALSE),VLOOKUP(AD$83,Cuision!$G:$P,9,FALSE),VLOOKUP(AD$83,Cuision!$G:$P,10,FALSE)))</f>
        <v>5477.5910738045586</v>
      </c>
      <c r="AE156" s="33">
        <f>IF($A156=AE$83, 0, distance(VLOOKUP($A156,Cuision!$G:$P,9,FALSE),VLOOKUP($A156,Cuision!$G:$P,10,FALSE),VLOOKUP(AE$83,Cuision!$G:$P,9,FALSE),VLOOKUP(AE$83,Cuision!$G:$P,10,FALSE)))</f>
        <v>1765.2739675290475</v>
      </c>
      <c r="AF156" s="33">
        <f>IF($A156=AF$83, 0, distance(VLOOKUP($A156,Cuision!$G:$P,9,FALSE),VLOOKUP($A156,Cuision!$G:$P,10,FALSE),VLOOKUP(AF$83,Cuision!$G:$P,9,FALSE),VLOOKUP(AF$83,Cuision!$G:$P,10,FALSE)))</f>
        <v>1613.7913511032925</v>
      </c>
      <c r="AG156" s="33">
        <f>IF($A156=AG$83, 0, distance(VLOOKUP($A156,Cuision!$G:$P,9,FALSE),VLOOKUP($A156,Cuision!$G:$P,10,FALSE),VLOOKUP(AG$83,Cuision!$G:$P,9,FALSE),VLOOKUP(AG$83,Cuision!$G:$P,10,FALSE)))</f>
        <v>1265.7761903577368</v>
      </c>
      <c r="AH156" s="33">
        <f>IF($A156=AH$83, 0, distance(VLOOKUP($A156,Cuision!$G:$P,9,FALSE),VLOOKUP($A156,Cuision!$G:$P,10,FALSE),VLOOKUP(AH$83,Cuision!$G:$P,9,FALSE),VLOOKUP(AH$83,Cuision!$G:$P,10,FALSE)))</f>
        <v>-1</v>
      </c>
      <c r="AI156" s="33">
        <f>IF($A156=AI$83, 0, distance(VLOOKUP($A156,Cuision!$G:$P,9,FALSE),VLOOKUP($A156,Cuision!$G:$P,10,FALSE),VLOOKUP(AI$83,Cuision!$G:$P,9,FALSE),VLOOKUP(AI$83,Cuision!$G:$P,10,FALSE)))</f>
        <v>508.27967395574467</v>
      </c>
      <c r="AJ156" s="33">
        <f>IF($A156=AJ$83, 0, distance(VLOOKUP($A156,Cuision!$G:$P,9,FALSE),VLOOKUP($A156,Cuision!$G:$P,10,FALSE),VLOOKUP(AJ$83,Cuision!$G:$P,9,FALSE),VLOOKUP(AJ$83,Cuision!$G:$P,10,FALSE)))</f>
        <v>916.76987693497176</v>
      </c>
      <c r="AK156" s="33">
        <f>IF($A156=AK$83, 0, distance(VLOOKUP($A156,Cuision!$G:$P,9,FALSE),VLOOKUP($A156,Cuision!$G:$P,10,FALSE),VLOOKUP(AK$83,Cuision!$G:$P,9,FALSE),VLOOKUP(AK$83,Cuision!$G:$P,10,FALSE)))</f>
        <v>8267.8475493551086</v>
      </c>
      <c r="AL156" s="33">
        <f>IF($A156=AL$83, 0, distance(VLOOKUP($A156,Cuision!$G:$P,9,FALSE),VLOOKUP($A156,Cuision!$G:$P,10,FALSE),VLOOKUP(AL$83,Cuision!$G:$P,9,FALSE),VLOOKUP(AL$83,Cuision!$G:$P,10,FALSE)))</f>
        <v>3081.8114152444878</v>
      </c>
      <c r="AM156" s="33">
        <f>IF($A156=AM$83, 0, distance(VLOOKUP($A156,Cuision!$G:$P,9,FALSE),VLOOKUP($A156,Cuision!$G:$P,10,FALSE),VLOOKUP(AM$83,Cuision!$G:$P,9,FALSE),VLOOKUP(AM$83,Cuision!$G:$P,10,FALSE)))</f>
        <v>-1</v>
      </c>
      <c r="AN156" s="33">
        <f>IF($A156=AN$83, 0, distance(VLOOKUP($A156,Cuision!$G:$P,9,FALSE),VLOOKUP($A156,Cuision!$G:$P,10,FALSE),VLOOKUP(AN$83,Cuision!$G:$P,9,FALSE),VLOOKUP(AN$83,Cuision!$G:$P,10,FALSE)))</f>
        <v>863.85112405824009</v>
      </c>
      <c r="AO156" s="33">
        <f>IF($A156=AO$83, 0, distance(VLOOKUP($A156,Cuision!$G:$P,9,FALSE),VLOOKUP($A156,Cuision!$G:$P,10,FALSE),VLOOKUP(AO$83,Cuision!$G:$P,9,FALSE),VLOOKUP(AO$83,Cuision!$G:$P,10,FALSE)))</f>
        <v>1916.0002180308409</v>
      </c>
      <c r="AP156" s="33">
        <f>IF($A156=AP$83, 0, distance(VLOOKUP($A156,Cuision!$G:$P,9,FALSE),VLOOKUP($A156,Cuision!$G:$P,10,FALSE),VLOOKUP(AP$83,Cuision!$G:$P,9,FALSE),VLOOKUP(AP$83,Cuision!$G:$P,10,FALSE)))</f>
        <v>2620.7295112231409</v>
      </c>
      <c r="AQ156" s="33">
        <f>IF($A156=AQ$83, 0, distance(VLOOKUP($A156,Cuision!$G:$P,9,FALSE),VLOOKUP($A156,Cuision!$G:$P,10,FALSE),VLOOKUP(AQ$83,Cuision!$G:$P,9,FALSE),VLOOKUP(AQ$83,Cuision!$G:$P,10,FALSE)))</f>
        <v>5659.1125741611659</v>
      </c>
      <c r="AR156" s="33">
        <f>IF($A156=AR$83, 0, distance(VLOOKUP($A156,Cuision!$G:$P,9,FALSE),VLOOKUP($A156,Cuision!$G:$P,10,FALSE),VLOOKUP(AR$83,Cuision!$G:$P,9,FALSE),VLOOKUP(AR$83,Cuision!$G:$P,10,FALSE)))</f>
        <v>1760.794163609836</v>
      </c>
      <c r="AS156" s="33">
        <f>IF($A156=AS$83, 0, distance(VLOOKUP($A156,Cuision!$G:$P,9,FALSE),VLOOKUP($A156,Cuision!$G:$P,10,FALSE),VLOOKUP(AS$83,Cuision!$G:$P,9,FALSE),VLOOKUP(AS$83,Cuision!$G:$P,10,FALSE)))</f>
        <v>1069.7851977298208</v>
      </c>
      <c r="AT156" s="33">
        <f>IF($A156=AT$83, 0, distance(VLOOKUP($A156,Cuision!$G:$P,9,FALSE),VLOOKUP($A156,Cuision!$G:$P,10,FALSE),VLOOKUP(AT$83,Cuision!$G:$P,9,FALSE),VLOOKUP(AT$83,Cuision!$G:$P,10,FALSE)))</f>
        <v>5445.5448787242321</v>
      </c>
      <c r="AU156" s="33">
        <f>IF($A156=AU$83, 0, distance(VLOOKUP($A156,Cuision!$G:$P,9,FALSE),VLOOKUP($A156,Cuision!$G:$P,10,FALSE),VLOOKUP(AU$83,Cuision!$G:$P,9,FALSE),VLOOKUP(AU$83,Cuision!$G:$P,10,FALSE)))</f>
        <v>4813.2125705342851</v>
      </c>
      <c r="AV156" s="33">
        <f>IF($A156=AV$83, 0, distance(VLOOKUP($A156,Cuision!$G:$P,9,FALSE),VLOOKUP($A156,Cuision!$G:$P,10,FALSE),VLOOKUP(AV$83,Cuision!$G:$P,9,FALSE),VLOOKUP(AV$83,Cuision!$G:$P,10,FALSE)))</f>
        <v>329.37619539682817</v>
      </c>
      <c r="AW156" s="33">
        <f>IF($A156=AW$83, 0, distance(VLOOKUP($A156,Cuision!$G:$P,9,FALSE),VLOOKUP($A156,Cuision!$G:$P,10,FALSE),VLOOKUP(AW$83,Cuision!$G:$P,9,FALSE),VLOOKUP(AW$83,Cuision!$G:$P,10,FALSE)))</f>
        <v>4368.2321572376313</v>
      </c>
      <c r="AX156" s="33">
        <f>IF($A156=AX$83, 0, distance(VLOOKUP($A156,Cuision!$G:$P,9,FALSE),VLOOKUP($A156,Cuision!$G:$P,10,FALSE),VLOOKUP(AX$83,Cuision!$G:$P,9,FALSE),VLOOKUP(AX$83,Cuision!$G:$P,10,FALSE)))</f>
        <v>6636.0851640156552</v>
      </c>
      <c r="AY156" s="33">
        <f>IF($A156=AY$83, 0, distance(VLOOKUP($A156,Cuision!$G:$P,9,FALSE),VLOOKUP($A156,Cuision!$G:$P,10,FALSE),VLOOKUP(AY$83,Cuision!$G:$P,9,FALSE),VLOOKUP(AY$83,Cuision!$G:$P,10,FALSE)))</f>
        <v>-1</v>
      </c>
      <c r="AZ156" s="33">
        <f>IF($A156=AZ$83, 0, distance(VLOOKUP($A156,Cuision!$G:$P,9,FALSE),VLOOKUP($A156,Cuision!$G:$P,10,FALSE),VLOOKUP(AZ$83,Cuision!$G:$P,9,FALSE),VLOOKUP(AZ$83,Cuision!$G:$P,10,FALSE)))</f>
        <v>4963.805108302804</v>
      </c>
      <c r="BA156" s="33">
        <f>IF($A156=BA$83, 0, distance(VLOOKUP($A156,Cuision!$G:$P,9,FALSE),VLOOKUP($A156,Cuision!$G:$P,10,FALSE),VLOOKUP(BA$83,Cuision!$G:$P,9,FALSE),VLOOKUP(BA$83,Cuision!$G:$P,10,FALSE)))</f>
        <v>893.15097407550434</v>
      </c>
      <c r="BB156" s="33">
        <f>IF($A156=BB$83, 0, distance(VLOOKUP($A156,Cuision!$G:$P,9,FALSE),VLOOKUP($A156,Cuision!$G:$P,10,FALSE),VLOOKUP(BB$83,Cuision!$G:$P,9,FALSE),VLOOKUP(BB$83,Cuision!$G:$P,10,FALSE)))</f>
        <v>7301.5742503023048</v>
      </c>
      <c r="BC156" s="33">
        <f>IF($A156=BC$83, 0, distance(VLOOKUP($A156,Cuision!$G:$P,9,FALSE),VLOOKUP($A156,Cuision!$G:$P,10,FALSE),VLOOKUP(BC$83,Cuision!$G:$P,9,FALSE),VLOOKUP(BC$83,Cuision!$G:$P,10,FALSE)))</f>
        <v>916.76987693497176</v>
      </c>
      <c r="BD156" s="33">
        <f>IF($A156=BD$83, 0, distance(VLOOKUP($A156,Cuision!$G:$P,9,FALSE),VLOOKUP($A156,Cuision!$G:$P,10,FALSE),VLOOKUP(BD$83,Cuision!$G:$P,9,FALSE),VLOOKUP(BD$83,Cuision!$G:$P,10,FALSE)))</f>
        <v>3582.658925934179</v>
      </c>
      <c r="BE156" s="33">
        <f>IF($A156=BE$83, 0, distance(VLOOKUP($A156,Cuision!$G:$P,9,FALSE),VLOOKUP($A156,Cuision!$G:$P,10,FALSE),VLOOKUP(BE$83,Cuision!$G:$P,9,FALSE),VLOOKUP(BE$83,Cuision!$G:$P,10,FALSE)))</f>
        <v>2209.5748481428527</v>
      </c>
      <c r="BF156" s="33">
        <f>IF($A156=BF$83, 0, distance(VLOOKUP($A156,Cuision!$G:$P,9,FALSE),VLOOKUP($A156,Cuision!$G:$P,10,FALSE),VLOOKUP(BF$83,Cuision!$G:$P,9,FALSE),VLOOKUP(BF$83,Cuision!$G:$P,10,FALSE)))</f>
        <v>2244.2887578416403</v>
      </c>
      <c r="BG156" s="33">
        <f>IF($A156=BG$83, 0, distance(VLOOKUP($A156,Cuision!$G:$P,9,FALSE),VLOOKUP($A156,Cuision!$G:$P,10,FALSE),VLOOKUP(BG$83,Cuision!$G:$P,9,FALSE),VLOOKUP(BG$83,Cuision!$G:$P,10,FALSE)))</f>
        <v>1052.7546508278574</v>
      </c>
      <c r="BH156" s="33">
        <f>IF($A156=BH$83, 0, distance(VLOOKUP($A156,Cuision!$G:$P,9,FALSE),VLOOKUP($A156,Cuision!$G:$P,10,FALSE),VLOOKUP(BH$83,Cuision!$G:$P,9,FALSE),VLOOKUP(BH$83,Cuision!$G:$P,10,FALSE)))</f>
        <v>7799.389233470707</v>
      </c>
      <c r="BI156" s="33">
        <f>IF($A156=BI$83, 0, distance(VLOOKUP($A156,Cuision!$G:$P,9,FALSE),VLOOKUP($A156,Cuision!$G:$P,10,FALSE),VLOOKUP(BI$83,Cuision!$G:$P,9,FALSE),VLOOKUP(BI$83,Cuision!$G:$P,10,FALSE)))</f>
        <v>1019.570282335486</v>
      </c>
      <c r="BJ156" s="33">
        <f>IF($A156=BJ$83, 0, distance(VLOOKUP($A156,Cuision!$G:$P,9,FALSE),VLOOKUP($A156,Cuision!$G:$P,10,FALSE),VLOOKUP(BJ$83,Cuision!$G:$P,9,FALSE),VLOOKUP(BJ$83,Cuision!$G:$P,10,FALSE)))</f>
        <v>2224.4671514687739</v>
      </c>
      <c r="BK156" s="33">
        <f>IF($A156=BK$83, 0, distance(VLOOKUP($A156,Cuision!$G:$P,9,FALSE),VLOOKUP($A156,Cuision!$G:$P,10,FALSE),VLOOKUP(BK$83,Cuision!$G:$P,9,FALSE),VLOOKUP(BK$83,Cuision!$G:$P,10,FALSE)))</f>
        <v>1115.1835908575254</v>
      </c>
      <c r="BL156" s="33">
        <f>IF($A156=BL$83, 0, distance(VLOOKUP($A156,Cuision!$G:$P,9,FALSE),VLOOKUP($A156,Cuision!$G:$P,10,FALSE),VLOOKUP(BL$83,Cuision!$G:$P,9,FALSE),VLOOKUP(BL$83,Cuision!$G:$P,10,FALSE)))</f>
        <v>-1</v>
      </c>
      <c r="BM156" s="33">
        <f>IF($A156=BM$83, 0, distance(VLOOKUP($A156,Cuision!$G:$P,9,FALSE),VLOOKUP($A156,Cuision!$G:$P,10,FALSE),VLOOKUP(BM$83,Cuision!$G:$P,9,FALSE),VLOOKUP(BM$83,Cuision!$G:$P,10,FALSE)))</f>
        <v>-1</v>
      </c>
      <c r="BN156" s="33">
        <f>IF($A156=BN$83, 0, distance(VLOOKUP($A156,Cuision!$G:$P,9,FALSE),VLOOKUP($A156,Cuision!$G:$P,10,FALSE),VLOOKUP(BN$83,Cuision!$G:$P,9,FALSE),VLOOKUP(BN$83,Cuision!$G:$P,10,FALSE)))</f>
        <v>1760.794163609836</v>
      </c>
      <c r="BO156" s="33">
        <f>IF($A156=BO$83, 0, distance(VLOOKUP($A156,Cuision!$G:$P,9,FALSE),VLOOKUP($A156,Cuision!$G:$P,10,FALSE),VLOOKUP(BO$83,Cuision!$G:$P,9,FALSE),VLOOKUP(BO$83,Cuision!$G:$P,10,FALSE)))</f>
        <v>5160.1932215116876</v>
      </c>
      <c r="BP156" s="33">
        <f>IF($A156=BP$83, 0, distance(VLOOKUP($A156,Cuision!$G:$P,9,FALSE),VLOOKUP($A156,Cuision!$G:$P,10,FALSE),VLOOKUP(BP$83,Cuision!$G:$P,9,FALSE),VLOOKUP(BP$83,Cuision!$G:$P,10,FALSE)))</f>
        <v>963.67581542856226</v>
      </c>
      <c r="BQ156" s="33">
        <f>IF($A156=BQ$83, 0, distance(VLOOKUP($A156,Cuision!$G:$P,9,FALSE),VLOOKUP($A156,Cuision!$G:$P,10,FALSE),VLOOKUP(BQ$83,Cuision!$G:$P,9,FALSE),VLOOKUP(BQ$83,Cuision!$G:$P,10,FALSE)))</f>
        <v>-1</v>
      </c>
      <c r="BR156" s="33">
        <f>IF($A156=BR$83, 0, distance(VLOOKUP($A156,Cuision!$G:$P,9,FALSE),VLOOKUP($A156,Cuision!$G:$P,10,FALSE),VLOOKUP(BR$83,Cuision!$G:$P,9,FALSE),VLOOKUP(BR$83,Cuision!$G:$P,10,FALSE)))</f>
        <v>5421.3689076575865</v>
      </c>
      <c r="BS156" s="33">
        <f>IF($A156=BS$83, 0, distance(VLOOKUP($A156,Cuision!$G:$P,9,FALSE),VLOOKUP($A156,Cuision!$G:$P,10,FALSE),VLOOKUP(BS$83,Cuision!$G:$P,9,FALSE),VLOOKUP(BS$83,Cuision!$G:$P,10,FALSE)))</f>
        <v>4246.1418969628439</v>
      </c>
      <c r="BT156" s="33">
        <f>IF($A156=BT$83, 0, distance(VLOOKUP($A156,Cuision!$G:$P,9,FALSE),VLOOKUP($A156,Cuision!$G:$P,10,FALSE),VLOOKUP(BT$83,Cuision!$G:$P,9,FALSE),VLOOKUP(BT$83,Cuision!$G:$P,10,FALSE)))</f>
        <v>1916.0002180308409</v>
      </c>
      <c r="BU156" s="33">
        <f>IF($A156=BU$83, 0, distance(VLOOKUP($A156,Cuision!$G:$P,9,FALSE),VLOOKUP($A156,Cuision!$G:$P,10,FALSE),VLOOKUP(BU$83,Cuision!$G:$P,9,FALSE),VLOOKUP(BU$83,Cuision!$G:$P,10,FALSE)))</f>
        <v>4433.0364159876153</v>
      </c>
      <c r="BV156" s="33">
        <f>IF($A156=BV$83, 0, distance(VLOOKUP($A156,Cuision!$G:$P,9,FALSE),VLOOKUP($A156,Cuision!$G:$P,10,FALSE),VLOOKUP(BV$83,Cuision!$G:$P,9,FALSE),VLOOKUP(BV$83,Cuision!$G:$P,10,FALSE)))</f>
        <v>0</v>
      </c>
      <c r="BW156" s="33">
        <f>IF($A156=BW$83, 0, distance(VLOOKUP($A156,Cuision!$G:$P,9,FALSE),VLOOKUP($A156,Cuision!$G:$P,10,FALSE),VLOOKUP(BW$83,Cuision!$G:$P,9,FALSE),VLOOKUP(BW$83,Cuision!$G:$P,10,FALSE)))</f>
        <v>736.21191705055173</v>
      </c>
      <c r="BX156" s="33">
        <f>IF($A156=BX$83, 0, distance(VLOOKUP($A156,Cuision!$G:$P,9,FALSE),VLOOKUP($A156,Cuision!$G:$P,10,FALSE),VLOOKUP(BX$83,Cuision!$G:$P,9,FALSE),VLOOKUP(BX$83,Cuision!$G:$P,10,FALSE)))</f>
        <v>1896.4532185307687</v>
      </c>
      <c r="BY156" s="33">
        <f>IF($A156=BY$83, 0, distance(VLOOKUP($A156,Cuision!$G:$P,9,FALSE),VLOOKUP($A156,Cuision!$G:$P,10,FALSE),VLOOKUP(BY$83,Cuision!$G:$P,9,FALSE),VLOOKUP(BY$83,Cuision!$G:$P,10,FALSE)))</f>
        <v>-1</v>
      </c>
      <c r="BZ156" s="33">
        <f>IF($A156=BZ$83, 0, distance(VLOOKUP($A156,Cuision!$G:$P,9,FALSE),VLOOKUP($A156,Cuision!$G:$P,10,FALSE),VLOOKUP(BZ$83,Cuision!$G:$P,9,FALSE),VLOOKUP(BZ$83,Cuision!$G:$P,10,FALSE)))</f>
        <v>-1</v>
      </c>
      <c r="CA156" s="33">
        <f>IF($A156=CA$83, 0, distance(VLOOKUP($A156,Cuision!$G:$P,9,FALSE),VLOOKUP($A156,Cuision!$G:$P,10,FALSE),VLOOKUP(CA$83,Cuision!$G:$P,9,FALSE),VLOOKUP(CA$83,Cuision!$G:$P,10,FALSE)))</f>
        <v>4416.3019011048236</v>
      </c>
    </row>
    <row r="157" spans="1:79" ht="14.25" x14ac:dyDescent="0.2">
      <c r="A157" s="30" t="s">
        <v>127</v>
      </c>
      <c r="B157" s="33">
        <f>IF($A157=B$83, 0, distance(VLOOKUP($A157,Cuision!$G:$P,9,FALSE),VLOOKUP($A157,Cuision!$G:$P,10,FALSE),VLOOKUP(B$83,Cuision!$G:$P,9,FALSE),VLOOKUP(B$83,Cuision!$G:$P,10,FALSE)))</f>
        <v>2220.5500795290318</v>
      </c>
      <c r="C157" s="33">
        <f>IF($A157=C$83, 0, distance(VLOOKUP($A157,Cuision!$G:$P,9,FALSE),VLOOKUP($A157,Cuision!$G:$P,10,FALSE),VLOOKUP(C$83,Cuision!$G:$P,9,FALSE),VLOOKUP(C$83,Cuision!$G:$P,10,FALSE)))</f>
        <v>4099.4393331932497</v>
      </c>
      <c r="D157" s="33">
        <f>IF($A157=D$83, 0, distance(VLOOKUP($A157,Cuision!$G:$P,9,FALSE),VLOOKUP($A157,Cuision!$G:$P,10,FALSE),VLOOKUP(D$83,Cuision!$G:$P,9,FALSE),VLOOKUP(D$83,Cuision!$G:$P,10,FALSE)))</f>
        <v>4867.1181653717495</v>
      </c>
      <c r="E157" s="33">
        <f>IF($A157=E$83, 0, distance(VLOOKUP($A157,Cuision!$G:$P,9,FALSE),VLOOKUP($A157,Cuision!$G:$P,10,FALSE),VLOOKUP(E$83,Cuision!$G:$P,9,FALSE),VLOOKUP(E$83,Cuision!$G:$P,10,FALSE)))</f>
        <v>4867.1181653717495</v>
      </c>
      <c r="F157" s="33">
        <f>IF($A157=F$83, 0, distance(VLOOKUP($A157,Cuision!$G:$P,9,FALSE),VLOOKUP($A157,Cuision!$G:$P,10,FALSE),VLOOKUP(F$83,Cuision!$G:$P,9,FALSE),VLOOKUP(F$83,Cuision!$G:$P,10,FALSE)))</f>
        <v>1589.8019982023834</v>
      </c>
      <c r="G157" s="33">
        <f>IF($A157=G$83, 0, distance(VLOOKUP($A157,Cuision!$G:$P,9,FALSE),VLOOKUP($A157,Cuision!$G:$P,10,FALSE),VLOOKUP(G$83,Cuision!$G:$P,9,FALSE),VLOOKUP(G$83,Cuision!$G:$P,10,FALSE)))</f>
        <v>7968.4370441669626</v>
      </c>
      <c r="H157" s="33">
        <f>IF($A157=H$83, 0, distance(VLOOKUP($A157,Cuision!$G:$P,9,FALSE),VLOOKUP($A157,Cuision!$G:$P,10,FALSE),VLOOKUP(H$83,Cuision!$G:$P,9,FALSE),VLOOKUP(H$83,Cuision!$G:$P,10,FALSE)))</f>
        <v>979.4172600811612</v>
      </c>
      <c r="I157" s="33">
        <f>IF($A157=I$83, 0, distance(VLOOKUP($A157,Cuision!$G:$P,9,FALSE),VLOOKUP($A157,Cuision!$G:$P,10,FALSE),VLOOKUP(I$83,Cuision!$G:$P,9,FALSE),VLOOKUP(I$83,Cuision!$G:$P,10,FALSE)))</f>
        <v>3614.5687742926461</v>
      </c>
      <c r="J157" s="33">
        <f>IF($A157=J$83, 0, distance(VLOOKUP($A157,Cuision!$G:$P,9,FALSE),VLOOKUP($A157,Cuision!$G:$P,10,FALSE),VLOOKUP(J$83,Cuision!$G:$P,9,FALSE),VLOOKUP(J$83,Cuision!$G:$P,10,FALSE)))</f>
        <v>9255.8389252054312</v>
      </c>
      <c r="K157" s="33">
        <f>IF($A157=K$83, 0, distance(VLOOKUP($A157,Cuision!$G:$P,9,FALSE),VLOOKUP($A157,Cuision!$G:$P,10,FALSE),VLOOKUP(K$83,Cuision!$G:$P,9,FALSE),VLOOKUP(K$83,Cuision!$G:$P,10,FALSE)))</f>
        <v>654.53885056627632</v>
      </c>
      <c r="L157" s="33">
        <f>IF($A157=L$83, 0, distance(VLOOKUP($A157,Cuision!$G:$P,9,FALSE),VLOOKUP($A157,Cuision!$G:$P,10,FALSE),VLOOKUP(L$83,Cuision!$G:$P,9,FALSE),VLOOKUP(L$83,Cuision!$G:$P,10,FALSE)))</f>
        <v>3658.2550332817054</v>
      </c>
      <c r="M157" s="33">
        <f>IF($A157=M$83, 0, distance(VLOOKUP($A157,Cuision!$G:$P,9,FALSE),VLOOKUP($A157,Cuision!$G:$P,10,FALSE),VLOOKUP(M$83,Cuision!$G:$P,9,FALSE),VLOOKUP(M$83,Cuision!$G:$P,10,FALSE)))</f>
        <v>-1</v>
      </c>
      <c r="N157" s="33">
        <f>IF($A157=N$83, 0, distance(VLOOKUP($A157,Cuision!$G:$P,9,FALSE),VLOOKUP($A157,Cuision!$G:$P,10,FALSE),VLOOKUP(N$83,Cuision!$G:$P,9,FALSE),VLOOKUP(N$83,Cuision!$G:$P,10,FALSE)))</f>
        <v>1778.1763277923328</v>
      </c>
      <c r="O157" s="33">
        <f>IF($A157=O$83, 0, distance(VLOOKUP($A157,Cuision!$G:$P,9,FALSE),VLOOKUP($A157,Cuision!$G:$P,10,FALSE),VLOOKUP(O$83,Cuision!$G:$P,9,FALSE),VLOOKUP(O$83,Cuision!$G:$P,10,FALSE)))</f>
        <v>1140.7495102246889</v>
      </c>
      <c r="P157" s="33">
        <f>IF($A157=P$83, 0, distance(VLOOKUP($A157,Cuision!$G:$P,9,FALSE),VLOOKUP($A157,Cuision!$G:$P,10,FALSE),VLOOKUP(P$83,Cuision!$G:$P,9,FALSE),VLOOKUP(P$83,Cuision!$G:$P,10,FALSE)))</f>
        <v>6562.9329304413359</v>
      </c>
      <c r="Q157" s="33">
        <f>IF($A157=Q$83, 0, distance(VLOOKUP($A157,Cuision!$G:$P,9,FALSE),VLOOKUP($A157,Cuision!$G:$P,10,FALSE),VLOOKUP(Q$83,Cuision!$G:$P,9,FALSE),VLOOKUP(Q$83,Cuision!$G:$P,10,FALSE)))</f>
        <v>-1</v>
      </c>
      <c r="R157" s="33">
        <f>IF($A157=R$83, 0, distance(VLOOKUP($A157,Cuision!$G:$P,9,FALSE),VLOOKUP($A157,Cuision!$G:$P,10,FALSE),VLOOKUP(R$83,Cuision!$G:$P,9,FALSE),VLOOKUP(R$83,Cuision!$G:$P,10,FALSE)))</f>
        <v>1325.4637208913487</v>
      </c>
      <c r="S157" s="33">
        <f>IF($A157=S$83, 0, distance(VLOOKUP($A157,Cuision!$G:$P,9,FALSE),VLOOKUP($A157,Cuision!$G:$P,10,FALSE),VLOOKUP(S$83,Cuision!$G:$P,9,FALSE),VLOOKUP(S$83,Cuision!$G:$P,10,FALSE)))</f>
        <v>-1</v>
      </c>
      <c r="T157" s="33">
        <f>IF($A157=T$83, 0, distance(VLOOKUP($A157,Cuision!$G:$P,9,FALSE),VLOOKUP($A157,Cuision!$G:$P,10,FALSE),VLOOKUP(T$83,Cuision!$G:$P,9,FALSE),VLOOKUP(T$83,Cuision!$G:$P,10,FALSE)))</f>
        <v>4108.580385292802</v>
      </c>
      <c r="U157" s="33">
        <f>IF($A157=U$83, 0, distance(VLOOKUP($A157,Cuision!$G:$P,9,FALSE),VLOOKUP($A157,Cuision!$G:$P,10,FALSE),VLOOKUP(U$83,Cuision!$G:$P,9,FALSE),VLOOKUP(U$83,Cuision!$G:$P,10,FALSE)))</f>
        <v>-1</v>
      </c>
      <c r="V157" s="33">
        <f>IF($A157=V$83, 0, distance(VLOOKUP($A157,Cuision!$G:$P,9,FALSE),VLOOKUP($A157,Cuision!$G:$P,10,FALSE),VLOOKUP(V$83,Cuision!$G:$P,9,FALSE),VLOOKUP(V$83,Cuision!$G:$P,10,FALSE)))</f>
        <v>4867.1181653717495</v>
      </c>
      <c r="W157" s="33">
        <f>IF($A157=W$83, 0, distance(VLOOKUP($A157,Cuision!$G:$P,9,FALSE),VLOOKUP($A157,Cuision!$G:$P,10,FALSE),VLOOKUP(W$83,Cuision!$G:$P,9,FALSE),VLOOKUP(W$83,Cuision!$G:$P,10,FALSE)))</f>
        <v>4919.1512595991171</v>
      </c>
      <c r="X157" s="33">
        <f>IF($A157=X$83, 0, distance(VLOOKUP($A157,Cuision!$G:$P,9,FALSE),VLOOKUP($A157,Cuision!$G:$P,10,FALSE),VLOOKUP(X$83,Cuision!$G:$P,9,FALSE),VLOOKUP(X$83,Cuision!$G:$P,10,FALSE)))</f>
        <v>1778.1763277923328</v>
      </c>
      <c r="Y157" s="33">
        <f>IF($A157=Y$83, 0, distance(VLOOKUP($A157,Cuision!$G:$P,9,FALSE),VLOOKUP($A157,Cuision!$G:$P,10,FALSE),VLOOKUP(Y$83,Cuision!$G:$P,9,FALSE),VLOOKUP(Y$83,Cuision!$G:$P,10,FALSE)))</f>
        <v>4007.7940359549493</v>
      </c>
      <c r="Z157" s="33">
        <f>IF($A157=Z$83, 0, distance(VLOOKUP($A157,Cuision!$G:$P,9,FALSE),VLOOKUP($A157,Cuision!$G:$P,10,FALSE),VLOOKUP(Z$83,Cuision!$G:$P,9,FALSE),VLOOKUP(Z$83,Cuision!$G:$P,10,FALSE)))</f>
        <v>-1</v>
      </c>
      <c r="AA157" s="33">
        <f>IF($A157=AA$83, 0, distance(VLOOKUP($A157,Cuision!$G:$P,9,FALSE),VLOOKUP($A157,Cuision!$G:$P,10,FALSE),VLOOKUP(AA$83,Cuision!$G:$P,9,FALSE),VLOOKUP(AA$83,Cuision!$G:$P,10,FALSE)))</f>
        <v>5920.8000737457614</v>
      </c>
      <c r="AB157" s="33">
        <f>IF($A157=AB$83, 0, distance(VLOOKUP($A157,Cuision!$G:$P,9,FALSE),VLOOKUP($A157,Cuision!$G:$P,10,FALSE),VLOOKUP(AB$83,Cuision!$G:$P,9,FALSE),VLOOKUP(AB$83,Cuision!$G:$P,10,FALSE)))</f>
        <v>710.02313418782285</v>
      </c>
      <c r="AC157" s="33">
        <f>IF($A157=AC$83, 0, distance(VLOOKUP($A157,Cuision!$G:$P,9,FALSE),VLOOKUP($A157,Cuision!$G:$P,10,FALSE),VLOOKUP(AC$83,Cuision!$G:$P,9,FALSE),VLOOKUP(AC$83,Cuision!$G:$P,10,FALSE)))</f>
        <v>2900.9319304228075</v>
      </c>
      <c r="AD157" s="33">
        <f>IF($A157=AD$83, 0, distance(VLOOKUP($A157,Cuision!$G:$P,9,FALSE),VLOOKUP($A157,Cuision!$G:$P,10,FALSE),VLOOKUP(AD$83,Cuision!$G:$P,9,FALSE),VLOOKUP(AD$83,Cuision!$G:$P,10,FALSE)))</f>
        <v>5463.7271755603515</v>
      </c>
      <c r="AE157" s="33">
        <f>IF($A157=AE$83, 0, distance(VLOOKUP($A157,Cuision!$G:$P,9,FALSE),VLOOKUP($A157,Cuision!$G:$P,10,FALSE),VLOOKUP(AE$83,Cuision!$G:$P,9,FALSE),VLOOKUP(AE$83,Cuision!$G:$P,10,FALSE)))</f>
        <v>1065.7146491445424</v>
      </c>
      <c r="AF157" s="33">
        <f>IF($A157=AF$83, 0, distance(VLOOKUP($A157,Cuision!$G:$P,9,FALSE),VLOOKUP($A157,Cuision!$G:$P,10,FALSE),VLOOKUP(AF$83,Cuision!$G:$P,9,FALSE),VLOOKUP(AF$83,Cuision!$G:$P,10,FALSE)))</f>
        <v>1257.3434671922678</v>
      </c>
      <c r="AG157" s="33">
        <f>IF($A157=AG$83, 0, distance(VLOOKUP($A157,Cuision!$G:$P,9,FALSE),VLOOKUP($A157,Cuision!$G:$P,10,FALSE),VLOOKUP(AG$83,Cuision!$G:$P,9,FALSE),VLOOKUP(AG$83,Cuision!$G:$P,10,FALSE)))</f>
        <v>748.02539297349358</v>
      </c>
      <c r="AH157" s="33">
        <f>IF($A157=AH$83, 0, distance(VLOOKUP($A157,Cuision!$G:$P,9,FALSE),VLOOKUP($A157,Cuision!$G:$P,10,FALSE),VLOOKUP(AH$83,Cuision!$G:$P,9,FALSE),VLOOKUP(AH$83,Cuision!$G:$P,10,FALSE)))</f>
        <v>-1</v>
      </c>
      <c r="AI157" s="33">
        <f>IF($A157=AI$83, 0, distance(VLOOKUP($A157,Cuision!$G:$P,9,FALSE),VLOOKUP($A157,Cuision!$G:$P,10,FALSE),VLOOKUP(AI$83,Cuision!$G:$P,9,FALSE),VLOOKUP(AI$83,Cuision!$G:$P,10,FALSE)))</f>
        <v>924.0503691043707</v>
      </c>
      <c r="AJ157" s="33">
        <f>IF($A157=AJ$83, 0, distance(VLOOKUP($A157,Cuision!$G:$P,9,FALSE),VLOOKUP($A157,Cuision!$G:$P,10,FALSE),VLOOKUP(AJ$83,Cuision!$G:$P,9,FALSE),VLOOKUP(AJ$83,Cuision!$G:$P,10,FALSE)))</f>
        <v>1589.8019982023834</v>
      </c>
      <c r="AK157" s="33">
        <f>IF($A157=AK$83, 0, distance(VLOOKUP($A157,Cuision!$G:$P,9,FALSE),VLOOKUP($A157,Cuision!$G:$P,10,FALSE),VLOOKUP(AK$83,Cuision!$G:$P,9,FALSE),VLOOKUP(AK$83,Cuision!$G:$P,10,FALSE)))</f>
        <v>7561.6879738896341</v>
      </c>
      <c r="AL157" s="33">
        <f>IF($A157=AL$83, 0, distance(VLOOKUP($A157,Cuision!$G:$P,9,FALSE),VLOOKUP($A157,Cuision!$G:$P,10,FALSE),VLOOKUP(AL$83,Cuision!$G:$P,9,FALSE),VLOOKUP(AL$83,Cuision!$G:$P,10,FALSE)))</f>
        <v>3239.6157164682363</v>
      </c>
      <c r="AM157" s="33">
        <f>IF($A157=AM$83, 0, distance(VLOOKUP($A157,Cuision!$G:$P,9,FALSE),VLOOKUP($A157,Cuision!$G:$P,10,FALSE),VLOOKUP(AM$83,Cuision!$G:$P,9,FALSE),VLOOKUP(AM$83,Cuision!$G:$P,10,FALSE)))</f>
        <v>-1</v>
      </c>
      <c r="AN157" s="33">
        <f>IF($A157=AN$83, 0, distance(VLOOKUP($A157,Cuision!$G:$P,9,FALSE),VLOOKUP($A157,Cuision!$G:$P,10,FALSE),VLOOKUP(AN$83,Cuision!$G:$P,9,FALSE),VLOOKUP(AN$83,Cuision!$G:$P,10,FALSE)))</f>
        <v>558.36247400139985</v>
      </c>
      <c r="AO157" s="33">
        <f>IF($A157=AO$83, 0, distance(VLOOKUP($A157,Cuision!$G:$P,9,FALSE),VLOOKUP($A157,Cuision!$G:$P,10,FALSE),VLOOKUP(AO$83,Cuision!$G:$P,9,FALSE),VLOOKUP(AO$83,Cuision!$G:$P,10,FALSE)))</f>
        <v>1778.1763277923328</v>
      </c>
      <c r="AP157" s="33">
        <f>IF($A157=AP$83, 0, distance(VLOOKUP($A157,Cuision!$G:$P,9,FALSE),VLOOKUP($A157,Cuision!$G:$P,10,FALSE),VLOOKUP(AP$83,Cuision!$G:$P,9,FALSE),VLOOKUP(AP$83,Cuision!$G:$P,10,FALSE)))</f>
        <v>2843.9373472507573</v>
      </c>
      <c r="AQ157" s="33">
        <f>IF($A157=AQ$83, 0, distance(VLOOKUP($A157,Cuision!$G:$P,9,FALSE),VLOOKUP($A157,Cuision!$G:$P,10,FALSE),VLOOKUP(AQ$83,Cuision!$G:$P,9,FALSE),VLOOKUP(AQ$83,Cuision!$G:$P,10,FALSE)))</f>
        <v>5955.8857559297476</v>
      </c>
      <c r="AR157" s="33">
        <f>IF($A157=AR$83, 0, distance(VLOOKUP($A157,Cuision!$G:$P,9,FALSE),VLOOKUP($A157,Cuision!$G:$P,10,FALSE),VLOOKUP(AR$83,Cuision!$G:$P,9,FALSE),VLOOKUP(AR$83,Cuision!$G:$P,10,FALSE)))</f>
        <v>1325.4637208913487</v>
      </c>
      <c r="AS157" s="33">
        <f>IF($A157=AS$83, 0, distance(VLOOKUP($A157,Cuision!$G:$P,9,FALSE),VLOOKUP($A157,Cuision!$G:$P,10,FALSE),VLOOKUP(AS$83,Cuision!$G:$P,9,FALSE),VLOOKUP(AS$83,Cuision!$G:$P,10,FALSE)))</f>
        <v>1041.9580765584212</v>
      </c>
      <c r="AT157" s="33">
        <f>IF($A157=AT$83, 0, distance(VLOOKUP($A157,Cuision!$G:$P,9,FALSE),VLOOKUP($A157,Cuision!$G:$P,10,FALSE),VLOOKUP(AT$83,Cuision!$G:$P,9,FALSE),VLOOKUP(AT$83,Cuision!$G:$P,10,FALSE)))</f>
        <v>5094.5983600474419</v>
      </c>
      <c r="AU157" s="33">
        <f>IF($A157=AU$83, 0, distance(VLOOKUP($A157,Cuision!$G:$P,9,FALSE),VLOOKUP($A157,Cuision!$G:$P,10,FALSE),VLOOKUP(AU$83,Cuision!$G:$P,9,FALSE),VLOOKUP(AU$83,Cuision!$G:$P,10,FALSE)))</f>
        <v>4531.1876924077815</v>
      </c>
      <c r="AV157" s="33">
        <f>IF($A157=AV$83, 0, distance(VLOOKUP($A157,Cuision!$G:$P,9,FALSE),VLOOKUP($A157,Cuision!$G:$P,10,FALSE),VLOOKUP(AV$83,Cuision!$G:$P,9,FALSE),VLOOKUP(AV$83,Cuision!$G:$P,10,FALSE)))</f>
        <v>1053.4145716675571</v>
      </c>
      <c r="AW157" s="33">
        <f>IF($A157=AW$83, 0, distance(VLOOKUP($A157,Cuision!$G:$P,9,FALSE),VLOOKUP($A157,Cuision!$G:$P,10,FALSE),VLOOKUP(AW$83,Cuision!$G:$P,9,FALSE),VLOOKUP(AW$83,Cuision!$G:$P,10,FALSE)))</f>
        <v>4483.7053501674382</v>
      </c>
      <c r="AX157" s="33">
        <f>IF($A157=AX$83, 0, distance(VLOOKUP($A157,Cuision!$G:$P,9,FALSE),VLOOKUP($A157,Cuision!$G:$P,10,FALSE),VLOOKUP(AX$83,Cuision!$G:$P,9,FALSE),VLOOKUP(AX$83,Cuision!$G:$P,10,FALSE)))</f>
        <v>6535.8363690413744</v>
      </c>
      <c r="AY157" s="33">
        <f>IF($A157=AY$83, 0, distance(VLOOKUP($A157,Cuision!$G:$P,9,FALSE),VLOOKUP($A157,Cuision!$G:$P,10,FALSE),VLOOKUP(AY$83,Cuision!$G:$P,9,FALSE),VLOOKUP(AY$83,Cuision!$G:$P,10,FALSE)))</f>
        <v>-1</v>
      </c>
      <c r="AZ157" s="33">
        <f>IF($A157=AZ$83, 0, distance(VLOOKUP($A157,Cuision!$G:$P,9,FALSE),VLOOKUP($A157,Cuision!$G:$P,10,FALSE),VLOOKUP(AZ$83,Cuision!$G:$P,9,FALSE),VLOOKUP(AZ$83,Cuision!$G:$P,10,FALSE)))</f>
        <v>5228.2861960359032</v>
      </c>
      <c r="BA157" s="33">
        <f>IF($A157=BA$83, 0, distance(VLOOKUP($A157,Cuision!$G:$P,9,FALSE),VLOOKUP($A157,Cuision!$G:$P,10,FALSE),VLOOKUP(BA$83,Cuision!$G:$P,9,FALSE),VLOOKUP(BA$83,Cuision!$G:$P,10,FALSE)))</f>
        <v>1264.9121740248522</v>
      </c>
      <c r="BB157" s="33">
        <f>IF($A157=BB$83, 0, distance(VLOOKUP($A157,Cuision!$G:$P,9,FALSE),VLOOKUP($A157,Cuision!$G:$P,10,FALSE),VLOOKUP(BB$83,Cuision!$G:$P,9,FALSE),VLOOKUP(BB$83,Cuision!$G:$P,10,FALSE)))</f>
        <v>6720.8771988856533</v>
      </c>
      <c r="BC157" s="33">
        <f>IF($A157=BC$83, 0, distance(VLOOKUP($A157,Cuision!$G:$P,9,FALSE),VLOOKUP($A157,Cuision!$G:$P,10,FALSE),VLOOKUP(BC$83,Cuision!$G:$P,9,FALSE),VLOOKUP(BC$83,Cuision!$G:$P,10,FALSE)))</f>
        <v>1589.8019982023834</v>
      </c>
      <c r="BD157" s="33">
        <f>IF($A157=BD$83, 0, distance(VLOOKUP($A157,Cuision!$G:$P,9,FALSE),VLOOKUP($A157,Cuision!$G:$P,10,FALSE),VLOOKUP(BD$83,Cuision!$G:$P,9,FALSE),VLOOKUP(BD$83,Cuision!$G:$P,10,FALSE)))</f>
        <v>3296.4298206461663</v>
      </c>
      <c r="BE157" s="33">
        <f>IF($A157=BE$83, 0, distance(VLOOKUP($A157,Cuision!$G:$P,9,FALSE),VLOOKUP($A157,Cuision!$G:$P,10,FALSE),VLOOKUP(BE$83,Cuision!$G:$P,9,FALSE),VLOOKUP(BE$83,Cuision!$G:$P,10,FALSE)))</f>
        <v>2189.6159847047056</v>
      </c>
      <c r="BF157" s="33">
        <f>IF($A157=BF$83, 0, distance(VLOOKUP($A157,Cuision!$G:$P,9,FALSE),VLOOKUP($A157,Cuision!$G:$P,10,FALSE),VLOOKUP(BF$83,Cuision!$G:$P,9,FALSE),VLOOKUP(BF$83,Cuision!$G:$P,10,FALSE)))</f>
        <v>2423.3174659367191</v>
      </c>
      <c r="BG157" s="33">
        <f>IF($A157=BG$83, 0, distance(VLOOKUP($A157,Cuision!$G:$P,9,FALSE),VLOOKUP($A157,Cuision!$G:$P,10,FALSE),VLOOKUP(BG$83,Cuision!$G:$P,9,FALSE),VLOOKUP(BG$83,Cuision!$G:$P,10,FALSE)))</f>
        <v>1457.5666261674357</v>
      </c>
      <c r="BH157" s="33">
        <f>IF($A157=BH$83, 0, distance(VLOOKUP($A157,Cuision!$G:$P,9,FALSE),VLOOKUP($A157,Cuision!$G:$P,10,FALSE),VLOOKUP(BH$83,Cuision!$G:$P,9,FALSE),VLOOKUP(BH$83,Cuision!$G:$P,10,FALSE)))</f>
        <v>7627.7462636686123</v>
      </c>
      <c r="BI157" s="33">
        <f>IF($A157=BI$83, 0, distance(VLOOKUP($A157,Cuision!$G:$P,9,FALSE),VLOOKUP($A157,Cuision!$G:$P,10,FALSE),VLOOKUP(BI$83,Cuision!$G:$P,9,FALSE),VLOOKUP(BI$83,Cuision!$G:$P,10,FALSE)))</f>
        <v>428.11736945245462</v>
      </c>
      <c r="BJ157" s="33">
        <f>IF($A157=BJ$83, 0, distance(VLOOKUP($A157,Cuision!$G:$P,9,FALSE),VLOOKUP($A157,Cuision!$G:$P,10,FALSE),VLOOKUP(BJ$83,Cuision!$G:$P,9,FALSE),VLOOKUP(BJ$83,Cuision!$G:$P,10,FALSE)))</f>
        <v>2082.1389371382102</v>
      </c>
      <c r="BK157" s="33">
        <f>IF($A157=BK$83, 0, distance(VLOOKUP($A157,Cuision!$G:$P,9,FALSE),VLOOKUP($A157,Cuision!$G:$P,10,FALSE),VLOOKUP(BK$83,Cuision!$G:$P,9,FALSE),VLOOKUP(BK$83,Cuision!$G:$P,10,FALSE)))</f>
        <v>469.43702941042545</v>
      </c>
      <c r="BL157" s="33">
        <f>IF($A157=BL$83, 0, distance(VLOOKUP($A157,Cuision!$G:$P,9,FALSE),VLOOKUP($A157,Cuision!$G:$P,10,FALSE),VLOOKUP(BL$83,Cuision!$G:$P,9,FALSE),VLOOKUP(BL$83,Cuision!$G:$P,10,FALSE)))</f>
        <v>-1</v>
      </c>
      <c r="BM157" s="33">
        <f>IF($A157=BM$83, 0, distance(VLOOKUP($A157,Cuision!$G:$P,9,FALSE),VLOOKUP($A157,Cuision!$G:$P,10,FALSE),VLOOKUP(BM$83,Cuision!$G:$P,9,FALSE),VLOOKUP(BM$83,Cuision!$G:$P,10,FALSE)))</f>
        <v>-1</v>
      </c>
      <c r="BN157" s="33">
        <f>IF($A157=BN$83, 0, distance(VLOOKUP($A157,Cuision!$G:$P,9,FALSE),VLOOKUP($A157,Cuision!$G:$P,10,FALSE),VLOOKUP(BN$83,Cuision!$G:$P,9,FALSE),VLOOKUP(BN$83,Cuision!$G:$P,10,FALSE)))</f>
        <v>1325.4637208913487</v>
      </c>
      <c r="BO157" s="33">
        <f>IF($A157=BO$83, 0, distance(VLOOKUP($A157,Cuision!$G:$P,9,FALSE),VLOOKUP($A157,Cuision!$G:$P,10,FALSE),VLOOKUP(BO$83,Cuision!$G:$P,9,FALSE),VLOOKUP(BO$83,Cuision!$G:$P,10,FALSE)))</f>
        <v>5421.1306826395503</v>
      </c>
      <c r="BP157" s="33">
        <f>IF($A157=BP$83, 0, distance(VLOOKUP($A157,Cuision!$G:$P,9,FALSE),VLOOKUP($A157,Cuision!$G:$P,10,FALSE),VLOOKUP(BP$83,Cuision!$G:$P,9,FALSE),VLOOKUP(BP$83,Cuision!$G:$P,10,FALSE)))</f>
        <v>623.74905177721359</v>
      </c>
      <c r="BQ157" s="33">
        <f>IF($A157=BQ$83, 0, distance(VLOOKUP($A157,Cuision!$G:$P,9,FALSE),VLOOKUP($A157,Cuision!$G:$P,10,FALSE),VLOOKUP(BQ$83,Cuision!$G:$P,9,FALSE),VLOOKUP(BQ$83,Cuision!$G:$P,10,FALSE)))</f>
        <v>-1</v>
      </c>
      <c r="BR157" s="33">
        <f>IF($A157=BR$83, 0, distance(VLOOKUP($A157,Cuision!$G:$P,9,FALSE),VLOOKUP($A157,Cuision!$G:$P,10,FALSE),VLOOKUP(BR$83,Cuision!$G:$P,9,FALSE),VLOOKUP(BR$83,Cuision!$G:$P,10,FALSE)))</f>
        <v>4867.1181653717495</v>
      </c>
      <c r="BS157" s="33">
        <f>IF($A157=BS$83, 0, distance(VLOOKUP($A157,Cuision!$G:$P,9,FALSE),VLOOKUP($A157,Cuision!$G:$P,10,FALSE),VLOOKUP(BS$83,Cuision!$G:$P,9,FALSE),VLOOKUP(BS$83,Cuision!$G:$P,10,FALSE)))</f>
        <v>4007.7940359549493</v>
      </c>
      <c r="BT157" s="33">
        <f>IF($A157=BT$83, 0, distance(VLOOKUP($A157,Cuision!$G:$P,9,FALSE),VLOOKUP($A157,Cuision!$G:$P,10,FALSE),VLOOKUP(BT$83,Cuision!$G:$P,9,FALSE),VLOOKUP(BT$83,Cuision!$G:$P,10,FALSE)))</f>
        <v>1778.1763277923328</v>
      </c>
      <c r="BU157" s="33">
        <f>IF($A157=BU$83, 0, distance(VLOOKUP($A157,Cuision!$G:$P,9,FALSE),VLOOKUP($A157,Cuision!$G:$P,10,FALSE),VLOOKUP(BU$83,Cuision!$G:$P,9,FALSE),VLOOKUP(BU$83,Cuision!$G:$P,10,FALSE)))</f>
        <v>4610.5859875446085</v>
      </c>
      <c r="BV157" s="33">
        <f>IF($A157=BV$83, 0, distance(VLOOKUP($A157,Cuision!$G:$P,9,FALSE),VLOOKUP($A157,Cuision!$G:$P,10,FALSE),VLOOKUP(BV$83,Cuision!$G:$P,9,FALSE),VLOOKUP(BV$83,Cuision!$G:$P,10,FALSE)))</f>
        <v>736.21191705055173</v>
      </c>
      <c r="BW157" s="33">
        <f>IF($A157=BW$83, 0, distance(VLOOKUP($A157,Cuision!$G:$P,9,FALSE),VLOOKUP($A157,Cuision!$G:$P,10,FALSE),VLOOKUP(BW$83,Cuision!$G:$P,9,FALSE),VLOOKUP(BW$83,Cuision!$G:$P,10,FALSE)))</f>
        <v>0</v>
      </c>
      <c r="BX157" s="33">
        <f>IF($A157=BX$83, 0, distance(VLOOKUP($A157,Cuision!$G:$P,9,FALSE),VLOOKUP($A157,Cuision!$G:$P,10,FALSE),VLOOKUP(BX$83,Cuision!$G:$P,9,FALSE),VLOOKUP(BX$83,Cuision!$G:$P,10,FALSE)))</f>
        <v>1941.9522927772855</v>
      </c>
      <c r="BY157" s="33">
        <f>IF($A157=BY$83, 0, distance(VLOOKUP($A157,Cuision!$G:$P,9,FALSE),VLOOKUP($A157,Cuision!$G:$P,10,FALSE),VLOOKUP(BY$83,Cuision!$G:$P,9,FALSE),VLOOKUP(BY$83,Cuision!$G:$P,10,FALSE)))</f>
        <v>-1</v>
      </c>
      <c r="BZ157" s="33">
        <f>IF($A157=BZ$83, 0, distance(VLOOKUP($A157,Cuision!$G:$P,9,FALSE),VLOOKUP($A157,Cuision!$G:$P,10,FALSE),VLOOKUP(BZ$83,Cuision!$G:$P,9,FALSE),VLOOKUP(BZ$83,Cuision!$G:$P,10,FALSE)))</f>
        <v>-1</v>
      </c>
      <c r="CA157" s="33">
        <f>IF($A157=CA$83, 0, distance(VLOOKUP($A157,Cuision!$G:$P,9,FALSE),VLOOKUP($A157,Cuision!$G:$P,10,FALSE),VLOOKUP(CA$83,Cuision!$G:$P,9,FALSE),VLOOKUP(CA$83,Cuision!$G:$P,10,FALSE)))</f>
        <v>4470.7904346149344</v>
      </c>
    </row>
    <row r="158" spans="1:79" ht="14.25" x14ac:dyDescent="0.2">
      <c r="A158" s="30" t="s">
        <v>128</v>
      </c>
      <c r="B158" s="33">
        <f>IF($A158=B$83, 0, distance(VLOOKUP($A158,Cuision!$G:$P,9,FALSE),VLOOKUP($A158,Cuision!$G:$P,10,FALSE),VLOOKUP(B$83,Cuision!$G:$P,9,FALSE),VLOOKUP(B$83,Cuision!$G:$P,10,FALSE)))</f>
        <v>464.98366529207152</v>
      </c>
      <c r="C158" s="33">
        <f>IF($A158=C$83, 0, distance(VLOOKUP($A158,Cuision!$G:$P,9,FALSE),VLOOKUP($A158,Cuision!$G:$P,10,FALSE),VLOOKUP(C$83,Cuision!$G:$P,9,FALSE),VLOOKUP(C$83,Cuision!$G:$P,10,FALSE)))</f>
        <v>4099.5621539312542</v>
      </c>
      <c r="D158" s="33">
        <f>IF($A158=D$83, 0, distance(VLOOKUP($A158,Cuision!$G:$P,9,FALSE),VLOOKUP($A158,Cuision!$G:$P,10,FALSE),VLOOKUP(D$83,Cuision!$G:$P,9,FALSE),VLOOKUP(D$83,Cuision!$G:$P,10,FALSE)))</f>
        <v>6504.7911484691258</v>
      </c>
      <c r="E158" s="33">
        <f>IF($A158=E$83, 0, distance(VLOOKUP($A158,Cuision!$G:$P,9,FALSE),VLOOKUP($A158,Cuision!$G:$P,10,FALSE),VLOOKUP(E$83,Cuision!$G:$P,9,FALSE),VLOOKUP(E$83,Cuision!$G:$P,10,FALSE)))</f>
        <v>6504.7911484691258</v>
      </c>
      <c r="F158" s="33">
        <f>IF($A158=F$83, 0, distance(VLOOKUP($A158,Cuision!$G:$P,9,FALSE),VLOOKUP($A158,Cuision!$G:$P,10,FALSE),VLOOKUP(F$83,Cuision!$G:$P,9,FALSE),VLOOKUP(F$83,Cuision!$G:$P,10,FALSE)))</f>
        <v>1706.1794779189991</v>
      </c>
      <c r="G158" s="33">
        <f>IF($A158=G$83, 0, distance(VLOOKUP($A158,Cuision!$G:$P,9,FALSE),VLOOKUP($A158,Cuision!$G:$P,10,FALSE),VLOOKUP(G$83,Cuision!$G:$P,9,FALSE),VLOOKUP(G$83,Cuision!$G:$P,10,FALSE)))</f>
        <v>9587.6191701887328</v>
      </c>
      <c r="H158" s="33">
        <f>IF($A158=H$83, 0, distance(VLOOKUP($A158,Cuision!$G:$P,9,FALSE),VLOOKUP($A158,Cuision!$G:$P,10,FALSE),VLOOKUP(H$83,Cuision!$G:$P,9,FALSE),VLOOKUP(H$83,Cuision!$G:$P,10,FALSE)))</f>
        <v>1291.6947468143164</v>
      </c>
      <c r="I158" s="33">
        <f>IF($A158=I$83, 0, distance(VLOOKUP($A158,Cuision!$G:$P,9,FALSE),VLOOKUP($A158,Cuision!$G:$P,10,FALSE),VLOOKUP(I$83,Cuision!$G:$P,9,FALSE),VLOOKUP(I$83,Cuision!$G:$P,10,FALSE)))</f>
        <v>1777.4747582225955</v>
      </c>
      <c r="J158" s="33">
        <f>IF($A158=J$83, 0, distance(VLOOKUP($A158,Cuision!$G:$P,9,FALSE),VLOOKUP($A158,Cuision!$G:$P,10,FALSE),VLOOKUP(J$83,Cuision!$G:$P,9,FALSE),VLOOKUP(J$83,Cuision!$G:$P,10,FALSE)))</f>
        <v>7314.2693810252467</v>
      </c>
      <c r="K158" s="33">
        <f>IF($A158=K$83, 0, distance(VLOOKUP($A158,Cuision!$G:$P,9,FALSE),VLOOKUP($A158,Cuision!$G:$P,10,FALSE),VLOOKUP(K$83,Cuision!$G:$P,9,FALSE),VLOOKUP(K$83,Cuision!$G:$P,10,FALSE)))</f>
        <v>2585.1867387010789</v>
      </c>
      <c r="L158" s="33">
        <f>IF($A158=L$83, 0, distance(VLOOKUP($A158,Cuision!$G:$P,9,FALSE),VLOOKUP($A158,Cuision!$G:$P,10,FALSE),VLOOKUP(L$83,Cuision!$G:$P,9,FALSE),VLOOKUP(L$83,Cuision!$G:$P,10,FALSE)))</f>
        <v>1721.5266054804517</v>
      </c>
      <c r="M158" s="33">
        <f>IF($A158=M$83, 0, distance(VLOOKUP($A158,Cuision!$G:$P,9,FALSE),VLOOKUP($A158,Cuision!$G:$P,10,FALSE),VLOOKUP(M$83,Cuision!$G:$P,9,FALSE),VLOOKUP(M$83,Cuision!$G:$P,10,FALSE)))</f>
        <v>-1</v>
      </c>
      <c r="N158" s="33">
        <f>IF($A158=N$83, 0, distance(VLOOKUP($A158,Cuision!$G:$P,9,FALSE),VLOOKUP($A158,Cuision!$G:$P,10,FALSE),VLOOKUP(N$83,Cuision!$G:$P,9,FALSE),VLOOKUP(N$83,Cuision!$G:$P,10,FALSE)))</f>
        <v>3692.0775607520509</v>
      </c>
      <c r="O158" s="33">
        <f>IF($A158=O$83, 0, distance(VLOOKUP($A158,Cuision!$G:$P,9,FALSE),VLOOKUP($A158,Cuision!$G:$P,10,FALSE),VLOOKUP(O$83,Cuision!$G:$P,9,FALSE),VLOOKUP(O$83,Cuision!$G:$P,10,FALSE)))</f>
        <v>3076.0707134043128</v>
      </c>
      <c r="P158" s="33">
        <f>IF($A158=P$83, 0, distance(VLOOKUP($A158,Cuision!$G:$P,9,FALSE),VLOOKUP($A158,Cuision!$G:$P,10,FALSE),VLOOKUP(P$83,Cuision!$G:$P,9,FALSE),VLOOKUP(P$83,Cuision!$G:$P,10,FALSE)))</f>
        <v>8334.0945259113923</v>
      </c>
      <c r="Q158" s="33">
        <f>IF($A158=Q$83, 0, distance(VLOOKUP($A158,Cuision!$G:$P,9,FALSE),VLOOKUP($A158,Cuision!$G:$P,10,FALSE),VLOOKUP(Q$83,Cuision!$G:$P,9,FALSE),VLOOKUP(Q$83,Cuision!$G:$P,10,FALSE)))</f>
        <v>-1</v>
      </c>
      <c r="R158" s="33">
        <f>IF($A158=R$83, 0, distance(VLOOKUP($A158,Cuision!$G:$P,9,FALSE),VLOOKUP($A158,Cuision!$G:$P,10,FALSE),VLOOKUP(R$83,Cuision!$G:$P,9,FALSE),VLOOKUP(R$83,Cuision!$G:$P,10,FALSE)))</f>
        <v>3251.6711474408617</v>
      </c>
      <c r="S158" s="33">
        <f>IF($A158=S$83, 0, distance(VLOOKUP($A158,Cuision!$G:$P,9,FALSE),VLOOKUP($A158,Cuision!$G:$P,10,FALSE),VLOOKUP(S$83,Cuision!$G:$P,9,FALSE),VLOOKUP(S$83,Cuision!$G:$P,10,FALSE)))</f>
        <v>-1</v>
      </c>
      <c r="T158" s="33">
        <f>IF($A158=T$83, 0, distance(VLOOKUP($A158,Cuision!$G:$P,9,FALSE),VLOOKUP($A158,Cuision!$G:$P,10,FALSE),VLOOKUP(T$83,Cuision!$G:$P,9,FALSE),VLOOKUP(T$83,Cuision!$G:$P,10,FALSE)))</f>
        <v>2167.9584517511544</v>
      </c>
      <c r="U158" s="33">
        <f>IF($A158=U$83, 0, distance(VLOOKUP($A158,Cuision!$G:$P,9,FALSE),VLOOKUP($A158,Cuision!$G:$P,10,FALSE),VLOOKUP(U$83,Cuision!$G:$P,9,FALSE),VLOOKUP(U$83,Cuision!$G:$P,10,FALSE)))</f>
        <v>-1</v>
      </c>
      <c r="V158" s="33">
        <f>IF($A158=V$83, 0, distance(VLOOKUP($A158,Cuision!$G:$P,9,FALSE),VLOOKUP($A158,Cuision!$G:$P,10,FALSE),VLOOKUP(V$83,Cuision!$G:$P,9,FALSE),VLOOKUP(V$83,Cuision!$G:$P,10,FALSE)))</f>
        <v>6504.7911484691258</v>
      </c>
      <c r="W158" s="33">
        <f>IF($A158=W$83, 0, distance(VLOOKUP($A158,Cuision!$G:$P,9,FALSE),VLOOKUP($A158,Cuision!$G:$P,10,FALSE),VLOOKUP(W$83,Cuision!$G:$P,9,FALSE),VLOOKUP(W$83,Cuision!$G:$P,10,FALSE)))</f>
        <v>2977.3548107627953</v>
      </c>
      <c r="X158" s="33">
        <f>IF($A158=X$83, 0, distance(VLOOKUP($A158,Cuision!$G:$P,9,FALSE),VLOOKUP($A158,Cuision!$G:$P,10,FALSE),VLOOKUP(X$83,Cuision!$G:$P,9,FALSE),VLOOKUP(X$83,Cuision!$G:$P,10,FALSE)))</f>
        <v>3692.0775607520509</v>
      </c>
      <c r="Y158" s="33">
        <f>IF($A158=Y$83, 0, distance(VLOOKUP($A158,Cuision!$G:$P,9,FALSE),VLOOKUP($A158,Cuision!$G:$P,10,FALSE),VLOOKUP(Y$83,Cuision!$G:$P,9,FALSE),VLOOKUP(Y$83,Cuision!$G:$P,10,FALSE)))</f>
        <v>2446.4417241607243</v>
      </c>
      <c r="Z158" s="33">
        <f>IF($A158=Z$83, 0, distance(VLOOKUP($A158,Cuision!$G:$P,9,FALSE),VLOOKUP($A158,Cuision!$G:$P,10,FALSE),VLOOKUP(Z$83,Cuision!$G:$P,9,FALSE),VLOOKUP(Z$83,Cuision!$G:$P,10,FALSE)))</f>
        <v>-1</v>
      </c>
      <c r="AA158" s="33">
        <f>IF($A158=AA$83, 0, distance(VLOOKUP($A158,Cuision!$G:$P,9,FALSE),VLOOKUP($A158,Cuision!$G:$P,10,FALSE),VLOOKUP(AA$83,Cuision!$G:$P,9,FALSE),VLOOKUP(AA$83,Cuision!$G:$P,10,FALSE)))</f>
        <v>7629.5312996834355</v>
      </c>
      <c r="AB158" s="33">
        <f>IF($A158=AB$83, 0, distance(VLOOKUP($A158,Cuision!$G:$P,9,FALSE),VLOOKUP($A158,Cuision!$G:$P,10,FALSE),VLOOKUP(AB$83,Cuision!$G:$P,9,FALSE),VLOOKUP(AB$83,Cuision!$G:$P,10,FALSE)))</f>
        <v>2651.9695180304152</v>
      </c>
      <c r="AC158" s="33">
        <f>IF($A158=AC$83, 0, distance(VLOOKUP($A158,Cuision!$G:$P,9,FALSE),VLOOKUP($A158,Cuision!$G:$P,10,FALSE),VLOOKUP(AC$83,Cuision!$G:$P,9,FALSE),VLOOKUP(AC$83,Cuision!$G:$P,10,FALSE)))</f>
        <v>2900.9347915816084</v>
      </c>
      <c r="AD158" s="33">
        <f>IF($A158=AD$83, 0, distance(VLOOKUP($A158,Cuision!$G:$P,9,FALSE),VLOOKUP($A158,Cuision!$G:$P,10,FALSE),VLOOKUP(AD$83,Cuision!$G:$P,9,FALSE),VLOOKUP(AD$83,Cuision!$G:$P,10,FALSE)))</f>
        <v>3588.4926236356364</v>
      </c>
      <c r="AE158" s="33">
        <f>IF($A158=AE$83, 0, distance(VLOOKUP($A158,Cuision!$G:$P,9,FALSE),VLOOKUP($A158,Cuision!$G:$P,10,FALSE),VLOOKUP(AE$83,Cuision!$G:$P,9,FALSE),VLOOKUP(AE$83,Cuision!$G:$P,10,FALSE)))</f>
        <v>2708.9371962626724</v>
      </c>
      <c r="AF158" s="33">
        <f>IF($A158=AF$83, 0, distance(VLOOKUP($A158,Cuision!$G:$P,9,FALSE),VLOOKUP($A158,Cuision!$G:$P,10,FALSE),VLOOKUP(AF$83,Cuision!$G:$P,9,FALSE),VLOOKUP(AF$83,Cuision!$G:$P,10,FALSE)))</f>
        <v>3198.8217405732908</v>
      </c>
      <c r="AG158" s="33">
        <f>IF($A158=AG$83, 0, distance(VLOOKUP($A158,Cuision!$G:$P,9,FALSE),VLOOKUP($A158,Cuision!$G:$P,10,FALSE),VLOOKUP(AG$83,Cuision!$G:$P,9,FALSE),VLOOKUP(AG$83,Cuision!$G:$P,10,FALSE)))</f>
        <v>2674.1242136514352</v>
      </c>
      <c r="AH158" s="33">
        <f>IF($A158=AH$83, 0, distance(VLOOKUP($A158,Cuision!$G:$P,9,FALSE),VLOOKUP($A158,Cuision!$G:$P,10,FALSE),VLOOKUP(AH$83,Cuision!$G:$P,9,FALSE),VLOOKUP(AH$83,Cuision!$G:$P,10,FALSE)))</f>
        <v>-1</v>
      </c>
      <c r="AI158" s="33">
        <f>IF($A158=AI$83, 0, distance(VLOOKUP($A158,Cuision!$G:$P,9,FALSE),VLOOKUP($A158,Cuision!$G:$P,10,FALSE),VLOOKUP(AI$83,Cuision!$G:$P,9,FALSE),VLOOKUP(AI$83,Cuision!$G:$P,10,FALSE)))</f>
        <v>2404.3819220290538</v>
      </c>
      <c r="AJ158" s="33">
        <f>IF($A158=AJ$83, 0, distance(VLOOKUP($A158,Cuision!$G:$P,9,FALSE),VLOOKUP($A158,Cuision!$G:$P,10,FALSE),VLOOKUP(AJ$83,Cuision!$G:$P,9,FALSE),VLOOKUP(AJ$83,Cuision!$G:$P,10,FALSE)))</f>
        <v>1706.1794779189991</v>
      </c>
      <c r="AK158" s="33">
        <f>IF($A158=AK$83, 0, distance(VLOOKUP($A158,Cuision!$G:$P,9,FALSE),VLOOKUP($A158,Cuision!$G:$P,10,FALSE),VLOOKUP(AK$83,Cuision!$G:$P,9,FALSE),VLOOKUP(AK$83,Cuision!$G:$P,10,FALSE)))</f>
        <v>7329.5646561113399</v>
      </c>
      <c r="AL158" s="33">
        <f>IF($A158=AL$83, 0, distance(VLOOKUP($A158,Cuision!$G:$P,9,FALSE),VLOOKUP($A158,Cuision!$G:$P,10,FALSE),VLOOKUP(AL$83,Cuision!$G:$P,9,FALSE),VLOOKUP(AL$83,Cuision!$G:$P,10,FALSE)))</f>
        <v>1306.5919816338649</v>
      </c>
      <c r="AM158" s="33">
        <f>IF($A158=AM$83, 0, distance(VLOOKUP($A158,Cuision!$G:$P,9,FALSE),VLOOKUP($A158,Cuision!$G:$P,10,FALSE),VLOOKUP(AM$83,Cuision!$G:$P,9,FALSE),VLOOKUP(AM$83,Cuision!$G:$P,10,FALSE)))</f>
        <v>-1</v>
      </c>
      <c r="AN158" s="33">
        <f>IF($A158=AN$83, 0, distance(VLOOKUP($A158,Cuision!$G:$P,9,FALSE),VLOOKUP($A158,Cuision!$G:$P,10,FALSE),VLOOKUP(AN$83,Cuision!$G:$P,9,FALSE),VLOOKUP(AN$83,Cuision!$G:$P,10,FALSE)))</f>
        <v>2470.8860858383246</v>
      </c>
      <c r="AO158" s="33">
        <f>IF($A158=AO$83, 0, distance(VLOOKUP($A158,Cuision!$G:$P,9,FALSE),VLOOKUP($A158,Cuision!$G:$P,10,FALSE),VLOOKUP(AO$83,Cuision!$G:$P,9,FALSE),VLOOKUP(AO$83,Cuision!$G:$P,10,FALSE)))</f>
        <v>3692.0775607520509</v>
      </c>
      <c r="AP158" s="33">
        <f>IF($A158=AP$83, 0, distance(VLOOKUP($A158,Cuision!$G:$P,9,FALSE),VLOOKUP($A158,Cuision!$G:$P,10,FALSE),VLOOKUP(AP$83,Cuision!$G:$P,9,FALSE),VLOOKUP(AP$83,Cuision!$G:$P,10,FALSE)))</f>
        <v>981.48839106798016</v>
      </c>
      <c r="AQ158" s="33">
        <f>IF($A158=AQ$83, 0, distance(VLOOKUP($A158,Cuision!$G:$P,9,FALSE),VLOOKUP($A158,Cuision!$G:$P,10,FALSE),VLOOKUP(AQ$83,Cuision!$G:$P,9,FALSE),VLOOKUP(AQ$83,Cuision!$G:$P,10,FALSE)))</f>
        <v>4050.9789996163122</v>
      </c>
      <c r="AR158" s="33">
        <f>IF($A158=AR$83, 0, distance(VLOOKUP($A158,Cuision!$G:$P,9,FALSE),VLOOKUP($A158,Cuision!$G:$P,10,FALSE),VLOOKUP(AR$83,Cuision!$G:$P,9,FALSE),VLOOKUP(AR$83,Cuision!$G:$P,10,FALSE)))</f>
        <v>3251.6711474408617</v>
      </c>
      <c r="AS158" s="33">
        <f>IF($A158=AS$83, 0, distance(VLOOKUP($A158,Cuision!$G:$P,9,FALSE),VLOOKUP($A158,Cuision!$G:$P,10,FALSE),VLOOKUP(AS$83,Cuision!$G:$P,9,FALSE),VLOOKUP(AS$83,Cuision!$G:$P,10,FALSE)))</f>
        <v>2877.4469844436835</v>
      </c>
      <c r="AT158" s="33">
        <f>IF($A158=AT$83, 0, distance(VLOOKUP($A158,Cuision!$G:$P,9,FALSE),VLOOKUP($A158,Cuision!$G:$P,10,FALSE),VLOOKUP(AT$83,Cuision!$G:$P,9,FALSE),VLOOKUP(AT$83,Cuision!$G:$P,10,FALSE)))</f>
        <v>3725.6856592417521</v>
      </c>
      <c r="AU158" s="33">
        <f>IF($A158=AU$83, 0, distance(VLOOKUP($A158,Cuision!$G:$P,9,FALSE),VLOOKUP($A158,Cuision!$G:$P,10,FALSE),VLOOKUP(AU$83,Cuision!$G:$P,9,FALSE),VLOOKUP(AU$83,Cuision!$G:$P,10,FALSE)))</f>
        <v>3036.4506286346514</v>
      </c>
      <c r="AV158" s="33">
        <f>IF($A158=AV$83, 0, distance(VLOOKUP($A158,Cuision!$G:$P,9,FALSE),VLOOKUP($A158,Cuision!$G:$P,10,FALSE),VLOOKUP(AV$83,Cuision!$G:$P,9,FALSE),VLOOKUP(AV$83,Cuision!$G:$P,10,FALSE)))</f>
        <v>2057.7820120229776</v>
      </c>
      <c r="AW158" s="33">
        <f>IF($A158=AW$83, 0, distance(VLOOKUP($A158,Cuision!$G:$P,9,FALSE),VLOOKUP($A158,Cuision!$G:$P,10,FALSE),VLOOKUP(AW$83,Cuision!$G:$P,9,FALSE),VLOOKUP(AW$83,Cuision!$G:$P,10,FALSE)))</f>
        <v>2543.6440383105391</v>
      </c>
      <c r="AX158" s="33">
        <f>IF($A158=AX$83, 0, distance(VLOOKUP($A158,Cuision!$G:$P,9,FALSE),VLOOKUP($A158,Cuision!$G:$P,10,FALSE),VLOOKUP(AX$83,Cuision!$G:$P,9,FALSE),VLOOKUP(AX$83,Cuision!$G:$P,10,FALSE)))</f>
        <v>8468.1396059027575</v>
      </c>
      <c r="AY158" s="33">
        <f>IF($A158=AY$83, 0, distance(VLOOKUP($A158,Cuision!$G:$P,9,FALSE),VLOOKUP($A158,Cuision!$G:$P,10,FALSE),VLOOKUP(AY$83,Cuision!$G:$P,9,FALSE),VLOOKUP(AY$83,Cuision!$G:$P,10,FALSE)))</f>
        <v>-1</v>
      </c>
      <c r="AZ158" s="33">
        <f>IF($A158=AZ$83, 0, distance(VLOOKUP($A158,Cuision!$G:$P,9,FALSE),VLOOKUP($A158,Cuision!$G:$P,10,FALSE),VLOOKUP(AZ$83,Cuision!$G:$P,9,FALSE),VLOOKUP(AZ$83,Cuision!$G:$P,10,FALSE)))</f>
        <v>3314.9865900366262</v>
      </c>
      <c r="BA158" s="33">
        <f>IF($A158=BA$83, 0, distance(VLOOKUP($A158,Cuision!$G:$P,9,FALSE),VLOOKUP($A158,Cuision!$G:$P,10,FALSE),VLOOKUP(BA$83,Cuision!$G:$P,9,FALSE),VLOOKUP(BA$83,Cuision!$G:$P,10,FALSE)))</f>
        <v>2787.0998431653065</v>
      </c>
      <c r="BB158" s="33">
        <f>IF($A158=BB$83, 0, distance(VLOOKUP($A158,Cuision!$G:$P,9,FALSE),VLOOKUP($A158,Cuision!$G:$P,10,FALSE),VLOOKUP(BB$83,Cuision!$G:$P,9,FALSE),VLOOKUP(BB$83,Cuision!$G:$P,10,FALSE)))</f>
        <v>8177.1353942011683</v>
      </c>
      <c r="BC158" s="33">
        <f>IF($A158=BC$83, 0, distance(VLOOKUP($A158,Cuision!$G:$P,9,FALSE),VLOOKUP($A158,Cuision!$G:$P,10,FALSE),VLOOKUP(BC$83,Cuision!$G:$P,9,FALSE),VLOOKUP(BC$83,Cuision!$G:$P,10,FALSE)))</f>
        <v>1706.1794779189991</v>
      </c>
      <c r="BD158" s="33">
        <f>IF($A158=BD$83, 0, distance(VLOOKUP($A158,Cuision!$G:$P,9,FALSE),VLOOKUP($A158,Cuision!$G:$P,10,FALSE),VLOOKUP(BD$83,Cuision!$G:$P,9,FALSE),VLOOKUP(BD$83,Cuision!$G:$P,10,FALSE)))</f>
        <v>1888.9875560274259</v>
      </c>
      <c r="BE158" s="33">
        <f>IF($A158=BE$83, 0, distance(VLOOKUP($A158,Cuision!$G:$P,9,FALSE),VLOOKUP($A158,Cuision!$G:$P,10,FALSE),VLOOKUP(BE$83,Cuision!$G:$P,9,FALSE),VLOOKUP(BE$83,Cuision!$G:$P,10,FALSE)))</f>
        <v>4057.5590484383711</v>
      </c>
      <c r="BF158" s="33">
        <f>IF($A158=BF$83, 0, distance(VLOOKUP($A158,Cuision!$G:$P,9,FALSE),VLOOKUP($A158,Cuision!$G:$P,10,FALSE),VLOOKUP(BF$83,Cuision!$G:$P,9,FALSE),VLOOKUP(BF$83,Cuision!$G:$P,10,FALSE)))</f>
        <v>561.2927688436049</v>
      </c>
      <c r="BG158" s="33">
        <f>IF($A158=BG$83, 0, distance(VLOOKUP($A158,Cuision!$G:$P,9,FALSE),VLOOKUP($A158,Cuision!$G:$P,10,FALSE),VLOOKUP(BG$83,Cuision!$G:$P,9,FALSE),VLOOKUP(BG$83,Cuision!$G:$P,10,FALSE)))</f>
        <v>1034.426933921588</v>
      </c>
      <c r="BH158" s="33">
        <f>IF($A158=BH$83, 0, distance(VLOOKUP($A158,Cuision!$G:$P,9,FALSE),VLOOKUP($A158,Cuision!$G:$P,10,FALSE),VLOOKUP(BH$83,Cuision!$G:$P,9,FALSE),VLOOKUP(BH$83,Cuision!$G:$P,10,FALSE)))</f>
        <v>9568.3342843674927</v>
      </c>
      <c r="BI158" s="33">
        <f>IF($A158=BI$83, 0, distance(VLOOKUP($A158,Cuision!$G:$P,9,FALSE),VLOOKUP($A158,Cuision!$G:$P,10,FALSE),VLOOKUP(BI$83,Cuision!$G:$P,9,FALSE),VLOOKUP(BI$83,Cuision!$G:$P,10,FALSE)))</f>
        <v>2355.4783293215141</v>
      </c>
      <c r="BJ158" s="33">
        <f>IF($A158=BJ$83, 0, distance(VLOOKUP($A158,Cuision!$G:$P,9,FALSE),VLOOKUP($A158,Cuision!$G:$P,10,FALSE),VLOOKUP(BJ$83,Cuision!$G:$P,9,FALSE),VLOOKUP(BJ$83,Cuision!$G:$P,10,FALSE)))</f>
        <v>4002.4195859167403</v>
      </c>
      <c r="BK158" s="33">
        <f>IF($A158=BK$83, 0, distance(VLOOKUP($A158,Cuision!$G:$P,9,FALSE),VLOOKUP($A158,Cuision!$G:$P,10,FALSE),VLOOKUP(BK$83,Cuision!$G:$P,9,FALSE),VLOOKUP(BK$83,Cuision!$G:$P,10,FALSE)))</f>
        <v>1735.1666464221014</v>
      </c>
      <c r="BL158" s="33">
        <f>IF($A158=BL$83, 0, distance(VLOOKUP($A158,Cuision!$G:$P,9,FALSE),VLOOKUP($A158,Cuision!$G:$P,10,FALSE),VLOOKUP(BL$83,Cuision!$G:$P,9,FALSE),VLOOKUP(BL$83,Cuision!$G:$P,10,FALSE)))</f>
        <v>-1</v>
      </c>
      <c r="BM158" s="33">
        <f>IF($A158=BM$83, 0, distance(VLOOKUP($A158,Cuision!$G:$P,9,FALSE),VLOOKUP($A158,Cuision!$G:$P,10,FALSE),VLOOKUP(BM$83,Cuision!$G:$P,9,FALSE),VLOOKUP(BM$83,Cuision!$G:$P,10,FALSE)))</f>
        <v>-1</v>
      </c>
      <c r="BN158" s="33">
        <f>IF($A158=BN$83, 0, distance(VLOOKUP($A158,Cuision!$G:$P,9,FALSE),VLOOKUP($A158,Cuision!$G:$P,10,FALSE),VLOOKUP(BN$83,Cuision!$G:$P,9,FALSE),VLOOKUP(BN$83,Cuision!$G:$P,10,FALSE)))</f>
        <v>3251.6711474408617</v>
      </c>
      <c r="BO158" s="33">
        <f>IF($A158=BO$83, 0, distance(VLOOKUP($A158,Cuision!$G:$P,9,FALSE),VLOOKUP($A158,Cuision!$G:$P,10,FALSE),VLOOKUP(BO$83,Cuision!$G:$P,9,FALSE),VLOOKUP(BO$83,Cuision!$G:$P,10,FALSE)))</f>
        <v>3503.5922673228747</v>
      </c>
      <c r="BP158" s="33">
        <f>IF($A158=BP$83, 0, distance(VLOOKUP($A158,Cuision!$G:$P,9,FALSE),VLOOKUP($A158,Cuision!$G:$P,10,FALSE),VLOOKUP(BP$83,Cuision!$G:$P,9,FALSE),VLOOKUP(BP$83,Cuision!$G:$P,10,FALSE)))</f>
        <v>2552.2281862992627</v>
      </c>
      <c r="BQ158" s="33">
        <f>IF($A158=BQ$83, 0, distance(VLOOKUP($A158,Cuision!$G:$P,9,FALSE),VLOOKUP($A158,Cuision!$G:$P,10,FALSE),VLOOKUP(BQ$83,Cuision!$G:$P,9,FALSE),VLOOKUP(BQ$83,Cuision!$G:$P,10,FALSE)))</f>
        <v>-1</v>
      </c>
      <c r="BR158" s="33">
        <f>IF($A158=BR$83, 0, distance(VLOOKUP($A158,Cuision!$G:$P,9,FALSE),VLOOKUP($A158,Cuision!$G:$P,10,FALSE),VLOOKUP(BR$83,Cuision!$G:$P,9,FALSE),VLOOKUP(BR$83,Cuision!$G:$P,10,FALSE)))</f>
        <v>6504.7911484691258</v>
      </c>
      <c r="BS158" s="33">
        <f>IF($A158=BS$83, 0, distance(VLOOKUP($A158,Cuision!$G:$P,9,FALSE),VLOOKUP($A158,Cuision!$G:$P,10,FALSE),VLOOKUP(BS$83,Cuision!$G:$P,9,FALSE),VLOOKUP(BS$83,Cuision!$G:$P,10,FALSE)))</f>
        <v>2446.4417241607243</v>
      </c>
      <c r="BT158" s="33">
        <f>IF($A158=BT$83, 0, distance(VLOOKUP($A158,Cuision!$G:$P,9,FALSE),VLOOKUP($A158,Cuision!$G:$P,10,FALSE),VLOOKUP(BT$83,Cuision!$G:$P,9,FALSE),VLOOKUP(BT$83,Cuision!$G:$P,10,FALSE)))</f>
        <v>3692.0775607520509</v>
      </c>
      <c r="BU158" s="33">
        <f>IF($A158=BU$83, 0, distance(VLOOKUP($A158,Cuision!$G:$P,9,FALSE),VLOOKUP($A158,Cuision!$G:$P,10,FALSE),VLOOKUP(BU$83,Cuision!$G:$P,9,FALSE),VLOOKUP(BU$83,Cuision!$G:$P,10,FALSE)))</f>
        <v>2671.4986229723932</v>
      </c>
      <c r="BV158" s="33">
        <f>IF($A158=BV$83, 0, distance(VLOOKUP($A158,Cuision!$G:$P,9,FALSE),VLOOKUP($A158,Cuision!$G:$P,10,FALSE),VLOOKUP(BV$83,Cuision!$G:$P,9,FALSE),VLOOKUP(BV$83,Cuision!$G:$P,10,FALSE)))</f>
        <v>1896.4532185307687</v>
      </c>
      <c r="BW158" s="33">
        <f>IF($A158=BW$83, 0, distance(VLOOKUP($A158,Cuision!$G:$P,9,FALSE),VLOOKUP($A158,Cuision!$G:$P,10,FALSE),VLOOKUP(BW$83,Cuision!$G:$P,9,FALSE),VLOOKUP(BW$83,Cuision!$G:$P,10,FALSE)))</f>
        <v>1941.9522927772855</v>
      </c>
      <c r="BX158" s="33">
        <f>IF($A158=BX$83, 0, distance(VLOOKUP($A158,Cuision!$G:$P,9,FALSE),VLOOKUP($A158,Cuision!$G:$P,10,FALSE),VLOOKUP(BX$83,Cuision!$G:$P,9,FALSE),VLOOKUP(BX$83,Cuision!$G:$P,10,FALSE)))</f>
        <v>0</v>
      </c>
      <c r="BY158" s="33">
        <f>IF($A158=BY$83, 0, distance(VLOOKUP($A158,Cuision!$G:$P,9,FALSE),VLOOKUP($A158,Cuision!$G:$P,10,FALSE),VLOOKUP(BY$83,Cuision!$G:$P,9,FALSE),VLOOKUP(BY$83,Cuision!$G:$P,10,FALSE)))</f>
        <v>-1</v>
      </c>
      <c r="BZ158" s="33">
        <f>IF($A158=BZ$83, 0, distance(VLOOKUP($A158,Cuision!$G:$P,9,FALSE),VLOOKUP($A158,Cuision!$G:$P,10,FALSE),VLOOKUP(BZ$83,Cuision!$G:$P,9,FALSE),VLOOKUP(BZ$83,Cuision!$G:$P,10,FALSE)))</f>
        <v>-1</v>
      </c>
      <c r="CA158" s="33">
        <f>IF($A158=CA$83, 0, distance(VLOOKUP($A158,Cuision!$G:$P,9,FALSE),VLOOKUP($A158,Cuision!$G:$P,10,FALSE),VLOOKUP(CA$83,Cuision!$G:$P,9,FALSE),VLOOKUP(CA$83,Cuision!$G:$P,10,FALSE)))</f>
        <v>2549.0402713932881</v>
      </c>
    </row>
    <row r="159" spans="1:79" ht="14.25" x14ac:dyDescent="0.2">
      <c r="A159" s="30" t="s">
        <v>129</v>
      </c>
      <c r="B159" s="33">
        <f>IF($A159=B$83, 0, distance(VLOOKUP($A159,Cuision!$G:$P,9,FALSE),VLOOKUP($A159,Cuision!$G:$P,10,FALSE),VLOOKUP(B$83,Cuision!$G:$P,9,FALSE),VLOOKUP(B$83,Cuision!$G:$P,10,FALSE)))</f>
        <v>-1</v>
      </c>
      <c r="C159" s="33">
        <f>IF($A159=C$83, 0, distance(VLOOKUP($A159,Cuision!$G:$P,9,FALSE),VLOOKUP($A159,Cuision!$G:$P,10,FALSE),VLOOKUP(C$83,Cuision!$G:$P,9,FALSE),VLOOKUP(C$83,Cuision!$G:$P,10,FALSE)))</f>
        <v>-1</v>
      </c>
      <c r="D159" s="33">
        <f>IF($A159=D$83, 0, distance(VLOOKUP($A159,Cuision!$G:$P,9,FALSE),VLOOKUP($A159,Cuision!$G:$P,10,FALSE),VLOOKUP(D$83,Cuision!$G:$P,9,FALSE),VLOOKUP(D$83,Cuision!$G:$P,10,FALSE)))</f>
        <v>-1</v>
      </c>
      <c r="E159" s="33">
        <f>IF($A159=E$83, 0, distance(VLOOKUP($A159,Cuision!$G:$P,9,FALSE),VLOOKUP($A159,Cuision!$G:$P,10,FALSE),VLOOKUP(E$83,Cuision!$G:$P,9,FALSE),VLOOKUP(E$83,Cuision!$G:$P,10,FALSE)))</f>
        <v>-1</v>
      </c>
      <c r="F159" s="33">
        <f>IF($A159=F$83, 0, distance(VLOOKUP($A159,Cuision!$G:$P,9,FALSE),VLOOKUP($A159,Cuision!$G:$P,10,FALSE),VLOOKUP(F$83,Cuision!$G:$P,9,FALSE),VLOOKUP(F$83,Cuision!$G:$P,10,FALSE)))</f>
        <v>-1</v>
      </c>
      <c r="G159" s="33">
        <f>IF($A159=G$83, 0, distance(VLOOKUP($A159,Cuision!$G:$P,9,FALSE),VLOOKUP($A159,Cuision!$G:$P,10,FALSE),VLOOKUP(G$83,Cuision!$G:$P,9,FALSE),VLOOKUP(G$83,Cuision!$G:$P,10,FALSE)))</f>
        <v>-1</v>
      </c>
      <c r="H159" s="33">
        <f>IF($A159=H$83, 0, distance(VLOOKUP($A159,Cuision!$G:$P,9,FALSE),VLOOKUP($A159,Cuision!$G:$P,10,FALSE),VLOOKUP(H$83,Cuision!$G:$P,9,FALSE),VLOOKUP(H$83,Cuision!$G:$P,10,FALSE)))</f>
        <v>-1</v>
      </c>
      <c r="I159" s="33">
        <f>IF($A159=I$83, 0, distance(VLOOKUP($A159,Cuision!$G:$P,9,FALSE),VLOOKUP($A159,Cuision!$G:$P,10,FALSE),VLOOKUP(I$83,Cuision!$G:$P,9,FALSE),VLOOKUP(I$83,Cuision!$G:$P,10,FALSE)))</f>
        <v>-1</v>
      </c>
      <c r="J159" s="33">
        <f>IF($A159=J$83, 0, distance(VLOOKUP($A159,Cuision!$G:$P,9,FALSE),VLOOKUP($A159,Cuision!$G:$P,10,FALSE),VLOOKUP(J$83,Cuision!$G:$P,9,FALSE),VLOOKUP(J$83,Cuision!$G:$P,10,FALSE)))</f>
        <v>-1</v>
      </c>
      <c r="K159" s="33">
        <f>IF($A159=K$83, 0, distance(VLOOKUP($A159,Cuision!$G:$P,9,FALSE),VLOOKUP($A159,Cuision!$G:$P,10,FALSE),VLOOKUP(K$83,Cuision!$G:$P,9,FALSE),VLOOKUP(K$83,Cuision!$G:$P,10,FALSE)))</f>
        <v>-1</v>
      </c>
      <c r="L159" s="33">
        <f>IF($A159=L$83, 0, distance(VLOOKUP($A159,Cuision!$G:$P,9,FALSE),VLOOKUP($A159,Cuision!$G:$P,10,FALSE),VLOOKUP(L$83,Cuision!$G:$P,9,FALSE),VLOOKUP(L$83,Cuision!$G:$P,10,FALSE)))</f>
        <v>-1</v>
      </c>
      <c r="M159" s="33">
        <f>IF($A159=M$83, 0, distance(VLOOKUP($A159,Cuision!$G:$P,9,FALSE),VLOOKUP($A159,Cuision!$G:$P,10,FALSE),VLOOKUP(M$83,Cuision!$G:$P,9,FALSE),VLOOKUP(M$83,Cuision!$G:$P,10,FALSE)))</f>
        <v>-1</v>
      </c>
      <c r="N159" s="33">
        <f>IF($A159=N$83, 0, distance(VLOOKUP($A159,Cuision!$G:$P,9,FALSE),VLOOKUP($A159,Cuision!$G:$P,10,FALSE),VLOOKUP(N$83,Cuision!$G:$P,9,FALSE),VLOOKUP(N$83,Cuision!$G:$P,10,FALSE)))</f>
        <v>-1</v>
      </c>
      <c r="O159" s="33">
        <f>IF($A159=O$83, 0, distance(VLOOKUP($A159,Cuision!$G:$P,9,FALSE),VLOOKUP($A159,Cuision!$G:$P,10,FALSE),VLOOKUP(O$83,Cuision!$G:$P,9,FALSE),VLOOKUP(O$83,Cuision!$G:$P,10,FALSE)))</f>
        <v>-1</v>
      </c>
      <c r="P159" s="33">
        <f>IF($A159=P$83, 0, distance(VLOOKUP($A159,Cuision!$G:$P,9,FALSE),VLOOKUP($A159,Cuision!$G:$P,10,FALSE),VLOOKUP(P$83,Cuision!$G:$P,9,FALSE),VLOOKUP(P$83,Cuision!$G:$P,10,FALSE)))</f>
        <v>-1</v>
      </c>
      <c r="Q159" s="33">
        <f>IF($A159=Q$83, 0, distance(VLOOKUP($A159,Cuision!$G:$P,9,FALSE),VLOOKUP($A159,Cuision!$G:$P,10,FALSE),VLOOKUP(Q$83,Cuision!$G:$P,9,FALSE),VLOOKUP(Q$83,Cuision!$G:$P,10,FALSE)))</f>
        <v>-1</v>
      </c>
      <c r="R159" s="33">
        <f>IF($A159=R$83, 0, distance(VLOOKUP($A159,Cuision!$G:$P,9,FALSE),VLOOKUP($A159,Cuision!$G:$P,10,FALSE),VLOOKUP(R$83,Cuision!$G:$P,9,FALSE),VLOOKUP(R$83,Cuision!$G:$P,10,FALSE)))</f>
        <v>-1</v>
      </c>
      <c r="S159" s="33">
        <f>IF($A159=S$83, 0, distance(VLOOKUP($A159,Cuision!$G:$P,9,FALSE),VLOOKUP($A159,Cuision!$G:$P,10,FALSE),VLOOKUP(S$83,Cuision!$G:$P,9,FALSE),VLOOKUP(S$83,Cuision!$G:$P,10,FALSE)))</f>
        <v>-1</v>
      </c>
      <c r="T159" s="33">
        <f>IF($A159=T$83, 0, distance(VLOOKUP($A159,Cuision!$G:$P,9,FALSE),VLOOKUP($A159,Cuision!$G:$P,10,FALSE),VLOOKUP(T$83,Cuision!$G:$P,9,FALSE),VLOOKUP(T$83,Cuision!$G:$P,10,FALSE)))</f>
        <v>-1</v>
      </c>
      <c r="U159" s="33">
        <f>IF($A159=U$83, 0, distance(VLOOKUP($A159,Cuision!$G:$P,9,FALSE),VLOOKUP($A159,Cuision!$G:$P,10,FALSE),VLOOKUP(U$83,Cuision!$G:$P,9,FALSE),VLOOKUP(U$83,Cuision!$G:$P,10,FALSE)))</f>
        <v>-1</v>
      </c>
      <c r="V159" s="33">
        <f>IF($A159=V$83, 0, distance(VLOOKUP($A159,Cuision!$G:$P,9,FALSE),VLOOKUP($A159,Cuision!$G:$P,10,FALSE),VLOOKUP(V$83,Cuision!$G:$P,9,FALSE),VLOOKUP(V$83,Cuision!$G:$P,10,FALSE)))</f>
        <v>-1</v>
      </c>
      <c r="W159" s="33">
        <f>IF($A159=W$83, 0, distance(VLOOKUP($A159,Cuision!$G:$P,9,FALSE),VLOOKUP($A159,Cuision!$G:$P,10,FALSE),VLOOKUP(W$83,Cuision!$G:$P,9,FALSE),VLOOKUP(W$83,Cuision!$G:$P,10,FALSE)))</f>
        <v>-1</v>
      </c>
      <c r="X159" s="33">
        <f>IF($A159=X$83, 0, distance(VLOOKUP($A159,Cuision!$G:$P,9,FALSE),VLOOKUP($A159,Cuision!$G:$P,10,FALSE),VLOOKUP(X$83,Cuision!$G:$P,9,FALSE),VLOOKUP(X$83,Cuision!$G:$P,10,FALSE)))</f>
        <v>-1</v>
      </c>
      <c r="Y159" s="33">
        <f>IF($A159=Y$83, 0, distance(VLOOKUP($A159,Cuision!$G:$P,9,FALSE),VLOOKUP($A159,Cuision!$G:$P,10,FALSE),VLOOKUP(Y$83,Cuision!$G:$P,9,FALSE),VLOOKUP(Y$83,Cuision!$G:$P,10,FALSE)))</f>
        <v>-1</v>
      </c>
      <c r="Z159" s="33">
        <f>IF($A159=Z$83, 0, distance(VLOOKUP($A159,Cuision!$G:$P,9,FALSE),VLOOKUP($A159,Cuision!$G:$P,10,FALSE),VLOOKUP(Z$83,Cuision!$G:$P,9,FALSE),VLOOKUP(Z$83,Cuision!$G:$P,10,FALSE)))</f>
        <v>-1</v>
      </c>
      <c r="AA159" s="33">
        <f>IF($A159=AA$83, 0, distance(VLOOKUP($A159,Cuision!$G:$P,9,FALSE),VLOOKUP($A159,Cuision!$G:$P,10,FALSE),VLOOKUP(AA$83,Cuision!$G:$P,9,FALSE),VLOOKUP(AA$83,Cuision!$G:$P,10,FALSE)))</f>
        <v>-1</v>
      </c>
      <c r="AB159" s="33">
        <f>IF($A159=AB$83, 0, distance(VLOOKUP($A159,Cuision!$G:$P,9,FALSE),VLOOKUP($A159,Cuision!$G:$P,10,FALSE),VLOOKUP(AB$83,Cuision!$G:$P,9,FALSE),VLOOKUP(AB$83,Cuision!$G:$P,10,FALSE)))</f>
        <v>-1</v>
      </c>
      <c r="AC159" s="33">
        <f>IF($A159=AC$83, 0, distance(VLOOKUP($A159,Cuision!$G:$P,9,FALSE),VLOOKUP($A159,Cuision!$G:$P,10,FALSE),VLOOKUP(AC$83,Cuision!$G:$P,9,FALSE),VLOOKUP(AC$83,Cuision!$G:$P,10,FALSE)))</f>
        <v>-1</v>
      </c>
      <c r="AD159" s="33">
        <f>IF($A159=AD$83, 0, distance(VLOOKUP($A159,Cuision!$G:$P,9,FALSE),VLOOKUP($A159,Cuision!$G:$P,10,FALSE),VLOOKUP(AD$83,Cuision!$G:$P,9,FALSE),VLOOKUP(AD$83,Cuision!$G:$P,10,FALSE)))</f>
        <v>-1</v>
      </c>
      <c r="AE159" s="33">
        <f>IF($A159=AE$83, 0, distance(VLOOKUP($A159,Cuision!$G:$P,9,FALSE),VLOOKUP($A159,Cuision!$G:$P,10,FALSE),VLOOKUP(AE$83,Cuision!$G:$P,9,FALSE),VLOOKUP(AE$83,Cuision!$G:$P,10,FALSE)))</f>
        <v>-1</v>
      </c>
      <c r="AF159" s="33">
        <f>IF($A159=AF$83, 0, distance(VLOOKUP($A159,Cuision!$G:$P,9,FALSE),VLOOKUP($A159,Cuision!$G:$P,10,FALSE),VLOOKUP(AF$83,Cuision!$G:$P,9,FALSE),VLOOKUP(AF$83,Cuision!$G:$P,10,FALSE)))</f>
        <v>-1</v>
      </c>
      <c r="AG159" s="33">
        <f>IF($A159=AG$83, 0, distance(VLOOKUP($A159,Cuision!$G:$P,9,FALSE),VLOOKUP($A159,Cuision!$G:$P,10,FALSE),VLOOKUP(AG$83,Cuision!$G:$P,9,FALSE),VLOOKUP(AG$83,Cuision!$G:$P,10,FALSE)))</f>
        <v>-1</v>
      </c>
      <c r="AH159" s="33">
        <f>IF($A159=AH$83, 0, distance(VLOOKUP($A159,Cuision!$G:$P,9,FALSE),VLOOKUP($A159,Cuision!$G:$P,10,FALSE),VLOOKUP(AH$83,Cuision!$G:$P,9,FALSE),VLOOKUP(AH$83,Cuision!$G:$P,10,FALSE)))</f>
        <v>-1</v>
      </c>
      <c r="AI159" s="33">
        <f>IF($A159=AI$83, 0, distance(VLOOKUP($A159,Cuision!$G:$P,9,FALSE),VLOOKUP($A159,Cuision!$G:$P,10,FALSE),VLOOKUP(AI$83,Cuision!$G:$P,9,FALSE),VLOOKUP(AI$83,Cuision!$G:$P,10,FALSE)))</f>
        <v>-1</v>
      </c>
      <c r="AJ159" s="33">
        <f>IF($A159=AJ$83, 0, distance(VLOOKUP($A159,Cuision!$G:$P,9,FALSE),VLOOKUP($A159,Cuision!$G:$P,10,FALSE),VLOOKUP(AJ$83,Cuision!$G:$P,9,FALSE),VLOOKUP(AJ$83,Cuision!$G:$P,10,FALSE)))</f>
        <v>-1</v>
      </c>
      <c r="AK159" s="33">
        <f>IF($A159=AK$83, 0, distance(VLOOKUP($A159,Cuision!$G:$P,9,FALSE),VLOOKUP($A159,Cuision!$G:$P,10,FALSE),VLOOKUP(AK$83,Cuision!$G:$P,9,FALSE),VLOOKUP(AK$83,Cuision!$G:$P,10,FALSE)))</f>
        <v>-1</v>
      </c>
      <c r="AL159" s="33">
        <f>IF($A159=AL$83, 0, distance(VLOOKUP($A159,Cuision!$G:$P,9,FALSE),VLOOKUP($A159,Cuision!$G:$P,10,FALSE),VLOOKUP(AL$83,Cuision!$G:$P,9,FALSE),VLOOKUP(AL$83,Cuision!$G:$P,10,FALSE)))</f>
        <v>-1</v>
      </c>
      <c r="AM159" s="33">
        <f>IF($A159=AM$83, 0, distance(VLOOKUP($A159,Cuision!$G:$P,9,FALSE),VLOOKUP($A159,Cuision!$G:$P,10,FALSE),VLOOKUP(AM$83,Cuision!$G:$P,9,FALSE),VLOOKUP(AM$83,Cuision!$G:$P,10,FALSE)))</f>
        <v>-1</v>
      </c>
      <c r="AN159" s="33">
        <f>IF($A159=AN$83, 0, distance(VLOOKUP($A159,Cuision!$G:$P,9,FALSE),VLOOKUP($A159,Cuision!$G:$P,10,FALSE),VLOOKUP(AN$83,Cuision!$G:$P,9,FALSE),VLOOKUP(AN$83,Cuision!$G:$P,10,FALSE)))</f>
        <v>-1</v>
      </c>
      <c r="AO159" s="33">
        <f>IF($A159=AO$83, 0, distance(VLOOKUP($A159,Cuision!$G:$P,9,FALSE),VLOOKUP($A159,Cuision!$G:$P,10,FALSE),VLOOKUP(AO$83,Cuision!$G:$P,9,FALSE),VLOOKUP(AO$83,Cuision!$G:$P,10,FALSE)))</f>
        <v>-1</v>
      </c>
      <c r="AP159" s="33">
        <f>IF($A159=AP$83, 0, distance(VLOOKUP($A159,Cuision!$G:$P,9,FALSE),VLOOKUP($A159,Cuision!$G:$P,10,FALSE),VLOOKUP(AP$83,Cuision!$G:$P,9,FALSE),VLOOKUP(AP$83,Cuision!$G:$P,10,FALSE)))</f>
        <v>-1</v>
      </c>
      <c r="AQ159" s="33">
        <f>IF($A159=AQ$83, 0, distance(VLOOKUP($A159,Cuision!$G:$P,9,FALSE),VLOOKUP($A159,Cuision!$G:$P,10,FALSE),VLOOKUP(AQ$83,Cuision!$G:$P,9,FALSE),VLOOKUP(AQ$83,Cuision!$G:$P,10,FALSE)))</f>
        <v>-1</v>
      </c>
      <c r="AR159" s="33">
        <f>IF($A159=AR$83, 0, distance(VLOOKUP($A159,Cuision!$G:$P,9,FALSE),VLOOKUP($A159,Cuision!$G:$P,10,FALSE),VLOOKUP(AR$83,Cuision!$G:$P,9,FALSE),VLOOKUP(AR$83,Cuision!$G:$P,10,FALSE)))</f>
        <v>-1</v>
      </c>
      <c r="AS159" s="33">
        <f>IF($A159=AS$83, 0, distance(VLOOKUP($A159,Cuision!$G:$P,9,FALSE),VLOOKUP($A159,Cuision!$G:$P,10,FALSE),VLOOKUP(AS$83,Cuision!$G:$P,9,FALSE),VLOOKUP(AS$83,Cuision!$G:$P,10,FALSE)))</f>
        <v>-1</v>
      </c>
      <c r="AT159" s="33">
        <f>IF($A159=AT$83, 0, distance(VLOOKUP($A159,Cuision!$G:$P,9,FALSE),VLOOKUP($A159,Cuision!$G:$P,10,FALSE),VLOOKUP(AT$83,Cuision!$G:$P,9,FALSE),VLOOKUP(AT$83,Cuision!$G:$P,10,FALSE)))</f>
        <v>-1</v>
      </c>
      <c r="AU159" s="33">
        <f>IF($A159=AU$83, 0, distance(VLOOKUP($A159,Cuision!$G:$P,9,FALSE),VLOOKUP($A159,Cuision!$G:$P,10,FALSE),VLOOKUP(AU$83,Cuision!$G:$P,9,FALSE),VLOOKUP(AU$83,Cuision!$G:$P,10,FALSE)))</f>
        <v>-1</v>
      </c>
      <c r="AV159" s="33">
        <f>IF($A159=AV$83, 0, distance(VLOOKUP($A159,Cuision!$G:$P,9,FALSE),VLOOKUP($A159,Cuision!$G:$P,10,FALSE),VLOOKUP(AV$83,Cuision!$G:$P,9,FALSE),VLOOKUP(AV$83,Cuision!$G:$P,10,FALSE)))</f>
        <v>-1</v>
      </c>
      <c r="AW159" s="33">
        <f>IF($A159=AW$83, 0, distance(VLOOKUP($A159,Cuision!$G:$P,9,FALSE),VLOOKUP($A159,Cuision!$G:$P,10,FALSE),VLOOKUP(AW$83,Cuision!$G:$P,9,FALSE),VLOOKUP(AW$83,Cuision!$G:$P,10,FALSE)))</f>
        <v>-1</v>
      </c>
      <c r="AX159" s="33">
        <f>IF($A159=AX$83, 0, distance(VLOOKUP($A159,Cuision!$G:$P,9,FALSE),VLOOKUP($A159,Cuision!$G:$P,10,FALSE),VLOOKUP(AX$83,Cuision!$G:$P,9,FALSE),VLOOKUP(AX$83,Cuision!$G:$P,10,FALSE)))</f>
        <v>-1</v>
      </c>
      <c r="AY159" s="33">
        <f>IF($A159=AY$83, 0, distance(VLOOKUP($A159,Cuision!$G:$P,9,FALSE),VLOOKUP($A159,Cuision!$G:$P,10,FALSE),VLOOKUP(AY$83,Cuision!$G:$P,9,FALSE),VLOOKUP(AY$83,Cuision!$G:$P,10,FALSE)))</f>
        <v>-1</v>
      </c>
      <c r="AZ159" s="33">
        <f>IF($A159=AZ$83, 0, distance(VLOOKUP($A159,Cuision!$G:$P,9,FALSE),VLOOKUP($A159,Cuision!$G:$P,10,FALSE),VLOOKUP(AZ$83,Cuision!$G:$P,9,FALSE),VLOOKUP(AZ$83,Cuision!$G:$P,10,FALSE)))</f>
        <v>-1</v>
      </c>
      <c r="BA159" s="33">
        <f>IF($A159=BA$83, 0, distance(VLOOKUP($A159,Cuision!$G:$P,9,FALSE),VLOOKUP($A159,Cuision!$G:$P,10,FALSE),VLOOKUP(BA$83,Cuision!$G:$P,9,FALSE),VLOOKUP(BA$83,Cuision!$G:$P,10,FALSE)))</f>
        <v>-1</v>
      </c>
      <c r="BB159" s="33">
        <f>IF($A159=BB$83, 0, distance(VLOOKUP($A159,Cuision!$G:$P,9,FALSE),VLOOKUP($A159,Cuision!$G:$P,10,FALSE),VLOOKUP(BB$83,Cuision!$G:$P,9,FALSE),VLOOKUP(BB$83,Cuision!$G:$P,10,FALSE)))</f>
        <v>-1</v>
      </c>
      <c r="BC159" s="33">
        <f>IF($A159=BC$83, 0, distance(VLOOKUP($A159,Cuision!$G:$P,9,FALSE),VLOOKUP($A159,Cuision!$G:$P,10,FALSE),VLOOKUP(BC$83,Cuision!$G:$P,9,FALSE),VLOOKUP(BC$83,Cuision!$G:$P,10,FALSE)))</f>
        <v>-1</v>
      </c>
      <c r="BD159" s="33">
        <f>IF($A159=BD$83, 0, distance(VLOOKUP($A159,Cuision!$G:$P,9,FALSE),VLOOKUP($A159,Cuision!$G:$P,10,FALSE),VLOOKUP(BD$83,Cuision!$G:$P,9,FALSE),VLOOKUP(BD$83,Cuision!$G:$P,10,FALSE)))</f>
        <v>-1</v>
      </c>
      <c r="BE159" s="33">
        <f>IF($A159=BE$83, 0, distance(VLOOKUP($A159,Cuision!$G:$P,9,FALSE),VLOOKUP($A159,Cuision!$G:$P,10,FALSE),VLOOKUP(BE$83,Cuision!$G:$P,9,FALSE),VLOOKUP(BE$83,Cuision!$G:$P,10,FALSE)))</f>
        <v>-1</v>
      </c>
      <c r="BF159" s="33">
        <f>IF($A159=BF$83, 0, distance(VLOOKUP($A159,Cuision!$G:$P,9,FALSE),VLOOKUP($A159,Cuision!$G:$P,10,FALSE),VLOOKUP(BF$83,Cuision!$G:$P,9,FALSE),VLOOKUP(BF$83,Cuision!$G:$P,10,FALSE)))</f>
        <v>-1</v>
      </c>
      <c r="BG159" s="33">
        <f>IF($A159=BG$83, 0, distance(VLOOKUP($A159,Cuision!$G:$P,9,FALSE),VLOOKUP($A159,Cuision!$G:$P,10,FALSE),VLOOKUP(BG$83,Cuision!$G:$P,9,FALSE),VLOOKUP(BG$83,Cuision!$G:$P,10,FALSE)))</f>
        <v>-1</v>
      </c>
      <c r="BH159" s="33">
        <f>IF($A159=BH$83, 0, distance(VLOOKUP($A159,Cuision!$G:$P,9,FALSE),VLOOKUP($A159,Cuision!$G:$P,10,FALSE),VLOOKUP(BH$83,Cuision!$G:$P,9,FALSE),VLOOKUP(BH$83,Cuision!$G:$P,10,FALSE)))</f>
        <v>-1</v>
      </c>
      <c r="BI159" s="33">
        <f>IF($A159=BI$83, 0, distance(VLOOKUP($A159,Cuision!$G:$P,9,FALSE),VLOOKUP($A159,Cuision!$G:$P,10,FALSE),VLOOKUP(BI$83,Cuision!$G:$P,9,FALSE),VLOOKUP(BI$83,Cuision!$G:$P,10,FALSE)))</f>
        <v>-1</v>
      </c>
      <c r="BJ159" s="33">
        <f>IF($A159=BJ$83, 0, distance(VLOOKUP($A159,Cuision!$G:$P,9,FALSE),VLOOKUP($A159,Cuision!$G:$P,10,FALSE),VLOOKUP(BJ$83,Cuision!$G:$P,9,FALSE),VLOOKUP(BJ$83,Cuision!$G:$P,10,FALSE)))</f>
        <v>-1</v>
      </c>
      <c r="BK159" s="33">
        <f>IF($A159=BK$83, 0, distance(VLOOKUP($A159,Cuision!$G:$P,9,FALSE),VLOOKUP($A159,Cuision!$G:$P,10,FALSE),VLOOKUP(BK$83,Cuision!$G:$P,9,FALSE),VLOOKUP(BK$83,Cuision!$G:$P,10,FALSE)))</f>
        <v>-1</v>
      </c>
      <c r="BL159" s="33">
        <f>IF($A159=BL$83, 0, distance(VLOOKUP($A159,Cuision!$G:$P,9,FALSE),VLOOKUP($A159,Cuision!$G:$P,10,FALSE),VLOOKUP(BL$83,Cuision!$G:$P,9,FALSE),VLOOKUP(BL$83,Cuision!$G:$P,10,FALSE)))</f>
        <v>-1</v>
      </c>
      <c r="BM159" s="33">
        <f>IF($A159=BM$83, 0, distance(VLOOKUP($A159,Cuision!$G:$P,9,FALSE),VLOOKUP($A159,Cuision!$G:$P,10,FALSE),VLOOKUP(BM$83,Cuision!$G:$P,9,FALSE),VLOOKUP(BM$83,Cuision!$G:$P,10,FALSE)))</f>
        <v>-1</v>
      </c>
      <c r="BN159" s="33">
        <f>IF($A159=BN$83, 0, distance(VLOOKUP($A159,Cuision!$G:$P,9,FALSE),VLOOKUP($A159,Cuision!$G:$P,10,FALSE),VLOOKUP(BN$83,Cuision!$G:$P,9,FALSE),VLOOKUP(BN$83,Cuision!$G:$P,10,FALSE)))</f>
        <v>-1</v>
      </c>
      <c r="BO159" s="33">
        <f>IF($A159=BO$83, 0, distance(VLOOKUP($A159,Cuision!$G:$P,9,FALSE),VLOOKUP($A159,Cuision!$G:$P,10,FALSE),VLOOKUP(BO$83,Cuision!$G:$P,9,FALSE),VLOOKUP(BO$83,Cuision!$G:$P,10,FALSE)))</f>
        <v>-1</v>
      </c>
      <c r="BP159" s="33">
        <f>IF($A159=BP$83, 0, distance(VLOOKUP($A159,Cuision!$G:$P,9,FALSE),VLOOKUP($A159,Cuision!$G:$P,10,FALSE),VLOOKUP(BP$83,Cuision!$G:$P,9,FALSE),VLOOKUP(BP$83,Cuision!$G:$P,10,FALSE)))</f>
        <v>-1</v>
      </c>
      <c r="BQ159" s="33">
        <f>IF($A159=BQ$83, 0, distance(VLOOKUP($A159,Cuision!$G:$P,9,FALSE),VLOOKUP($A159,Cuision!$G:$P,10,FALSE),VLOOKUP(BQ$83,Cuision!$G:$P,9,FALSE),VLOOKUP(BQ$83,Cuision!$G:$P,10,FALSE)))</f>
        <v>-1</v>
      </c>
      <c r="BR159" s="33">
        <f>IF($A159=BR$83, 0, distance(VLOOKUP($A159,Cuision!$G:$P,9,FALSE),VLOOKUP($A159,Cuision!$G:$P,10,FALSE),VLOOKUP(BR$83,Cuision!$G:$P,9,FALSE),VLOOKUP(BR$83,Cuision!$G:$P,10,FALSE)))</f>
        <v>-1</v>
      </c>
      <c r="BS159" s="33">
        <f>IF($A159=BS$83, 0, distance(VLOOKUP($A159,Cuision!$G:$P,9,FALSE),VLOOKUP($A159,Cuision!$G:$P,10,FALSE),VLOOKUP(BS$83,Cuision!$G:$P,9,FALSE),VLOOKUP(BS$83,Cuision!$G:$P,10,FALSE)))</f>
        <v>-1</v>
      </c>
      <c r="BT159" s="33">
        <f>IF($A159=BT$83, 0, distance(VLOOKUP($A159,Cuision!$G:$P,9,FALSE),VLOOKUP($A159,Cuision!$G:$P,10,FALSE),VLOOKUP(BT$83,Cuision!$G:$P,9,FALSE),VLOOKUP(BT$83,Cuision!$G:$P,10,FALSE)))</f>
        <v>-1</v>
      </c>
      <c r="BU159" s="33">
        <f>IF($A159=BU$83, 0, distance(VLOOKUP($A159,Cuision!$G:$P,9,FALSE),VLOOKUP($A159,Cuision!$G:$P,10,FALSE),VLOOKUP(BU$83,Cuision!$G:$P,9,FALSE),VLOOKUP(BU$83,Cuision!$G:$P,10,FALSE)))</f>
        <v>-1</v>
      </c>
      <c r="BV159" s="33">
        <f>IF($A159=BV$83, 0, distance(VLOOKUP($A159,Cuision!$G:$P,9,FALSE),VLOOKUP($A159,Cuision!$G:$P,10,FALSE),VLOOKUP(BV$83,Cuision!$G:$P,9,FALSE),VLOOKUP(BV$83,Cuision!$G:$P,10,FALSE)))</f>
        <v>-1</v>
      </c>
      <c r="BW159" s="33">
        <f>IF($A159=BW$83, 0, distance(VLOOKUP($A159,Cuision!$G:$P,9,FALSE),VLOOKUP($A159,Cuision!$G:$P,10,FALSE),VLOOKUP(BW$83,Cuision!$G:$P,9,FALSE),VLOOKUP(BW$83,Cuision!$G:$P,10,FALSE)))</f>
        <v>-1</v>
      </c>
      <c r="BX159" s="33">
        <f>IF($A159=BX$83, 0, distance(VLOOKUP($A159,Cuision!$G:$P,9,FALSE),VLOOKUP($A159,Cuision!$G:$P,10,FALSE),VLOOKUP(BX$83,Cuision!$G:$P,9,FALSE),VLOOKUP(BX$83,Cuision!$G:$P,10,FALSE)))</f>
        <v>-1</v>
      </c>
      <c r="BY159" s="33">
        <f>IF($A159=BY$83, 0, distance(VLOOKUP($A159,Cuision!$G:$P,9,FALSE),VLOOKUP($A159,Cuision!$G:$P,10,FALSE),VLOOKUP(BY$83,Cuision!$G:$P,9,FALSE),VLOOKUP(BY$83,Cuision!$G:$P,10,FALSE)))</f>
        <v>0</v>
      </c>
      <c r="BZ159" s="33">
        <f>IF($A159=BZ$83, 0, distance(VLOOKUP($A159,Cuision!$G:$P,9,FALSE),VLOOKUP($A159,Cuision!$G:$P,10,FALSE),VLOOKUP(BZ$83,Cuision!$G:$P,9,FALSE),VLOOKUP(BZ$83,Cuision!$G:$P,10,FALSE)))</f>
        <v>-1</v>
      </c>
      <c r="CA159" s="33">
        <f>IF($A159=CA$83, 0, distance(VLOOKUP($A159,Cuision!$G:$P,9,FALSE),VLOOKUP($A159,Cuision!$G:$P,10,FALSE),VLOOKUP(CA$83,Cuision!$G:$P,9,FALSE),VLOOKUP(CA$83,Cuision!$G:$P,10,FALSE)))</f>
        <v>-1</v>
      </c>
    </row>
    <row r="160" spans="1:79" ht="14.25" x14ac:dyDescent="0.2">
      <c r="A160" s="30" t="s">
        <v>130</v>
      </c>
      <c r="B160" s="33">
        <f>IF($A160=B$83, 0, distance(VLOOKUP($A160,Cuision!$G:$P,9,FALSE),VLOOKUP($A160,Cuision!$G:$P,10,FALSE),VLOOKUP(B$83,Cuision!$G:$P,9,FALSE),VLOOKUP(B$83,Cuision!$G:$P,10,FALSE)))</f>
        <v>-1</v>
      </c>
      <c r="C160" s="33">
        <f>IF($A160=C$83, 0, distance(VLOOKUP($A160,Cuision!$G:$P,9,FALSE),VLOOKUP($A160,Cuision!$G:$P,10,FALSE),VLOOKUP(C$83,Cuision!$G:$P,9,FALSE),VLOOKUP(C$83,Cuision!$G:$P,10,FALSE)))</f>
        <v>-1</v>
      </c>
      <c r="D160" s="33">
        <f>IF($A160=D$83, 0, distance(VLOOKUP($A160,Cuision!$G:$P,9,FALSE),VLOOKUP($A160,Cuision!$G:$P,10,FALSE),VLOOKUP(D$83,Cuision!$G:$P,9,FALSE),VLOOKUP(D$83,Cuision!$G:$P,10,FALSE)))</f>
        <v>-1</v>
      </c>
      <c r="E160" s="33">
        <f>IF($A160=E$83, 0, distance(VLOOKUP($A160,Cuision!$G:$P,9,FALSE),VLOOKUP($A160,Cuision!$G:$P,10,FALSE),VLOOKUP(E$83,Cuision!$G:$P,9,FALSE),VLOOKUP(E$83,Cuision!$G:$P,10,FALSE)))</f>
        <v>-1</v>
      </c>
      <c r="F160" s="33">
        <f>IF($A160=F$83, 0, distance(VLOOKUP($A160,Cuision!$G:$P,9,FALSE),VLOOKUP($A160,Cuision!$G:$P,10,FALSE),VLOOKUP(F$83,Cuision!$G:$P,9,FALSE),VLOOKUP(F$83,Cuision!$G:$P,10,FALSE)))</f>
        <v>-1</v>
      </c>
      <c r="G160" s="33">
        <f>IF($A160=G$83, 0, distance(VLOOKUP($A160,Cuision!$G:$P,9,FALSE),VLOOKUP($A160,Cuision!$G:$P,10,FALSE),VLOOKUP(G$83,Cuision!$G:$P,9,FALSE),VLOOKUP(G$83,Cuision!$G:$P,10,FALSE)))</f>
        <v>-1</v>
      </c>
      <c r="H160" s="33">
        <f>IF($A160=H$83, 0, distance(VLOOKUP($A160,Cuision!$G:$P,9,FALSE),VLOOKUP($A160,Cuision!$G:$P,10,FALSE),VLOOKUP(H$83,Cuision!$G:$P,9,FALSE),VLOOKUP(H$83,Cuision!$G:$P,10,FALSE)))</f>
        <v>-1</v>
      </c>
      <c r="I160" s="33">
        <f>IF($A160=I$83, 0, distance(VLOOKUP($A160,Cuision!$G:$P,9,FALSE),VLOOKUP($A160,Cuision!$G:$P,10,FALSE),VLOOKUP(I$83,Cuision!$G:$P,9,FALSE),VLOOKUP(I$83,Cuision!$G:$P,10,FALSE)))</f>
        <v>-1</v>
      </c>
      <c r="J160" s="33">
        <f>IF($A160=J$83, 0, distance(VLOOKUP($A160,Cuision!$G:$P,9,FALSE),VLOOKUP($A160,Cuision!$G:$P,10,FALSE),VLOOKUP(J$83,Cuision!$G:$P,9,FALSE),VLOOKUP(J$83,Cuision!$G:$P,10,FALSE)))</f>
        <v>-1</v>
      </c>
      <c r="K160" s="33">
        <f>IF($A160=K$83, 0, distance(VLOOKUP($A160,Cuision!$G:$P,9,FALSE),VLOOKUP($A160,Cuision!$G:$P,10,FALSE),VLOOKUP(K$83,Cuision!$G:$P,9,FALSE),VLOOKUP(K$83,Cuision!$G:$P,10,FALSE)))</f>
        <v>-1</v>
      </c>
      <c r="L160" s="33">
        <f>IF($A160=L$83, 0, distance(VLOOKUP($A160,Cuision!$G:$P,9,FALSE),VLOOKUP($A160,Cuision!$G:$P,10,FALSE),VLOOKUP(L$83,Cuision!$G:$P,9,FALSE),VLOOKUP(L$83,Cuision!$G:$P,10,FALSE)))</f>
        <v>-1</v>
      </c>
      <c r="M160" s="33">
        <f>IF($A160=M$83, 0, distance(VLOOKUP($A160,Cuision!$G:$P,9,FALSE),VLOOKUP($A160,Cuision!$G:$P,10,FALSE),VLOOKUP(M$83,Cuision!$G:$P,9,FALSE),VLOOKUP(M$83,Cuision!$G:$P,10,FALSE)))</f>
        <v>-1</v>
      </c>
      <c r="N160" s="33">
        <f>IF($A160=N$83, 0, distance(VLOOKUP($A160,Cuision!$G:$P,9,FALSE),VLOOKUP($A160,Cuision!$G:$P,10,FALSE),VLOOKUP(N$83,Cuision!$G:$P,9,FALSE),VLOOKUP(N$83,Cuision!$G:$P,10,FALSE)))</f>
        <v>-1</v>
      </c>
      <c r="O160" s="33">
        <f>IF($A160=O$83, 0, distance(VLOOKUP($A160,Cuision!$G:$P,9,FALSE),VLOOKUP($A160,Cuision!$G:$P,10,FALSE),VLOOKUP(O$83,Cuision!$G:$P,9,FALSE),VLOOKUP(O$83,Cuision!$G:$P,10,FALSE)))</f>
        <v>-1</v>
      </c>
      <c r="P160" s="33">
        <f>IF($A160=P$83, 0, distance(VLOOKUP($A160,Cuision!$G:$P,9,FALSE),VLOOKUP($A160,Cuision!$G:$P,10,FALSE),VLOOKUP(P$83,Cuision!$G:$P,9,FALSE),VLOOKUP(P$83,Cuision!$G:$P,10,FALSE)))</f>
        <v>-1</v>
      </c>
      <c r="Q160" s="33">
        <f>IF($A160=Q$83, 0, distance(VLOOKUP($A160,Cuision!$G:$P,9,FALSE),VLOOKUP($A160,Cuision!$G:$P,10,FALSE),VLOOKUP(Q$83,Cuision!$G:$P,9,FALSE),VLOOKUP(Q$83,Cuision!$G:$P,10,FALSE)))</f>
        <v>-1</v>
      </c>
      <c r="R160" s="33">
        <f>IF($A160=R$83, 0, distance(VLOOKUP($A160,Cuision!$G:$P,9,FALSE),VLOOKUP($A160,Cuision!$G:$P,10,FALSE),VLOOKUP(R$83,Cuision!$G:$P,9,FALSE),VLOOKUP(R$83,Cuision!$G:$P,10,FALSE)))</f>
        <v>-1</v>
      </c>
      <c r="S160" s="33">
        <f>IF($A160=S$83, 0, distance(VLOOKUP($A160,Cuision!$G:$P,9,FALSE),VLOOKUP($A160,Cuision!$G:$P,10,FALSE),VLOOKUP(S$83,Cuision!$G:$P,9,FALSE),VLOOKUP(S$83,Cuision!$G:$P,10,FALSE)))</f>
        <v>-1</v>
      </c>
      <c r="T160" s="33">
        <f>IF($A160=T$83, 0, distance(VLOOKUP($A160,Cuision!$G:$P,9,FALSE),VLOOKUP($A160,Cuision!$G:$P,10,FALSE),VLOOKUP(T$83,Cuision!$G:$P,9,FALSE),VLOOKUP(T$83,Cuision!$G:$P,10,FALSE)))</f>
        <v>-1</v>
      </c>
      <c r="U160" s="33">
        <f>IF($A160=U$83, 0, distance(VLOOKUP($A160,Cuision!$G:$P,9,FALSE),VLOOKUP($A160,Cuision!$G:$P,10,FALSE),VLOOKUP(U$83,Cuision!$G:$P,9,FALSE),VLOOKUP(U$83,Cuision!$G:$P,10,FALSE)))</f>
        <v>-1</v>
      </c>
      <c r="V160" s="33">
        <f>IF($A160=V$83, 0, distance(VLOOKUP($A160,Cuision!$G:$P,9,FALSE),VLOOKUP($A160,Cuision!$G:$P,10,FALSE),VLOOKUP(V$83,Cuision!$G:$P,9,FALSE),VLOOKUP(V$83,Cuision!$G:$P,10,FALSE)))</f>
        <v>-1</v>
      </c>
      <c r="W160" s="33">
        <f>IF($A160=W$83, 0, distance(VLOOKUP($A160,Cuision!$G:$P,9,FALSE),VLOOKUP($A160,Cuision!$G:$P,10,FALSE),VLOOKUP(W$83,Cuision!$G:$P,9,FALSE),VLOOKUP(W$83,Cuision!$G:$P,10,FALSE)))</f>
        <v>-1</v>
      </c>
      <c r="X160" s="33">
        <f>IF($A160=X$83, 0, distance(VLOOKUP($A160,Cuision!$G:$P,9,FALSE),VLOOKUP($A160,Cuision!$G:$P,10,FALSE),VLOOKUP(X$83,Cuision!$G:$P,9,FALSE),VLOOKUP(X$83,Cuision!$G:$P,10,FALSE)))</f>
        <v>-1</v>
      </c>
      <c r="Y160" s="33">
        <f>IF($A160=Y$83, 0, distance(VLOOKUP($A160,Cuision!$G:$P,9,FALSE),VLOOKUP($A160,Cuision!$G:$P,10,FALSE),VLOOKUP(Y$83,Cuision!$G:$P,9,FALSE),VLOOKUP(Y$83,Cuision!$G:$P,10,FALSE)))</f>
        <v>-1</v>
      </c>
      <c r="Z160" s="33">
        <f>IF($A160=Z$83, 0, distance(VLOOKUP($A160,Cuision!$G:$P,9,FALSE),VLOOKUP($A160,Cuision!$G:$P,10,FALSE),VLOOKUP(Z$83,Cuision!$G:$P,9,FALSE),VLOOKUP(Z$83,Cuision!$G:$P,10,FALSE)))</f>
        <v>-1</v>
      </c>
      <c r="AA160" s="33">
        <f>IF($A160=AA$83, 0, distance(VLOOKUP($A160,Cuision!$G:$P,9,FALSE),VLOOKUP($A160,Cuision!$G:$P,10,FALSE),VLOOKUP(AA$83,Cuision!$G:$P,9,FALSE),VLOOKUP(AA$83,Cuision!$G:$P,10,FALSE)))</f>
        <v>-1</v>
      </c>
      <c r="AB160" s="33">
        <f>IF($A160=AB$83, 0, distance(VLOOKUP($A160,Cuision!$G:$P,9,FALSE),VLOOKUP($A160,Cuision!$G:$P,10,FALSE),VLOOKUP(AB$83,Cuision!$G:$P,9,FALSE),VLOOKUP(AB$83,Cuision!$G:$P,10,FALSE)))</f>
        <v>-1</v>
      </c>
      <c r="AC160" s="33">
        <f>IF($A160=AC$83, 0, distance(VLOOKUP($A160,Cuision!$G:$P,9,FALSE),VLOOKUP($A160,Cuision!$G:$P,10,FALSE),VLOOKUP(AC$83,Cuision!$G:$P,9,FALSE),VLOOKUP(AC$83,Cuision!$G:$P,10,FALSE)))</f>
        <v>-1</v>
      </c>
      <c r="AD160" s="33">
        <f>IF($A160=AD$83, 0, distance(VLOOKUP($A160,Cuision!$G:$P,9,FALSE),VLOOKUP($A160,Cuision!$G:$P,10,FALSE),VLOOKUP(AD$83,Cuision!$G:$P,9,FALSE),VLOOKUP(AD$83,Cuision!$G:$P,10,FALSE)))</f>
        <v>-1</v>
      </c>
      <c r="AE160" s="33">
        <f>IF($A160=AE$83, 0, distance(VLOOKUP($A160,Cuision!$G:$P,9,FALSE),VLOOKUP($A160,Cuision!$G:$P,10,FALSE),VLOOKUP(AE$83,Cuision!$G:$P,9,FALSE),VLOOKUP(AE$83,Cuision!$G:$P,10,FALSE)))</f>
        <v>-1</v>
      </c>
      <c r="AF160" s="33">
        <f>IF($A160=AF$83, 0, distance(VLOOKUP($A160,Cuision!$G:$P,9,FALSE),VLOOKUP($A160,Cuision!$G:$P,10,FALSE),VLOOKUP(AF$83,Cuision!$G:$P,9,FALSE),VLOOKUP(AF$83,Cuision!$G:$P,10,FALSE)))</f>
        <v>-1</v>
      </c>
      <c r="AG160" s="33">
        <f>IF($A160=AG$83, 0, distance(VLOOKUP($A160,Cuision!$G:$P,9,FALSE),VLOOKUP($A160,Cuision!$G:$P,10,FALSE),VLOOKUP(AG$83,Cuision!$G:$P,9,FALSE),VLOOKUP(AG$83,Cuision!$G:$P,10,FALSE)))</f>
        <v>-1</v>
      </c>
      <c r="AH160" s="33">
        <f>IF($A160=AH$83, 0, distance(VLOOKUP($A160,Cuision!$G:$P,9,FALSE),VLOOKUP($A160,Cuision!$G:$P,10,FALSE),VLOOKUP(AH$83,Cuision!$G:$P,9,FALSE),VLOOKUP(AH$83,Cuision!$G:$P,10,FALSE)))</f>
        <v>-1</v>
      </c>
      <c r="AI160" s="33">
        <f>IF($A160=AI$83, 0, distance(VLOOKUP($A160,Cuision!$G:$P,9,FALSE),VLOOKUP($A160,Cuision!$G:$P,10,FALSE),VLOOKUP(AI$83,Cuision!$G:$P,9,FALSE),VLOOKUP(AI$83,Cuision!$G:$P,10,FALSE)))</f>
        <v>-1</v>
      </c>
      <c r="AJ160" s="33">
        <f>IF($A160=AJ$83, 0, distance(VLOOKUP($A160,Cuision!$G:$P,9,FALSE),VLOOKUP($A160,Cuision!$G:$P,10,FALSE),VLOOKUP(AJ$83,Cuision!$G:$P,9,FALSE),VLOOKUP(AJ$83,Cuision!$G:$P,10,FALSE)))</f>
        <v>-1</v>
      </c>
      <c r="AK160" s="33">
        <f>IF($A160=AK$83, 0, distance(VLOOKUP($A160,Cuision!$G:$P,9,FALSE),VLOOKUP($A160,Cuision!$G:$P,10,FALSE),VLOOKUP(AK$83,Cuision!$G:$P,9,FALSE),VLOOKUP(AK$83,Cuision!$G:$P,10,FALSE)))</f>
        <v>-1</v>
      </c>
      <c r="AL160" s="33">
        <f>IF($A160=AL$83, 0, distance(VLOOKUP($A160,Cuision!$G:$P,9,FALSE),VLOOKUP($A160,Cuision!$G:$P,10,FALSE),VLOOKUP(AL$83,Cuision!$G:$P,9,FALSE),VLOOKUP(AL$83,Cuision!$G:$P,10,FALSE)))</f>
        <v>-1</v>
      </c>
      <c r="AM160" s="33">
        <f>IF($A160=AM$83, 0, distance(VLOOKUP($A160,Cuision!$G:$P,9,FALSE),VLOOKUP($A160,Cuision!$G:$P,10,FALSE),VLOOKUP(AM$83,Cuision!$G:$P,9,FALSE),VLOOKUP(AM$83,Cuision!$G:$P,10,FALSE)))</f>
        <v>-1</v>
      </c>
      <c r="AN160" s="33">
        <f>IF($A160=AN$83, 0, distance(VLOOKUP($A160,Cuision!$G:$P,9,FALSE),VLOOKUP($A160,Cuision!$G:$P,10,FALSE),VLOOKUP(AN$83,Cuision!$G:$P,9,FALSE),VLOOKUP(AN$83,Cuision!$G:$P,10,FALSE)))</f>
        <v>-1</v>
      </c>
      <c r="AO160" s="33">
        <f>IF($A160=AO$83, 0, distance(VLOOKUP($A160,Cuision!$G:$P,9,FALSE),VLOOKUP($A160,Cuision!$G:$P,10,FALSE),VLOOKUP(AO$83,Cuision!$G:$P,9,FALSE),VLOOKUP(AO$83,Cuision!$G:$P,10,FALSE)))</f>
        <v>-1</v>
      </c>
      <c r="AP160" s="33">
        <f>IF($A160=AP$83, 0, distance(VLOOKUP($A160,Cuision!$G:$P,9,FALSE),VLOOKUP($A160,Cuision!$G:$P,10,FALSE),VLOOKUP(AP$83,Cuision!$G:$P,9,FALSE),VLOOKUP(AP$83,Cuision!$G:$P,10,FALSE)))</f>
        <v>-1</v>
      </c>
      <c r="AQ160" s="33">
        <f>IF($A160=AQ$83, 0, distance(VLOOKUP($A160,Cuision!$G:$P,9,FALSE),VLOOKUP($A160,Cuision!$G:$P,10,FALSE),VLOOKUP(AQ$83,Cuision!$G:$P,9,FALSE),VLOOKUP(AQ$83,Cuision!$G:$P,10,FALSE)))</f>
        <v>-1</v>
      </c>
      <c r="AR160" s="33">
        <f>IF($A160=AR$83, 0, distance(VLOOKUP($A160,Cuision!$G:$P,9,FALSE),VLOOKUP($A160,Cuision!$G:$P,10,FALSE),VLOOKUP(AR$83,Cuision!$G:$P,9,FALSE),VLOOKUP(AR$83,Cuision!$G:$P,10,FALSE)))</f>
        <v>-1</v>
      </c>
      <c r="AS160" s="33">
        <f>IF($A160=AS$83, 0, distance(VLOOKUP($A160,Cuision!$G:$P,9,FALSE),VLOOKUP($A160,Cuision!$G:$P,10,FALSE),VLOOKUP(AS$83,Cuision!$G:$P,9,FALSE),VLOOKUP(AS$83,Cuision!$G:$P,10,FALSE)))</f>
        <v>-1</v>
      </c>
      <c r="AT160" s="33">
        <f>IF($A160=AT$83, 0, distance(VLOOKUP($A160,Cuision!$G:$P,9,FALSE),VLOOKUP($A160,Cuision!$G:$P,10,FALSE),VLOOKUP(AT$83,Cuision!$G:$P,9,FALSE),VLOOKUP(AT$83,Cuision!$G:$P,10,FALSE)))</f>
        <v>-1</v>
      </c>
      <c r="AU160" s="33">
        <f>IF($A160=AU$83, 0, distance(VLOOKUP($A160,Cuision!$G:$P,9,FALSE),VLOOKUP($A160,Cuision!$G:$P,10,FALSE),VLOOKUP(AU$83,Cuision!$G:$P,9,FALSE),VLOOKUP(AU$83,Cuision!$G:$P,10,FALSE)))</f>
        <v>-1</v>
      </c>
      <c r="AV160" s="33">
        <f>IF($A160=AV$83, 0, distance(VLOOKUP($A160,Cuision!$G:$P,9,FALSE),VLOOKUP($A160,Cuision!$G:$P,10,FALSE),VLOOKUP(AV$83,Cuision!$G:$P,9,FALSE),VLOOKUP(AV$83,Cuision!$G:$P,10,FALSE)))</f>
        <v>-1</v>
      </c>
      <c r="AW160" s="33">
        <f>IF($A160=AW$83, 0, distance(VLOOKUP($A160,Cuision!$G:$P,9,FALSE),VLOOKUP($A160,Cuision!$G:$P,10,FALSE),VLOOKUP(AW$83,Cuision!$G:$P,9,FALSE),VLOOKUP(AW$83,Cuision!$G:$P,10,FALSE)))</f>
        <v>-1</v>
      </c>
      <c r="AX160" s="33">
        <f>IF($A160=AX$83, 0, distance(VLOOKUP($A160,Cuision!$G:$P,9,FALSE),VLOOKUP($A160,Cuision!$G:$P,10,FALSE),VLOOKUP(AX$83,Cuision!$G:$P,9,FALSE),VLOOKUP(AX$83,Cuision!$G:$P,10,FALSE)))</f>
        <v>-1</v>
      </c>
      <c r="AY160" s="33">
        <f>IF($A160=AY$83, 0, distance(VLOOKUP($A160,Cuision!$G:$P,9,FALSE),VLOOKUP($A160,Cuision!$G:$P,10,FALSE),VLOOKUP(AY$83,Cuision!$G:$P,9,FALSE),VLOOKUP(AY$83,Cuision!$G:$P,10,FALSE)))</f>
        <v>-1</v>
      </c>
      <c r="AZ160" s="33">
        <f>IF($A160=AZ$83, 0, distance(VLOOKUP($A160,Cuision!$G:$P,9,FALSE),VLOOKUP($A160,Cuision!$G:$P,10,FALSE),VLOOKUP(AZ$83,Cuision!$G:$P,9,FALSE),VLOOKUP(AZ$83,Cuision!$G:$P,10,FALSE)))</f>
        <v>-1</v>
      </c>
      <c r="BA160" s="33">
        <f>IF($A160=BA$83, 0, distance(VLOOKUP($A160,Cuision!$G:$P,9,FALSE),VLOOKUP($A160,Cuision!$G:$P,10,FALSE),VLOOKUP(BA$83,Cuision!$G:$P,9,FALSE),VLOOKUP(BA$83,Cuision!$G:$P,10,FALSE)))</f>
        <v>-1</v>
      </c>
      <c r="BB160" s="33">
        <f>IF($A160=BB$83, 0, distance(VLOOKUP($A160,Cuision!$G:$P,9,FALSE),VLOOKUP($A160,Cuision!$G:$P,10,FALSE),VLOOKUP(BB$83,Cuision!$G:$P,9,FALSE),VLOOKUP(BB$83,Cuision!$G:$P,10,FALSE)))</f>
        <v>-1</v>
      </c>
      <c r="BC160" s="33">
        <f>IF($A160=BC$83, 0, distance(VLOOKUP($A160,Cuision!$G:$P,9,FALSE),VLOOKUP($A160,Cuision!$G:$P,10,FALSE),VLOOKUP(BC$83,Cuision!$G:$P,9,FALSE),VLOOKUP(BC$83,Cuision!$G:$P,10,FALSE)))</f>
        <v>-1</v>
      </c>
      <c r="BD160" s="33">
        <f>IF($A160=BD$83, 0, distance(VLOOKUP($A160,Cuision!$G:$P,9,FALSE),VLOOKUP($A160,Cuision!$G:$P,10,FALSE),VLOOKUP(BD$83,Cuision!$G:$P,9,FALSE),VLOOKUP(BD$83,Cuision!$G:$P,10,FALSE)))</f>
        <v>-1</v>
      </c>
      <c r="BE160" s="33">
        <f>IF($A160=BE$83, 0, distance(VLOOKUP($A160,Cuision!$G:$P,9,FALSE),VLOOKUP($A160,Cuision!$G:$P,10,FALSE),VLOOKUP(BE$83,Cuision!$G:$P,9,FALSE),VLOOKUP(BE$83,Cuision!$G:$P,10,FALSE)))</f>
        <v>-1</v>
      </c>
      <c r="BF160" s="33">
        <f>IF($A160=BF$83, 0, distance(VLOOKUP($A160,Cuision!$G:$P,9,FALSE),VLOOKUP($A160,Cuision!$G:$P,10,FALSE),VLOOKUP(BF$83,Cuision!$G:$P,9,FALSE),VLOOKUP(BF$83,Cuision!$G:$P,10,FALSE)))</f>
        <v>-1</v>
      </c>
      <c r="BG160" s="33">
        <f>IF($A160=BG$83, 0, distance(VLOOKUP($A160,Cuision!$G:$P,9,FALSE),VLOOKUP($A160,Cuision!$G:$P,10,FALSE),VLOOKUP(BG$83,Cuision!$G:$P,9,FALSE),VLOOKUP(BG$83,Cuision!$G:$P,10,FALSE)))</f>
        <v>-1</v>
      </c>
      <c r="BH160" s="33">
        <f>IF($A160=BH$83, 0, distance(VLOOKUP($A160,Cuision!$G:$P,9,FALSE),VLOOKUP($A160,Cuision!$G:$P,10,FALSE),VLOOKUP(BH$83,Cuision!$G:$P,9,FALSE),VLOOKUP(BH$83,Cuision!$G:$P,10,FALSE)))</f>
        <v>-1</v>
      </c>
      <c r="BI160" s="33">
        <f>IF($A160=BI$83, 0, distance(VLOOKUP($A160,Cuision!$G:$P,9,FALSE),VLOOKUP($A160,Cuision!$G:$P,10,FALSE),VLOOKUP(BI$83,Cuision!$G:$P,9,FALSE),VLOOKUP(BI$83,Cuision!$G:$P,10,FALSE)))</f>
        <v>-1</v>
      </c>
      <c r="BJ160" s="33">
        <f>IF($A160=BJ$83, 0, distance(VLOOKUP($A160,Cuision!$G:$P,9,FALSE),VLOOKUP($A160,Cuision!$G:$P,10,FALSE),VLOOKUP(BJ$83,Cuision!$G:$P,9,FALSE),VLOOKUP(BJ$83,Cuision!$G:$P,10,FALSE)))</f>
        <v>-1</v>
      </c>
      <c r="BK160" s="33">
        <f>IF($A160=BK$83, 0, distance(VLOOKUP($A160,Cuision!$G:$P,9,FALSE),VLOOKUP($A160,Cuision!$G:$P,10,FALSE),VLOOKUP(BK$83,Cuision!$G:$P,9,FALSE),VLOOKUP(BK$83,Cuision!$G:$P,10,FALSE)))</f>
        <v>-1</v>
      </c>
      <c r="BL160" s="33">
        <f>IF($A160=BL$83, 0, distance(VLOOKUP($A160,Cuision!$G:$P,9,FALSE),VLOOKUP($A160,Cuision!$G:$P,10,FALSE),VLOOKUP(BL$83,Cuision!$G:$P,9,FALSE),VLOOKUP(BL$83,Cuision!$G:$P,10,FALSE)))</f>
        <v>-1</v>
      </c>
      <c r="BM160" s="33">
        <f>IF($A160=BM$83, 0, distance(VLOOKUP($A160,Cuision!$G:$P,9,FALSE),VLOOKUP($A160,Cuision!$G:$P,10,FALSE),VLOOKUP(BM$83,Cuision!$G:$P,9,FALSE),VLOOKUP(BM$83,Cuision!$G:$P,10,FALSE)))</f>
        <v>-1</v>
      </c>
      <c r="BN160" s="33">
        <f>IF($A160=BN$83, 0, distance(VLOOKUP($A160,Cuision!$G:$P,9,FALSE),VLOOKUP($A160,Cuision!$G:$P,10,FALSE),VLOOKUP(BN$83,Cuision!$G:$P,9,FALSE),VLOOKUP(BN$83,Cuision!$G:$P,10,FALSE)))</f>
        <v>-1</v>
      </c>
      <c r="BO160" s="33">
        <f>IF($A160=BO$83, 0, distance(VLOOKUP($A160,Cuision!$G:$P,9,FALSE),VLOOKUP($A160,Cuision!$G:$P,10,FALSE),VLOOKUP(BO$83,Cuision!$G:$P,9,FALSE),VLOOKUP(BO$83,Cuision!$G:$P,10,FALSE)))</f>
        <v>-1</v>
      </c>
      <c r="BP160" s="33">
        <f>IF($A160=BP$83, 0, distance(VLOOKUP($A160,Cuision!$G:$P,9,FALSE),VLOOKUP($A160,Cuision!$G:$P,10,FALSE),VLOOKUP(BP$83,Cuision!$G:$P,9,FALSE),VLOOKUP(BP$83,Cuision!$G:$P,10,FALSE)))</f>
        <v>-1</v>
      </c>
      <c r="BQ160" s="33">
        <f>IF($A160=BQ$83, 0, distance(VLOOKUP($A160,Cuision!$G:$P,9,FALSE),VLOOKUP($A160,Cuision!$G:$P,10,FALSE),VLOOKUP(BQ$83,Cuision!$G:$P,9,FALSE),VLOOKUP(BQ$83,Cuision!$G:$P,10,FALSE)))</f>
        <v>-1</v>
      </c>
      <c r="BR160" s="33">
        <f>IF($A160=BR$83, 0, distance(VLOOKUP($A160,Cuision!$G:$P,9,FALSE),VLOOKUP($A160,Cuision!$G:$P,10,FALSE),VLOOKUP(BR$83,Cuision!$G:$P,9,FALSE),VLOOKUP(BR$83,Cuision!$G:$P,10,FALSE)))</f>
        <v>-1</v>
      </c>
      <c r="BS160" s="33">
        <f>IF($A160=BS$83, 0, distance(VLOOKUP($A160,Cuision!$G:$P,9,FALSE),VLOOKUP($A160,Cuision!$G:$P,10,FALSE),VLOOKUP(BS$83,Cuision!$G:$P,9,FALSE),VLOOKUP(BS$83,Cuision!$G:$P,10,FALSE)))</f>
        <v>-1</v>
      </c>
      <c r="BT160" s="33">
        <f>IF($A160=BT$83, 0, distance(VLOOKUP($A160,Cuision!$G:$P,9,FALSE),VLOOKUP($A160,Cuision!$G:$P,10,FALSE),VLOOKUP(BT$83,Cuision!$G:$P,9,FALSE),VLOOKUP(BT$83,Cuision!$G:$P,10,FALSE)))</f>
        <v>-1</v>
      </c>
      <c r="BU160" s="33">
        <f>IF($A160=BU$83, 0, distance(VLOOKUP($A160,Cuision!$G:$P,9,FALSE),VLOOKUP($A160,Cuision!$G:$P,10,FALSE),VLOOKUP(BU$83,Cuision!$G:$P,9,FALSE),VLOOKUP(BU$83,Cuision!$G:$P,10,FALSE)))</f>
        <v>-1</v>
      </c>
      <c r="BV160" s="33">
        <f>IF($A160=BV$83, 0, distance(VLOOKUP($A160,Cuision!$G:$P,9,FALSE),VLOOKUP($A160,Cuision!$G:$P,10,FALSE),VLOOKUP(BV$83,Cuision!$G:$P,9,FALSE),VLOOKUP(BV$83,Cuision!$G:$P,10,FALSE)))</f>
        <v>-1</v>
      </c>
      <c r="BW160" s="33">
        <f>IF($A160=BW$83, 0, distance(VLOOKUP($A160,Cuision!$G:$P,9,FALSE),VLOOKUP($A160,Cuision!$G:$P,10,FALSE),VLOOKUP(BW$83,Cuision!$G:$P,9,FALSE),VLOOKUP(BW$83,Cuision!$G:$P,10,FALSE)))</f>
        <v>-1</v>
      </c>
      <c r="BX160" s="33">
        <f>IF($A160=BX$83, 0, distance(VLOOKUP($A160,Cuision!$G:$P,9,FALSE),VLOOKUP($A160,Cuision!$G:$P,10,FALSE),VLOOKUP(BX$83,Cuision!$G:$P,9,FALSE),VLOOKUP(BX$83,Cuision!$G:$P,10,FALSE)))</f>
        <v>-1</v>
      </c>
      <c r="BY160" s="33">
        <f>IF($A160=BY$83, 0, distance(VLOOKUP($A160,Cuision!$G:$P,9,FALSE),VLOOKUP($A160,Cuision!$G:$P,10,FALSE),VLOOKUP(BY$83,Cuision!$G:$P,9,FALSE),VLOOKUP(BY$83,Cuision!$G:$P,10,FALSE)))</f>
        <v>-1</v>
      </c>
      <c r="BZ160" s="33">
        <f>IF($A160=BZ$83, 0, distance(VLOOKUP($A160,Cuision!$G:$P,9,FALSE),VLOOKUP($A160,Cuision!$G:$P,10,FALSE),VLOOKUP(BZ$83,Cuision!$G:$P,9,FALSE),VLOOKUP(BZ$83,Cuision!$G:$P,10,FALSE)))</f>
        <v>0</v>
      </c>
      <c r="CA160" s="33">
        <f>IF($A160=CA$83, 0, distance(VLOOKUP($A160,Cuision!$G:$P,9,FALSE),VLOOKUP($A160,Cuision!$G:$P,10,FALSE),VLOOKUP(CA$83,Cuision!$G:$P,9,FALSE),VLOOKUP(CA$83,Cuision!$G:$P,10,FALSE)))</f>
        <v>-1</v>
      </c>
    </row>
    <row r="161" spans="1:79" ht="14.25" x14ac:dyDescent="0.2">
      <c r="A161" s="30" t="s">
        <v>131</v>
      </c>
      <c r="B161" s="33">
        <f>IF($A161=B$83, 0, distance(VLOOKUP($A161,Cuision!$G:$P,9,FALSE),VLOOKUP($A161,Cuision!$G:$P,10,FALSE),VLOOKUP(B$83,Cuision!$G:$P,9,FALSE),VLOOKUP(B$83,Cuision!$G:$P,10,FALSE)))</f>
        <v>2411.3674663989377</v>
      </c>
      <c r="C161" s="33">
        <f>IF($A161=C$83, 0, distance(VLOOKUP($A161,Cuision!$G:$P,9,FALSE),VLOOKUP($A161,Cuision!$G:$P,10,FALSE),VLOOKUP(C$83,Cuision!$G:$P,9,FALSE),VLOOKUP(C$83,Cuision!$G:$P,10,FALSE)))</f>
        <v>5256.570102831658</v>
      </c>
      <c r="D161" s="33">
        <f>IF($A161=D$83, 0, distance(VLOOKUP($A161,Cuision!$G:$P,9,FALSE),VLOOKUP($A161,Cuision!$G:$P,10,FALSE),VLOOKUP(D$83,Cuision!$G:$P,9,FALSE),VLOOKUP(D$83,Cuision!$G:$P,10,FALSE)))</f>
        <v>8292.1310430124922</v>
      </c>
      <c r="E161" s="33">
        <f>IF($A161=E$83, 0, distance(VLOOKUP($A161,Cuision!$G:$P,9,FALSE),VLOOKUP($A161,Cuision!$G:$P,10,FALSE),VLOOKUP(E$83,Cuision!$G:$P,9,FALSE),VLOOKUP(E$83,Cuision!$G:$P,10,FALSE)))</f>
        <v>8292.1310430124922</v>
      </c>
      <c r="F161" s="33">
        <f>IF($A161=F$83, 0, distance(VLOOKUP($A161,Cuision!$G:$P,9,FALSE),VLOOKUP($A161,Cuision!$G:$P,10,FALSE),VLOOKUP(F$83,Cuision!$G:$P,9,FALSE),VLOOKUP(F$83,Cuision!$G:$P,10,FALSE)))</f>
        <v>3953.220892070327</v>
      </c>
      <c r="G161" s="33">
        <f>IF($A161=G$83, 0, distance(VLOOKUP($A161,Cuision!$G:$P,9,FALSE),VLOOKUP($A161,Cuision!$G:$P,10,FALSE),VLOOKUP(G$83,Cuision!$G:$P,9,FALSE),VLOOKUP(G$83,Cuision!$G:$P,10,FALSE)))</f>
        <v>11093.777330095552</v>
      </c>
      <c r="H161" s="33">
        <f>IF($A161=H$83, 0, distance(VLOOKUP($A161,Cuision!$G:$P,9,FALSE),VLOOKUP($A161,Cuision!$G:$P,10,FALSE),VLOOKUP(H$83,Cuision!$G:$P,9,FALSE),VLOOKUP(H$83,Cuision!$G:$P,10,FALSE)))</f>
        <v>3799.9130153601809</v>
      </c>
      <c r="I161" s="33">
        <f>IF($A161=I$83, 0, distance(VLOOKUP($A161,Cuision!$G:$P,9,FALSE),VLOOKUP($A161,Cuision!$G:$P,10,FALSE),VLOOKUP(I$83,Cuision!$G:$P,9,FALSE),VLOOKUP(I$83,Cuision!$G:$P,10,FALSE)))</f>
        <v>954.79775155645973</v>
      </c>
      <c r="J161" s="33">
        <f>IF($A161=J$83, 0, distance(VLOOKUP($A161,Cuision!$G:$P,9,FALSE),VLOOKUP($A161,Cuision!$G:$P,10,FALSE),VLOOKUP(J$83,Cuision!$G:$P,9,FALSE),VLOOKUP(J$83,Cuision!$G:$P,10,FALSE)))</f>
        <v>4813.2158243217291</v>
      </c>
      <c r="K161" s="33">
        <f>IF($A161=K$83, 0, distance(VLOOKUP($A161,Cuision!$G:$P,9,FALSE),VLOOKUP($A161,Cuision!$G:$P,10,FALSE),VLOOKUP(K$83,Cuision!$G:$P,9,FALSE),VLOOKUP(K$83,Cuision!$G:$P,10,FALSE)))</f>
        <v>5122.7205988206788</v>
      </c>
      <c r="L161" s="33">
        <f>IF($A161=L$83, 0, distance(VLOOKUP($A161,Cuision!$G:$P,9,FALSE),VLOOKUP($A161,Cuision!$G:$P,10,FALSE),VLOOKUP(L$83,Cuision!$G:$P,9,FALSE),VLOOKUP(L$83,Cuision!$G:$P,10,FALSE)))</f>
        <v>1002.6725341233176</v>
      </c>
      <c r="M161" s="33">
        <f>IF($A161=M$83, 0, distance(VLOOKUP($A161,Cuision!$G:$P,9,FALSE),VLOOKUP($A161,Cuision!$G:$P,10,FALSE),VLOOKUP(M$83,Cuision!$G:$P,9,FALSE),VLOOKUP(M$83,Cuision!$G:$P,10,FALSE)))</f>
        <v>-1</v>
      </c>
      <c r="N161" s="33">
        <f>IF($A161=N$83, 0, distance(VLOOKUP($A161,Cuision!$G:$P,9,FALSE),VLOOKUP($A161,Cuision!$G:$P,10,FALSE),VLOOKUP(N$83,Cuision!$G:$P,9,FALSE),VLOOKUP(N$83,Cuision!$G:$P,10,FALSE)))</f>
        <v>6238.3511882028179</v>
      </c>
      <c r="O161" s="33">
        <f>IF($A161=O$83, 0, distance(VLOOKUP($A161,Cuision!$G:$P,9,FALSE),VLOOKUP($A161,Cuision!$G:$P,10,FALSE),VLOOKUP(O$83,Cuision!$G:$P,9,FALSE),VLOOKUP(O$83,Cuision!$G:$P,10,FALSE)))</f>
        <v>5578.9038602156088</v>
      </c>
      <c r="P161" s="33">
        <f>IF($A161=P$83, 0, distance(VLOOKUP($A161,Cuision!$G:$P,9,FALSE),VLOOKUP($A161,Cuision!$G:$P,10,FALSE),VLOOKUP(P$83,Cuision!$G:$P,9,FALSE),VLOOKUP(P$83,Cuision!$G:$P,10,FALSE)))</f>
        <v>10681.198358644449</v>
      </c>
      <c r="Q161" s="33">
        <f>IF($A161=Q$83, 0, distance(VLOOKUP($A161,Cuision!$G:$P,9,FALSE),VLOOKUP($A161,Cuision!$G:$P,10,FALSE),VLOOKUP(Q$83,Cuision!$G:$P,9,FALSE),VLOOKUP(Q$83,Cuision!$G:$P,10,FALSE)))</f>
        <v>-1</v>
      </c>
      <c r="R161" s="33">
        <f>IF($A161=R$83, 0, distance(VLOOKUP($A161,Cuision!$G:$P,9,FALSE),VLOOKUP($A161,Cuision!$G:$P,10,FALSE),VLOOKUP(R$83,Cuision!$G:$P,9,FALSE),VLOOKUP(R$83,Cuision!$G:$P,10,FALSE)))</f>
        <v>5738.2829531316083</v>
      </c>
      <c r="S161" s="33">
        <f>IF($A161=S$83, 0, distance(VLOOKUP($A161,Cuision!$G:$P,9,FALSE),VLOOKUP($A161,Cuision!$G:$P,10,FALSE),VLOOKUP(S$83,Cuision!$G:$P,9,FALSE),VLOOKUP(S$83,Cuision!$G:$P,10,FALSE)))</f>
        <v>-1</v>
      </c>
      <c r="T161" s="33">
        <f>IF($A161=T$83, 0, distance(VLOOKUP($A161,Cuision!$G:$P,9,FALSE),VLOOKUP($A161,Cuision!$G:$P,10,FALSE),VLOOKUP(T$83,Cuision!$G:$P,9,FALSE),VLOOKUP(T$83,Cuision!$G:$P,10,FALSE)))</f>
        <v>634.83318216662462</v>
      </c>
      <c r="U161" s="33">
        <f>IF($A161=U$83, 0, distance(VLOOKUP($A161,Cuision!$G:$P,9,FALSE),VLOOKUP($A161,Cuision!$G:$P,10,FALSE),VLOOKUP(U$83,Cuision!$G:$P,9,FALSE),VLOOKUP(U$83,Cuision!$G:$P,10,FALSE)))</f>
        <v>-1</v>
      </c>
      <c r="V161" s="33">
        <f>IF($A161=V$83, 0, distance(VLOOKUP($A161,Cuision!$G:$P,9,FALSE),VLOOKUP($A161,Cuision!$G:$P,10,FALSE),VLOOKUP(V$83,Cuision!$G:$P,9,FALSE),VLOOKUP(V$83,Cuision!$G:$P,10,FALSE)))</f>
        <v>8292.1310430124922</v>
      </c>
      <c r="W161" s="33">
        <f>IF($A161=W$83, 0, distance(VLOOKUP($A161,Cuision!$G:$P,9,FALSE),VLOOKUP($A161,Cuision!$G:$P,10,FALSE),VLOOKUP(W$83,Cuision!$G:$P,9,FALSE),VLOOKUP(W$83,Cuision!$G:$P,10,FALSE)))</f>
        <v>656.42472954384175</v>
      </c>
      <c r="X161" s="33">
        <f>IF($A161=X$83, 0, distance(VLOOKUP($A161,Cuision!$G:$P,9,FALSE),VLOOKUP($A161,Cuision!$G:$P,10,FALSE),VLOOKUP(X$83,Cuision!$G:$P,9,FALSE),VLOOKUP(X$83,Cuision!$G:$P,10,FALSE)))</f>
        <v>6238.3511882028179</v>
      </c>
      <c r="Y161" s="33">
        <f>IF($A161=Y$83, 0, distance(VLOOKUP($A161,Cuision!$G:$P,9,FALSE),VLOOKUP($A161,Cuision!$G:$P,10,FALSE),VLOOKUP(Y$83,Cuision!$G:$P,9,FALSE),VLOOKUP(Y$83,Cuision!$G:$P,10,FALSE)))</f>
        <v>1446.079828612139</v>
      </c>
      <c r="Z161" s="33">
        <f>IF($A161=Z$83, 0, distance(VLOOKUP($A161,Cuision!$G:$P,9,FALSE),VLOOKUP($A161,Cuision!$G:$P,10,FALSE),VLOOKUP(Z$83,Cuision!$G:$P,9,FALSE),VLOOKUP(Z$83,Cuision!$G:$P,10,FALSE)))</f>
        <v>-1</v>
      </c>
      <c r="AA161" s="33">
        <f>IF($A161=AA$83, 0, distance(VLOOKUP($A161,Cuision!$G:$P,9,FALSE),VLOOKUP($A161,Cuision!$G:$P,10,FALSE),VLOOKUP(AA$83,Cuision!$G:$P,9,FALSE),VLOOKUP(AA$83,Cuision!$G:$P,10,FALSE)))</f>
        <v>9336.0773324969159</v>
      </c>
      <c r="AB161" s="33">
        <f>IF($A161=AB$83, 0, distance(VLOOKUP($A161,Cuision!$G:$P,9,FALSE),VLOOKUP($A161,Cuision!$G:$P,10,FALSE),VLOOKUP(AB$83,Cuision!$G:$P,9,FALSE),VLOOKUP(AB$83,Cuision!$G:$P,10,FALSE)))</f>
        <v>5175.6956223535408</v>
      </c>
      <c r="AC161" s="33">
        <f>IF($A161=AC$83, 0, distance(VLOOKUP($A161,Cuision!$G:$P,9,FALSE),VLOOKUP($A161,Cuision!$G:$P,10,FALSE),VLOOKUP(AC$83,Cuision!$G:$P,9,FALSE),VLOOKUP(AC$83,Cuision!$G:$P,10,FALSE)))</f>
        <v>4523.5298561902227</v>
      </c>
      <c r="AD161" s="33">
        <f>IF($A161=AD$83, 0, distance(VLOOKUP($A161,Cuision!$G:$P,9,FALSE),VLOOKUP($A161,Cuision!$G:$P,10,FALSE),VLOOKUP(AD$83,Cuision!$G:$P,9,FALSE),VLOOKUP(AD$83,Cuision!$G:$P,10,FALSE)))</f>
        <v>1089.330837181406</v>
      </c>
      <c r="AE161" s="33">
        <f>IF($A161=AE$83, 0, distance(VLOOKUP($A161,Cuision!$G:$P,9,FALSE),VLOOKUP($A161,Cuision!$G:$P,10,FALSE),VLOOKUP(AE$83,Cuision!$G:$P,9,FALSE),VLOOKUP(AE$83,Cuision!$G:$P,10,FALSE)))</f>
        <v>5049.1805626918585</v>
      </c>
      <c r="AF161" s="33">
        <f>IF($A161=AF$83, 0, distance(VLOOKUP($A161,Cuision!$G:$P,9,FALSE),VLOOKUP($A161,Cuision!$G:$P,10,FALSE),VLOOKUP(AF$83,Cuision!$G:$P,9,FALSE),VLOOKUP(AF$83,Cuision!$G:$P,10,FALSE)))</f>
        <v>5714.7811342704717</v>
      </c>
      <c r="AG161" s="33">
        <f>IF($A161=AG$83, 0, distance(VLOOKUP($A161,Cuision!$G:$P,9,FALSE),VLOOKUP($A161,Cuision!$G:$P,10,FALSE),VLOOKUP(AG$83,Cuision!$G:$P,9,FALSE),VLOOKUP(AG$83,Cuision!$G:$P,10,FALSE)))</f>
        <v>5174.5933036480901</v>
      </c>
      <c r="AH161" s="33">
        <f>IF($A161=AH$83, 0, distance(VLOOKUP($A161,Cuision!$G:$P,9,FALSE),VLOOKUP($A161,Cuision!$G:$P,10,FALSE),VLOOKUP(AH$83,Cuision!$G:$P,9,FALSE),VLOOKUP(AH$83,Cuision!$G:$P,10,FALSE)))</f>
        <v>-1</v>
      </c>
      <c r="AI161" s="33">
        <f>IF($A161=AI$83, 0, distance(VLOOKUP($A161,Cuision!$G:$P,9,FALSE),VLOOKUP($A161,Cuision!$G:$P,10,FALSE),VLOOKUP(AI$83,Cuision!$G:$P,9,FALSE),VLOOKUP(AI$83,Cuision!$G:$P,10,FALSE)))</f>
        <v>4921.954112484641</v>
      </c>
      <c r="AJ161" s="33">
        <f>IF($A161=AJ$83, 0, distance(VLOOKUP($A161,Cuision!$G:$P,9,FALSE),VLOOKUP($A161,Cuision!$G:$P,10,FALSE),VLOOKUP(AJ$83,Cuision!$G:$P,9,FALSE),VLOOKUP(AJ$83,Cuision!$G:$P,10,FALSE)))</f>
        <v>3953.220892070327</v>
      </c>
      <c r="AK161" s="33">
        <f>IF($A161=AK$83, 0, distance(VLOOKUP($A161,Cuision!$G:$P,9,FALSE),VLOOKUP($A161,Cuision!$G:$P,10,FALSE),VLOOKUP(AK$83,Cuision!$G:$P,9,FALSE),VLOOKUP(AK$83,Cuision!$G:$P,10,FALSE)))</f>
        <v>6253.0715680942812</v>
      </c>
      <c r="AL161" s="33">
        <f>IF($A161=AL$83, 0, distance(VLOOKUP($A161,Cuision!$G:$P,9,FALSE),VLOOKUP($A161,Cuision!$G:$P,10,FALSE),VLOOKUP(AL$83,Cuision!$G:$P,9,FALSE),VLOOKUP(AL$83,Cuision!$G:$P,10,FALSE)))</f>
        <v>1369.2600018365979</v>
      </c>
      <c r="AM161" s="33">
        <f>IF($A161=AM$83, 0, distance(VLOOKUP($A161,Cuision!$G:$P,9,FALSE),VLOOKUP($A161,Cuision!$G:$P,10,FALSE),VLOOKUP(AM$83,Cuision!$G:$P,9,FALSE),VLOOKUP(AM$83,Cuision!$G:$P,10,FALSE)))</f>
        <v>-1</v>
      </c>
      <c r="AN161" s="33">
        <f>IF($A161=AN$83, 0, distance(VLOOKUP($A161,Cuision!$G:$P,9,FALSE),VLOOKUP($A161,Cuision!$G:$P,10,FALSE),VLOOKUP(AN$83,Cuision!$G:$P,9,FALSE),VLOOKUP(AN$83,Cuision!$G:$P,10,FALSE)))</f>
        <v>5013.3662122240867</v>
      </c>
      <c r="AO161" s="33">
        <f>IF($A161=AO$83, 0, distance(VLOOKUP($A161,Cuision!$G:$P,9,FALSE),VLOOKUP($A161,Cuision!$G:$P,10,FALSE),VLOOKUP(AO$83,Cuision!$G:$P,9,FALSE),VLOOKUP(AO$83,Cuision!$G:$P,10,FALSE)))</f>
        <v>6238.3511882028179</v>
      </c>
      <c r="AP161" s="33">
        <f>IF($A161=AP$83, 0, distance(VLOOKUP($A161,Cuision!$G:$P,9,FALSE),VLOOKUP($A161,Cuision!$G:$P,10,FALSE),VLOOKUP(AP$83,Cuision!$G:$P,9,FALSE),VLOOKUP(AP$83,Cuision!$G:$P,10,FALSE)))</f>
        <v>1864.8724647689835</v>
      </c>
      <c r="AQ161" s="33">
        <f>IF($A161=AQ$83, 0, distance(VLOOKUP($A161,Cuision!$G:$P,9,FALSE),VLOOKUP($A161,Cuision!$G:$P,10,FALSE),VLOOKUP(AQ$83,Cuision!$G:$P,9,FALSE),VLOOKUP(AQ$83,Cuision!$G:$P,10,FALSE)))</f>
        <v>1882.5676451489298</v>
      </c>
      <c r="AR161" s="33">
        <f>IF($A161=AR$83, 0, distance(VLOOKUP($A161,Cuision!$G:$P,9,FALSE),VLOOKUP($A161,Cuision!$G:$P,10,FALSE),VLOOKUP(AR$83,Cuision!$G:$P,9,FALSE),VLOOKUP(AR$83,Cuision!$G:$P,10,FALSE)))</f>
        <v>5738.2829531316083</v>
      </c>
      <c r="AS161" s="33">
        <f>IF($A161=AS$83, 0, distance(VLOOKUP($A161,Cuision!$G:$P,9,FALSE),VLOOKUP($A161,Cuision!$G:$P,10,FALSE),VLOOKUP(AS$83,Cuision!$G:$P,9,FALSE),VLOOKUP(AS$83,Cuision!$G:$P,10,FALSE)))</f>
        <v>5425.9655285165791</v>
      </c>
      <c r="AT161" s="33">
        <f>IF($A161=AT$83, 0, distance(VLOOKUP($A161,Cuision!$G:$P,9,FALSE),VLOOKUP($A161,Cuision!$G:$P,10,FALSE),VLOOKUP(AT$83,Cuision!$G:$P,9,FALSE),VLOOKUP(AT$83,Cuision!$G:$P,10,FALSE)))</f>
        <v>2278.3383622276137</v>
      </c>
      <c r="AU161" s="33">
        <f>IF($A161=AU$83, 0, distance(VLOOKUP($A161,Cuision!$G:$P,9,FALSE),VLOOKUP($A161,Cuision!$G:$P,10,FALSE),VLOOKUP(AU$83,Cuision!$G:$P,9,FALSE),VLOOKUP(AU$83,Cuision!$G:$P,10,FALSE)))</f>
        <v>1703.9454860103749</v>
      </c>
      <c r="AV161" s="33">
        <f>IF($A161=AV$83, 0, distance(VLOOKUP($A161,Cuision!$G:$P,9,FALSE),VLOOKUP($A161,Cuision!$G:$P,10,FALSE),VLOOKUP(AV$83,Cuision!$G:$P,9,FALSE),VLOOKUP(AV$83,Cuision!$G:$P,10,FALSE)))</f>
        <v>4518.8801870675716</v>
      </c>
      <c r="AW161" s="33">
        <f>IF($A161=AW$83, 0, distance(VLOOKUP($A161,Cuision!$G:$P,9,FALSE),VLOOKUP($A161,Cuision!$G:$P,10,FALSE),VLOOKUP(AW$83,Cuision!$G:$P,9,FALSE),VLOOKUP(AW$83,Cuision!$G:$P,10,FALSE)))</f>
        <v>298.19080434782813</v>
      </c>
      <c r="AX161" s="33">
        <f>IF($A161=AX$83, 0, distance(VLOOKUP($A161,Cuision!$G:$P,9,FALSE),VLOOKUP($A161,Cuision!$G:$P,10,FALSE),VLOOKUP(AX$83,Cuision!$G:$P,9,FALSE),VLOOKUP(AX$83,Cuision!$G:$P,10,FALSE)))</f>
        <v>11003.146424960711</v>
      </c>
      <c r="AY161" s="33">
        <f>IF($A161=AY$83, 0, distance(VLOOKUP($A161,Cuision!$G:$P,9,FALSE),VLOOKUP($A161,Cuision!$G:$P,10,FALSE),VLOOKUP(AY$83,Cuision!$G:$P,9,FALSE),VLOOKUP(AY$83,Cuision!$G:$P,10,FALSE)))</f>
        <v>-1</v>
      </c>
      <c r="AZ161" s="33">
        <f>IF($A161=AZ$83, 0, distance(VLOOKUP($A161,Cuision!$G:$P,9,FALSE),VLOOKUP($A161,Cuision!$G:$P,10,FALSE),VLOOKUP(AZ$83,Cuision!$G:$P,9,FALSE),VLOOKUP(AZ$83,Cuision!$G:$P,10,FALSE)))</f>
        <v>1266.4592720236628</v>
      </c>
      <c r="BA161" s="33">
        <f>IF($A161=BA$83, 0, distance(VLOOKUP($A161,Cuision!$G:$P,9,FALSE),VLOOKUP($A161,Cuision!$G:$P,10,FALSE),VLOOKUP(BA$83,Cuision!$G:$P,9,FALSE),VLOOKUP(BA$83,Cuision!$G:$P,10,FALSE)))</f>
        <v>5286.953061046197</v>
      </c>
      <c r="BB161" s="33">
        <f>IF($A161=BB$83, 0, distance(VLOOKUP($A161,Cuision!$G:$P,9,FALSE),VLOOKUP($A161,Cuision!$G:$P,10,FALSE),VLOOKUP(BB$83,Cuision!$G:$P,9,FALSE),VLOOKUP(BB$83,Cuision!$G:$P,10,FALSE)))</f>
        <v>9171.1029398735627</v>
      </c>
      <c r="BC161" s="33">
        <f>IF($A161=BC$83, 0, distance(VLOOKUP($A161,Cuision!$G:$P,9,FALSE),VLOOKUP($A161,Cuision!$G:$P,10,FALSE),VLOOKUP(BC$83,Cuision!$G:$P,9,FALSE),VLOOKUP(BC$83,Cuision!$G:$P,10,FALSE)))</f>
        <v>3953.220892070327</v>
      </c>
      <c r="BD161" s="33">
        <f>IF($A161=BD$83, 0, distance(VLOOKUP($A161,Cuision!$G:$P,9,FALSE),VLOOKUP($A161,Cuision!$G:$P,10,FALSE),VLOOKUP(BD$83,Cuision!$G:$P,9,FALSE),VLOOKUP(BD$83,Cuision!$G:$P,10,FALSE)))</f>
        <v>1858.7320327475625</v>
      </c>
      <c r="BE161" s="33">
        <f>IF($A161=BE$83, 0, distance(VLOOKUP($A161,Cuision!$G:$P,9,FALSE),VLOOKUP($A161,Cuision!$G:$P,10,FALSE),VLOOKUP(BE$83,Cuision!$G:$P,9,FALSE),VLOOKUP(BE$83,Cuision!$G:$P,10,FALSE)))</f>
        <v>6605.0760570647917</v>
      </c>
      <c r="BF161" s="33">
        <f>IF($A161=BF$83, 0, distance(VLOOKUP($A161,Cuision!$G:$P,9,FALSE),VLOOKUP($A161,Cuision!$G:$P,10,FALSE),VLOOKUP(BF$83,Cuision!$G:$P,9,FALSE),VLOOKUP(BF$83,Cuision!$G:$P,10,FALSE)))</f>
        <v>2183.0797051967866</v>
      </c>
      <c r="BG161" s="33">
        <f>IF($A161=BG$83, 0, distance(VLOOKUP($A161,Cuision!$G:$P,9,FALSE),VLOOKUP($A161,Cuision!$G:$P,10,FALSE),VLOOKUP(BG$83,Cuision!$G:$P,9,FALSE),VLOOKUP(BG$83,Cuision!$G:$P,10,FALSE)))</f>
        <v>3415.1189385176763</v>
      </c>
      <c r="BH161" s="33">
        <f>IF($A161=BH$83, 0, distance(VLOOKUP($A161,Cuision!$G:$P,9,FALSE),VLOOKUP($A161,Cuision!$G:$P,10,FALSE),VLOOKUP(BH$83,Cuision!$G:$P,9,FALSE),VLOOKUP(BH$83,Cuision!$G:$P,10,FALSE)))</f>
        <v>11787.376156111419</v>
      </c>
      <c r="BI161" s="33">
        <f>IF($A161=BI$83, 0, distance(VLOOKUP($A161,Cuision!$G:$P,9,FALSE),VLOOKUP($A161,Cuision!$G:$P,10,FALSE),VLOOKUP(BI$83,Cuision!$G:$P,9,FALSE),VLOOKUP(BI$83,Cuision!$G:$P,10,FALSE)))</f>
        <v>4865.5876942176601</v>
      </c>
      <c r="BJ161" s="33">
        <f>IF($A161=BJ$83, 0, distance(VLOOKUP($A161,Cuision!$G:$P,9,FALSE),VLOOKUP($A161,Cuision!$G:$P,10,FALSE),VLOOKUP(BJ$83,Cuision!$G:$P,9,FALSE),VLOOKUP(BJ$83,Cuision!$G:$P,10,FALSE)))</f>
        <v>6547.3410334943455</v>
      </c>
      <c r="BK161" s="33">
        <f>IF($A161=BK$83, 0, distance(VLOOKUP($A161,Cuision!$G:$P,9,FALSE),VLOOKUP($A161,Cuision!$G:$P,10,FALSE),VLOOKUP(BK$83,Cuision!$G:$P,9,FALSE),VLOOKUP(BK$83,Cuision!$G:$P,10,FALSE)))</f>
        <v>4184.5004820609838</v>
      </c>
      <c r="BL161" s="33">
        <f>IF($A161=BL$83, 0, distance(VLOOKUP($A161,Cuision!$G:$P,9,FALSE),VLOOKUP($A161,Cuision!$G:$P,10,FALSE),VLOOKUP(BL$83,Cuision!$G:$P,9,FALSE),VLOOKUP(BL$83,Cuision!$G:$P,10,FALSE)))</f>
        <v>-1</v>
      </c>
      <c r="BM161" s="33">
        <f>IF($A161=BM$83, 0, distance(VLOOKUP($A161,Cuision!$G:$P,9,FALSE),VLOOKUP($A161,Cuision!$G:$P,10,FALSE),VLOOKUP(BM$83,Cuision!$G:$P,9,FALSE),VLOOKUP(BM$83,Cuision!$G:$P,10,FALSE)))</f>
        <v>-1</v>
      </c>
      <c r="BN161" s="33">
        <f>IF($A161=BN$83, 0, distance(VLOOKUP($A161,Cuision!$G:$P,9,FALSE),VLOOKUP($A161,Cuision!$G:$P,10,FALSE),VLOOKUP(BN$83,Cuision!$G:$P,9,FALSE),VLOOKUP(BN$83,Cuision!$G:$P,10,FALSE)))</f>
        <v>5738.2829531316083</v>
      </c>
      <c r="BO161" s="33">
        <f>IF($A161=BO$83, 0, distance(VLOOKUP($A161,Cuision!$G:$P,9,FALSE),VLOOKUP($A161,Cuision!$G:$P,10,FALSE),VLOOKUP(BO$83,Cuision!$G:$P,9,FALSE),VLOOKUP(BO$83,Cuision!$G:$P,10,FALSE)))</f>
        <v>1369.7300900214586</v>
      </c>
      <c r="BP161" s="33">
        <f>IF($A161=BP$83, 0, distance(VLOOKUP($A161,Cuision!$G:$P,9,FALSE),VLOOKUP($A161,Cuision!$G:$P,10,FALSE),VLOOKUP(BP$83,Cuision!$G:$P,9,FALSE),VLOOKUP(BP$83,Cuision!$G:$P,10,FALSE)))</f>
        <v>5090.5904311493878</v>
      </c>
      <c r="BQ161" s="33">
        <f>IF($A161=BQ$83, 0, distance(VLOOKUP($A161,Cuision!$G:$P,9,FALSE),VLOOKUP($A161,Cuision!$G:$P,10,FALSE),VLOOKUP(BQ$83,Cuision!$G:$P,9,FALSE),VLOOKUP(BQ$83,Cuision!$G:$P,10,FALSE)))</f>
        <v>-1</v>
      </c>
      <c r="BR161" s="33">
        <f>IF($A161=BR$83, 0, distance(VLOOKUP($A161,Cuision!$G:$P,9,FALSE),VLOOKUP($A161,Cuision!$G:$P,10,FALSE),VLOOKUP(BR$83,Cuision!$G:$P,9,FALSE),VLOOKUP(BR$83,Cuision!$G:$P,10,FALSE)))</f>
        <v>8292.1310430124922</v>
      </c>
      <c r="BS161" s="33">
        <f>IF($A161=BS$83, 0, distance(VLOOKUP($A161,Cuision!$G:$P,9,FALSE),VLOOKUP($A161,Cuision!$G:$P,10,FALSE),VLOOKUP(BS$83,Cuision!$G:$P,9,FALSE),VLOOKUP(BS$83,Cuision!$G:$P,10,FALSE)))</f>
        <v>1446.079828612139</v>
      </c>
      <c r="BT161" s="33">
        <f>IF($A161=BT$83, 0, distance(VLOOKUP($A161,Cuision!$G:$P,9,FALSE),VLOOKUP($A161,Cuision!$G:$P,10,FALSE),VLOOKUP(BT$83,Cuision!$G:$P,9,FALSE),VLOOKUP(BT$83,Cuision!$G:$P,10,FALSE)))</f>
        <v>6238.3511882028179</v>
      </c>
      <c r="BU161" s="33">
        <f>IF($A161=BU$83, 0, distance(VLOOKUP($A161,Cuision!$G:$P,9,FALSE),VLOOKUP($A161,Cuision!$G:$P,10,FALSE),VLOOKUP(BU$83,Cuision!$G:$P,9,FALSE),VLOOKUP(BU$83,Cuision!$G:$P,10,FALSE)))</f>
        <v>613.21389778628532</v>
      </c>
      <c r="BV161" s="33">
        <f>IF($A161=BV$83, 0, distance(VLOOKUP($A161,Cuision!$G:$P,9,FALSE),VLOOKUP($A161,Cuision!$G:$P,10,FALSE),VLOOKUP(BV$83,Cuision!$G:$P,9,FALSE),VLOOKUP(BV$83,Cuision!$G:$P,10,FALSE)))</f>
        <v>4416.3019011048236</v>
      </c>
      <c r="BW161" s="33">
        <f>IF($A161=BW$83, 0, distance(VLOOKUP($A161,Cuision!$G:$P,9,FALSE),VLOOKUP($A161,Cuision!$G:$P,10,FALSE),VLOOKUP(BW$83,Cuision!$G:$P,9,FALSE),VLOOKUP(BW$83,Cuision!$G:$P,10,FALSE)))</f>
        <v>4470.7904346149344</v>
      </c>
      <c r="BX161" s="33">
        <f>IF($A161=BX$83, 0, distance(VLOOKUP($A161,Cuision!$G:$P,9,FALSE),VLOOKUP($A161,Cuision!$G:$P,10,FALSE),VLOOKUP(BX$83,Cuision!$G:$P,9,FALSE),VLOOKUP(BX$83,Cuision!$G:$P,10,FALSE)))</f>
        <v>2549.0402713932881</v>
      </c>
      <c r="BY161" s="33">
        <f>IF($A161=BY$83, 0, distance(VLOOKUP($A161,Cuision!$G:$P,9,FALSE),VLOOKUP($A161,Cuision!$G:$P,10,FALSE),VLOOKUP(BY$83,Cuision!$G:$P,9,FALSE),VLOOKUP(BY$83,Cuision!$G:$P,10,FALSE)))</f>
        <v>-1</v>
      </c>
      <c r="BZ161" s="33">
        <f>IF($A161=BZ$83, 0, distance(VLOOKUP($A161,Cuision!$G:$P,9,FALSE),VLOOKUP($A161,Cuision!$G:$P,10,FALSE),VLOOKUP(BZ$83,Cuision!$G:$P,9,FALSE),VLOOKUP(BZ$83,Cuision!$G:$P,10,FALSE)))</f>
        <v>-1</v>
      </c>
      <c r="CA161" s="33">
        <f>IF($A161=CA$83, 0, distance(VLOOKUP($A161,Cuision!$G:$P,9,FALSE),VLOOKUP($A161,Cuision!$G:$P,10,FALSE),VLOOKUP(CA$83,Cuision!$G:$P,9,FALSE),VLOOKUP(CA$83,Cuision!$G:$P,10,FALSE)))</f>
        <v>0</v>
      </c>
    </row>
    <row r="162" spans="1:79" ht="15.75" customHeight="1" x14ac:dyDescent="0.2">
      <c r="A162" s="35" t="s">
        <v>1207</v>
      </c>
      <c r="B162" s="34">
        <f>AVERAGE(B84:CA161)</f>
        <v>3024.8770148211588</v>
      </c>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row>
    <row r="163" spans="1:79" ht="15.75" customHeight="1" x14ac:dyDescent="0.2">
      <c r="A163" s="30" t="s">
        <v>1208</v>
      </c>
      <c r="B163">
        <f>_xlfn.STDEV.S(B84:CA161)</f>
        <v>3059.6023083463674</v>
      </c>
    </row>
    <row r="165" spans="1:79" ht="15.75" customHeight="1" x14ac:dyDescent="0.2">
      <c r="B165" s="36">
        <v>800</v>
      </c>
    </row>
    <row r="167" spans="1:79" ht="15.75" customHeight="1" x14ac:dyDescent="0.2">
      <c r="A167" s="13" t="s">
        <v>32</v>
      </c>
      <c r="B167" s="30" t="s">
        <v>31</v>
      </c>
      <c r="C167" s="30" t="s">
        <v>42</v>
      </c>
      <c r="D167" s="30" t="s">
        <v>43</v>
      </c>
      <c r="E167" s="30" t="s">
        <v>44</v>
      </c>
      <c r="F167" s="30" t="s">
        <v>45</v>
      </c>
      <c r="G167" s="30" t="s">
        <v>46</v>
      </c>
      <c r="H167" s="30" t="s">
        <v>47</v>
      </c>
      <c r="I167" s="30" t="s">
        <v>48</v>
      </c>
      <c r="J167" s="30" t="s">
        <v>49</v>
      </c>
      <c r="K167" s="30" t="s">
        <v>50</v>
      </c>
      <c r="L167" s="30" t="s">
        <v>51</v>
      </c>
      <c r="M167" s="30" t="s">
        <v>52</v>
      </c>
      <c r="N167" s="30" t="s">
        <v>53</v>
      </c>
      <c r="O167" s="30" t="s">
        <v>54</v>
      </c>
      <c r="P167" s="30" t="s">
        <v>55</v>
      </c>
      <c r="Q167" s="30" t="s">
        <v>56</v>
      </c>
      <c r="R167" s="30" t="s">
        <v>57</v>
      </c>
      <c r="S167" s="30" t="s">
        <v>58</v>
      </c>
      <c r="T167" s="30" t="s">
        <v>59</v>
      </c>
      <c r="U167" s="30" t="s">
        <v>60</v>
      </c>
      <c r="V167" s="30" t="s">
        <v>61</v>
      </c>
      <c r="W167" s="30" t="s">
        <v>62</v>
      </c>
      <c r="X167" s="30" t="s">
        <v>64</v>
      </c>
      <c r="Y167" s="30" t="s">
        <v>66</v>
      </c>
      <c r="Z167" s="30" t="s">
        <v>69</v>
      </c>
      <c r="AA167" s="30" t="s">
        <v>72</v>
      </c>
      <c r="AB167" s="30" t="s">
        <v>74</v>
      </c>
      <c r="AC167" s="30" t="s">
        <v>76</v>
      </c>
      <c r="AD167" s="30" t="s">
        <v>78</v>
      </c>
      <c r="AE167" s="30" t="s">
        <v>79</v>
      </c>
      <c r="AF167" s="30" t="s">
        <v>80</v>
      </c>
      <c r="AG167" s="30" t="s">
        <v>81</v>
      </c>
      <c r="AH167" s="30" t="s">
        <v>82</v>
      </c>
      <c r="AI167" s="30" t="s">
        <v>83</v>
      </c>
      <c r="AJ167" s="30" t="s">
        <v>84</v>
      </c>
      <c r="AK167" s="30" t="s">
        <v>85</v>
      </c>
      <c r="AL167" s="30" t="s">
        <v>86</v>
      </c>
      <c r="AM167" s="30" t="s">
        <v>87</v>
      </c>
      <c r="AN167" s="30" t="s">
        <v>88</v>
      </c>
      <c r="AO167" s="30" t="s">
        <v>89</v>
      </c>
      <c r="AP167" s="30" t="s">
        <v>93</v>
      </c>
      <c r="AQ167" s="30" t="s">
        <v>94</v>
      </c>
      <c r="AR167" s="30" t="s">
        <v>96</v>
      </c>
      <c r="AS167" s="30" t="s">
        <v>97</v>
      </c>
      <c r="AT167" s="30" t="s">
        <v>98</v>
      </c>
      <c r="AU167" s="30" t="s">
        <v>99</v>
      </c>
      <c r="AV167" s="30" t="s">
        <v>100</v>
      </c>
      <c r="AW167" s="30" t="s">
        <v>101</v>
      </c>
      <c r="AX167" s="30" t="s">
        <v>102</v>
      </c>
      <c r="AY167" s="30" t="s">
        <v>103</v>
      </c>
      <c r="AZ167" s="30" t="s">
        <v>104</v>
      </c>
      <c r="BA167" s="30" t="s">
        <v>105</v>
      </c>
      <c r="BB167" s="30" t="s">
        <v>106</v>
      </c>
      <c r="BC167" s="30" t="s">
        <v>107</v>
      </c>
      <c r="BD167" s="30" t="s">
        <v>108</v>
      </c>
      <c r="BE167" s="30" t="s">
        <v>109</v>
      </c>
      <c r="BF167" s="30" t="s">
        <v>110</v>
      </c>
      <c r="BG167" s="30" t="s">
        <v>111</v>
      </c>
      <c r="BH167" s="30" t="s">
        <v>112</v>
      </c>
      <c r="BI167" s="30" t="s">
        <v>113</v>
      </c>
      <c r="BJ167" s="30" t="s">
        <v>114</v>
      </c>
      <c r="BK167" s="30" t="s">
        <v>115</v>
      </c>
      <c r="BL167" s="30" t="s">
        <v>116</v>
      </c>
      <c r="BM167" s="30" t="s">
        <v>117</v>
      </c>
      <c r="BN167" s="30" t="s">
        <v>118</v>
      </c>
      <c r="BO167" s="30" t="s">
        <v>119</v>
      </c>
      <c r="BP167" s="30" t="s">
        <v>120</v>
      </c>
      <c r="BQ167" s="30" t="s">
        <v>121</v>
      </c>
      <c r="BR167" s="30" t="s">
        <v>122</v>
      </c>
      <c r="BS167" s="30" t="s">
        <v>123</v>
      </c>
      <c r="BT167" s="30" t="s">
        <v>124</v>
      </c>
      <c r="BU167" s="30" t="s">
        <v>125</v>
      </c>
      <c r="BV167" s="30" t="s">
        <v>126</v>
      </c>
      <c r="BW167" s="30" t="s">
        <v>127</v>
      </c>
      <c r="BX167" s="30" t="s">
        <v>128</v>
      </c>
      <c r="BY167" s="30" t="s">
        <v>129</v>
      </c>
      <c r="BZ167" s="30" t="s">
        <v>130</v>
      </c>
      <c r="CA167" s="30" t="s">
        <v>131</v>
      </c>
    </row>
    <row r="168" spans="1:79" ht="15.75" customHeight="1" x14ac:dyDescent="0.2">
      <c r="A168" s="30" t="s">
        <v>31</v>
      </c>
      <c r="B168" s="23">
        <f>IF(B84&gt;=0, IF(B84 = 0,  1, 1/B84*$B$165), 0)</f>
        <v>1</v>
      </c>
      <c r="C168" s="23">
        <f t="shared" ref="C168:BN169" si="0">IF(C84&gt;=0, IF(C84 = 0,  1, 1/C84*$B$165), 0)</f>
        <v>0.21312689114940764</v>
      </c>
      <c r="D168" s="23">
        <f t="shared" si="0"/>
        <v>0.11557320663341623</v>
      </c>
      <c r="E168" s="23">
        <f t="shared" si="0"/>
        <v>0.11557320663341623</v>
      </c>
      <c r="F168" s="23">
        <f t="shared" si="0"/>
        <v>0.50082205971814708</v>
      </c>
      <c r="G168" s="23">
        <f t="shared" si="0"/>
        <v>8.4319907368433575E-2</v>
      </c>
      <c r="H168" s="23">
        <f t="shared" si="0"/>
        <v>0.56970107733089614</v>
      </c>
      <c r="I168" s="23">
        <f t="shared" si="0"/>
        <v>0.44736819739206352</v>
      </c>
      <c r="J168" s="23">
        <f t="shared" si="0"/>
        <v>0.11337514414863634</v>
      </c>
      <c r="K168" s="23">
        <f t="shared" si="0"/>
        <v>0.28232465256494066</v>
      </c>
      <c r="L168" s="23">
        <f t="shared" si="0"/>
        <v>0.54079278185476554</v>
      </c>
      <c r="M168" s="23">
        <f t="shared" si="0"/>
        <v>0</v>
      </c>
      <c r="N168" s="23">
        <f t="shared" si="0"/>
        <v>0.20502106840005727</v>
      </c>
      <c r="O168" s="23">
        <f t="shared" si="0"/>
        <v>0.23808973829903529</v>
      </c>
      <c r="P168" s="23">
        <f t="shared" si="0"/>
        <v>9.5681403349230754E-2</v>
      </c>
      <c r="Q168" s="23">
        <f t="shared" si="0"/>
        <v>0</v>
      </c>
      <c r="R168" s="23">
        <f t="shared" si="0"/>
        <v>0.22560661466557774</v>
      </c>
      <c r="S168" s="23">
        <f t="shared" si="0"/>
        <v>0</v>
      </c>
      <c r="T168" s="23">
        <f t="shared" si="0"/>
        <v>0.41300022318572721</v>
      </c>
      <c r="U168" s="23">
        <f t="shared" si="0"/>
        <v>0</v>
      </c>
      <c r="V168" s="23">
        <f t="shared" si="0"/>
        <v>0.11557320663341623</v>
      </c>
      <c r="W168" s="23">
        <f t="shared" si="0"/>
        <v>0.29115726712860679</v>
      </c>
      <c r="X168" s="23">
        <f t="shared" si="0"/>
        <v>0.20502106840005727</v>
      </c>
      <c r="Y168" s="23">
        <f t="shared" si="0"/>
        <v>0.30833577107048654</v>
      </c>
      <c r="Z168" s="23">
        <f t="shared" si="0"/>
        <v>0</v>
      </c>
      <c r="AA168" s="23">
        <f t="shared" si="0"/>
        <v>9.9541691179511102E-2</v>
      </c>
      <c r="AB168" s="23">
        <f t="shared" si="0"/>
        <v>0.27385708068235387</v>
      </c>
      <c r="AC168" s="23">
        <f t="shared" si="0"/>
        <v>0.30658838542914318</v>
      </c>
      <c r="AD168" s="23">
        <f t="shared" si="0"/>
        <v>0.22919035670211918</v>
      </c>
      <c r="AE168" s="23">
        <f t="shared" si="0"/>
        <v>0.25934678202334699</v>
      </c>
      <c r="AF168" s="23">
        <f t="shared" si="0"/>
        <v>0.23069283376699581</v>
      </c>
      <c r="AG168" s="23">
        <f t="shared" si="0"/>
        <v>0.26955747091628368</v>
      </c>
      <c r="AH168" s="23">
        <f t="shared" si="0"/>
        <v>0</v>
      </c>
      <c r="AI168" s="23">
        <f t="shared" si="0"/>
        <v>0.31766863537475759</v>
      </c>
      <c r="AJ168" s="23">
        <f t="shared" si="0"/>
        <v>0.50082205971814708</v>
      </c>
      <c r="AK168" s="23">
        <f t="shared" si="0"/>
        <v>0.10438297910103682</v>
      </c>
      <c r="AL168" s="23">
        <f t="shared" si="0"/>
        <v>0.75213172548960383</v>
      </c>
      <c r="AM168" s="23">
        <f t="shared" si="0"/>
        <v>0</v>
      </c>
      <c r="AN168" s="23">
        <f t="shared" si="0"/>
        <v>0.29522194035927857</v>
      </c>
      <c r="AO168" s="23">
        <f t="shared" si="0"/>
        <v>0.20502106840005727</v>
      </c>
      <c r="AP168" s="23">
        <f t="shared" si="0"/>
        <v>1.2817667414136933</v>
      </c>
      <c r="AQ168" s="23">
        <f t="shared" si="0"/>
        <v>0.21416987912016131</v>
      </c>
      <c r="AR168" s="23">
        <f t="shared" si="0"/>
        <v>0.22560661466557774</v>
      </c>
      <c r="AS168" s="23">
        <f t="shared" si="0"/>
        <v>0.26117685282115616</v>
      </c>
      <c r="AT168" s="23">
        <f t="shared" si="0"/>
        <v>0.20541143380733276</v>
      </c>
      <c r="AU168" s="23">
        <f t="shared" si="0"/>
        <v>0.25120581933229036</v>
      </c>
      <c r="AV168" s="23">
        <f t="shared" si="0"/>
        <v>0.37957198112618773</v>
      </c>
      <c r="AW168" s="23">
        <f t="shared" si="0"/>
        <v>0.34039578645579616</v>
      </c>
      <c r="AX168" s="23">
        <f t="shared" si="0"/>
        <v>9.2440148329214683E-2</v>
      </c>
      <c r="AY168" s="23">
        <f t="shared" si="0"/>
        <v>0</v>
      </c>
      <c r="AZ168" s="23">
        <f t="shared" si="0"/>
        <v>0.26582422951878493</v>
      </c>
      <c r="BA168" s="23">
        <f t="shared" si="0"/>
        <v>0.27809556937757324</v>
      </c>
      <c r="BB168" s="23">
        <f t="shared" si="0"/>
        <v>9.2703748303609501E-2</v>
      </c>
      <c r="BC168" s="23">
        <f t="shared" si="0"/>
        <v>0.50082205971814708</v>
      </c>
      <c r="BD168" s="23">
        <f t="shared" si="0"/>
        <v>0.37397845100171878</v>
      </c>
      <c r="BE168" s="23">
        <f t="shared" si="0"/>
        <v>0.1893040684474426</v>
      </c>
      <c r="BF168" s="23">
        <f t="shared" si="0"/>
        <v>3.5043454291416629</v>
      </c>
      <c r="BG168" s="23">
        <f t="shared" si="0"/>
        <v>0.7959917062026407</v>
      </c>
      <c r="BH168" s="23">
        <f t="shared" si="0"/>
        <v>8.1555858281985277E-2</v>
      </c>
      <c r="BI168" s="23">
        <f t="shared" si="0"/>
        <v>0.30224120474454041</v>
      </c>
      <c r="BJ168" s="23">
        <f t="shared" si="0"/>
        <v>0.18984165154466162</v>
      </c>
      <c r="BK168" s="23">
        <f t="shared" si="0"/>
        <v>0.38253037723536731</v>
      </c>
      <c r="BL168" s="23">
        <f t="shared" si="0"/>
        <v>0</v>
      </c>
      <c r="BM168" s="23">
        <f t="shared" si="0"/>
        <v>0</v>
      </c>
      <c r="BN168" s="23">
        <f t="shared" si="0"/>
        <v>0.22560661466557774</v>
      </c>
      <c r="BO168" s="23">
        <f t="shared" ref="BO168:CA172" si="1">IF(BO84&gt;=0, IF(BO84 = 0,  1, 1/BO84*$B$165), 0)</f>
        <v>0.24973701599798523</v>
      </c>
      <c r="BP168" s="23">
        <f t="shared" si="1"/>
        <v>0.28576021485423786</v>
      </c>
      <c r="BQ168" s="23">
        <f t="shared" si="1"/>
        <v>0</v>
      </c>
      <c r="BR168" s="23">
        <f t="shared" si="1"/>
        <v>0.11557320663341623</v>
      </c>
      <c r="BS168" s="23">
        <f t="shared" si="1"/>
        <v>0.30833577107048654</v>
      </c>
      <c r="BT168" s="23">
        <f t="shared" si="1"/>
        <v>0.20502106840005727</v>
      </c>
      <c r="BU168" s="23">
        <f t="shared" si="1"/>
        <v>0.32999859473664495</v>
      </c>
      <c r="BV168" s="23">
        <f t="shared" si="1"/>
        <v>0.39639403398971385</v>
      </c>
      <c r="BW168" s="23">
        <f t="shared" si="1"/>
        <v>0.36027109110264977</v>
      </c>
      <c r="BX168" s="23">
        <f t="shared" si="1"/>
        <v>1.7204905456140995</v>
      </c>
      <c r="BY168" s="23">
        <f t="shared" si="1"/>
        <v>0</v>
      </c>
      <c r="BZ168" s="23">
        <f t="shared" si="1"/>
        <v>0</v>
      </c>
      <c r="CA168" s="23">
        <f t="shared" si="1"/>
        <v>0.33176196127199786</v>
      </c>
    </row>
    <row r="169" spans="1:79" ht="15.75" customHeight="1" x14ac:dyDescent="0.2">
      <c r="A169" s="30" t="s">
        <v>42</v>
      </c>
      <c r="B169" s="23">
        <f t="shared" ref="B169:Q232" si="2">IF(B85&gt;=0, IF(B85 = 0,  1, 1/B85*$B$165), 0)</f>
        <v>0.21312689114940764</v>
      </c>
      <c r="C169" s="23">
        <f t="shared" si="2"/>
        <v>1</v>
      </c>
      <c r="D169" s="23">
        <f t="shared" si="2"/>
        <v>0.10317009435542185</v>
      </c>
      <c r="E169" s="23">
        <f t="shared" si="2"/>
        <v>0.10317009435542185</v>
      </c>
      <c r="F169" s="23">
        <f t="shared" si="2"/>
        <v>0.29795126873273758</v>
      </c>
      <c r="G169" s="23">
        <f t="shared" si="2"/>
        <v>0.13251681176600127</v>
      </c>
      <c r="H169" s="23">
        <f t="shared" si="2"/>
        <v>0.23237609938917941</v>
      </c>
      <c r="I169" s="23">
        <f t="shared" si="2"/>
        <v>0.15285464423830264</v>
      </c>
      <c r="J169" s="23">
        <f t="shared" si="2"/>
        <v>0.11095911491135044</v>
      </c>
      <c r="K169" s="23">
        <f t="shared" si="2"/>
        <v>0.19558592366750566</v>
      </c>
      <c r="L169" s="23">
        <f t="shared" si="2"/>
        <v>0.18228920512956026</v>
      </c>
      <c r="M169" s="23">
        <f t="shared" si="2"/>
        <v>0</v>
      </c>
      <c r="N169" s="23">
        <f t="shared" si="2"/>
        <v>0.19134171785558249</v>
      </c>
      <c r="O169" s="23">
        <f t="shared" si="2"/>
        <v>0.17787319232323101</v>
      </c>
      <c r="P169" s="23">
        <f t="shared" si="2"/>
        <v>0.1440084296236486</v>
      </c>
      <c r="Q169" s="23">
        <f t="shared" si="2"/>
        <v>0</v>
      </c>
      <c r="R169" s="23">
        <f t="shared" si="0"/>
        <v>0.17215299993428149</v>
      </c>
      <c r="S169" s="23">
        <f t="shared" si="0"/>
        <v>0</v>
      </c>
      <c r="T169" s="23">
        <f t="shared" si="0"/>
        <v>0.17278390438357752</v>
      </c>
      <c r="U169" s="23">
        <f t="shared" si="0"/>
        <v>0</v>
      </c>
      <c r="V169" s="23">
        <f t="shared" si="0"/>
        <v>0.10317009435542185</v>
      </c>
      <c r="W169" s="23">
        <f t="shared" si="0"/>
        <v>0.15883155926634901</v>
      </c>
      <c r="X169" s="23">
        <f t="shared" si="0"/>
        <v>0.19134171785558249</v>
      </c>
      <c r="Y169" s="23">
        <f t="shared" si="0"/>
        <v>0.12939440260230908</v>
      </c>
      <c r="Z169" s="23">
        <f t="shared" si="0"/>
        <v>0</v>
      </c>
      <c r="AA169" s="23">
        <f t="shared" si="0"/>
        <v>9.8045163685954645E-2</v>
      </c>
      <c r="AB169" s="23">
        <f t="shared" si="0"/>
        <v>0.18851812298671505</v>
      </c>
      <c r="AC169" s="23">
        <f t="shared" si="0"/>
        <v>0.6328238545801893</v>
      </c>
      <c r="AD169" s="23">
        <f t="shared" si="0"/>
        <v>0.13034708681947538</v>
      </c>
      <c r="AE169" s="23">
        <f t="shared" si="0"/>
        <v>0.15838298299018053</v>
      </c>
      <c r="AF169" s="23">
        <f t="shared" si="0"/>
        <v>0.18041956751367552</v>
      </c>
      <c r="AG169" s="23">
        <f t="shared" si="0"/>
        <v>0.18119257999815022</v>
      </c>
      <c r="AH169" s="23">
        <f t="shared" si="0"/>
        <v>0</v>
      </c>
      <c r="AI169" s="23">
        <f t="shared" si="0"/>
        <v>0.24205496834766418</v>
      </c>
      <c r="AJ169" s="23">
        <f t="shared" si="0"/>
        <v>0.29795126873273758</v>
      </c>
      <c r="AK169" s="23">
        <f t="shared" si="0"/>
        <v>7.0086883484686044E-2</v>
      </c>
      <c r="AL169" s="23">
        <f t="shared" si="0"/>
        <v>0.1892340203268601</v>
      </c>
      <c r="AM169" s="23">
        <f t="shared" si="0"/>
        <v>0</v>
      </c>
      <c r="AN169" s="23">
        <f t="shared" si="0"/>
        <v>0.19986889980224401</v>
      </c>
      <c r="AO169" s="23">
        <f t="shared" si="0"/>
        <v>0.19134171785558249</v>
      </c>
      <c r="AP169" s="23">
        <f t="shared" si="0"/>
        <v>0.20803908164297547</v>
      </c>
      <c r="AQ169" s="23">
        <f t="shared" si="0"/>
        <v>0.16156880437855931</v>
      </c>
      <c r="AR169" s="23">
        <f t="shared" si="0"/>
        <v>0.17215299993428149</v>
      </c>
      <c r="AS169" s="23">
        <f t="shared" si="0"/>
        <v>0.21227745187428937</v>
      </c>
      <c r="AT169" s="23">
        <f t="shared" si="0"/>
        <v>0.10779834751926633</v>
      </c>
      <c r="AU169" s="23">
        <f t="shared" si="0"/>
        <v>0.11901704863259584</v>
      </c>
      <c r="AV169" s="23">
        <f t="shared" si="0"/>
        <v>0.26262914711580365</v>
      </c>
      <c r="AW169" s="23">
        <f t="shared" si="0"/>
        <v>0.16010281833367263</v>
      </c>
      <c r="AX169" s="23">
        <f t="shared" si="0"/>
        <v>0.12179718681116833</v>
      </c>
      <c r="AY169" s="23">
        <f t="shared" si="0"/>
        <v>0</v>
      </c>
      <c r="AZ169" s="23">
        <f t="shared" si="0"/>
        <v>0.17023752072747159</v>
      </c>
      <c r="BA169" s="23">
        <f t="shared" si="0"/>
        <v>0.25142375920020599</v>
      </c>
      <c r="BB169" s="23">
        <f t="shared" si="0"/>
        <v>8.6446700735889448E-2</v>
      </c>
      <c r="BC169" s="23">
        <f t="shared" si="0"/>
        <v>0.29795126873273758</v>
      </c>
      <c r="BD169" s="23">
        <f t="shared" si="0"/>
        <v>0.13623805862839669</v>
      </c>
      <c r="BE169" s="23">
        <f t="shared" si="0"/>
        <v>0.19958349447161214</v>
      </c>
      <c r="BF169" s="23">
        <f t="shared" si="0"/>
        <v>0.20653218016158659</v>
      </c>
      <c r="BG169" s="23">
        <f t="shared" si="0"/>
        <v>0.24508731867863659</v>
      </c>
      <c r="BH169" s="23">
        <f t="shared" si="0"/>
        <v>0.10638275697953978</v>
      </c>
      <c r="BI169" s="23">
        <f t="shared" si="0"/>
        <v>0.18645060805016705</v>
      </c>
      <c r="BJ169" s="23">
        <f t="shared" si="0"/>
        <v>0.18541165387530717</v>
      </c>
      <c r="BK169" s="23">
        <f t="shared" si="0"/>
        <v>0.17928405043727724</v>
      </c>
      <c r="BL169" s="23">
        <f t="shared" si="0"/>
        <v>0</v>
      </c>
      <c r="BM169" s="23">
        <f t="shared" si="0"/>
        <v>0</v>
      </c>
      <c r="BN169" s="23">
        <f t="shared" si="0"/>
        <v>0.17215299993428149</v>
      </c>
      <c r="BO169" s="23">
        <f t="shared" si="1"/>
        <v>0.16586591890370747</v>
      </c>
      <c r="BP169" s="23">
        <f t="shared" si="1"/>
        <v>0.19634747629869953</v>
      </c>
      <c r="BQ169" s="23">
        <f t="shared" si="1"/>
        <v>0</v>
      </c>
      <c r="BR169" s="23">
        <f t="shared" si="1"/>
        <v>0.10317009435542185</v>
      </c>
      <c r="BS169" s="23">
        <f t="shared" si="1"/>
        <v>0.12939440260230908</v>
      </c>
      <c r="BT169" s="23">
        <f t="shared" si="1"/>
        <v>0.19134171785558249</v>
      </c>
      <c r="BU169" s="23">
        <f t="shared" si="1"/>
        <v>0.16720619795394831</v>
      </c>
      <c r="BV169" s="23">
        <f t="shared" si="1"/>
        <v>0.23763013020559365</v>
      </c>
      <c r="BW169" s="23">
        <f t="shared" si="1"/>
        <v>0.19514863740570143</v>
      </c>
      <c r="BX169" s="23">
        <f t="shared" si="1"/>
        <v>0.19514279085459019</v>
      </c>
      <c r="BY169" s="23">
        <f t="shared" si="1"/>
        <v>0</v>
      </c>
      <c r="BZ169" s="23">
        <f t="shared" si="1"/>
        <v>0</v>
      </c>
      <c r="CA169" s="23">
        <f t="shared" si="1"/>
        <v>0.15219049386767403</v>
      </c>
    </row>
    <row r="170" spans="1:79" ht="15.75" customHeight="1" x14ac:dyDescent="0.2">
      <c r="A170" s="30" t="s">
        <v>43</v>
      </c>
      <c r="B170" s="23">
        <f t="shared" si="2"/>
        <v>0.11557320663341623</v>
      </c>
      <c r="C170" s="23">
        <f t="shared" ref="C170:BN173" si="3">IF(C86&gt;=0, IF(C86 = 0,  1, 1/C86*$B$165), 0)</f>
        <v>0.10317009435542185</v>
      </c>
      <c r="D170" s="23">
        <f t="shared" si="3"/>
        <v>1</v>
      </c>
      <c r="E170" s="23">
        <f t="shared" si="3"/>
        <v>1</v>
      </c>
      <c r="F170" s="23">
        <f t="shared" si="3"/>
        <v>0.12641572300628837</v>
      </c>
      <c r="G170" s="23">
        <f t="shared" si="3"/>
        <v>0.15334130114727154</v>
      </c>
      <c r="H170" s="23">
        <f t="shared" si="3"/>
        <v>0.13686235146523121</v>
      </c>
      <c r="I170" s="23">
        <f t="shared" si="3"/>
        <v>0.10819575593402338</v>
      </c>
      <c r="J170" s="23">
        <f t="shared" si="3"/>
        <v>8.0755373618220327E-2</v>
      </c>
      <c r="K170" s="23">
        <f t="shared" si="3"/>
        <v>0.18074080531795589</v>
      </c>
      <c r="L170" s="23">
        <f t="shared" si="3"/>
        <v>9.956515864835952E-2</v>
      </c>
      <c r="M170" s="23">
        <f t="shared" si="3"/>
        <v>0</v>
      </c>
      <c r="N170" s="23">
        <f t="shared" si="3"/>
        <v>0.21145731825122832</v>
      </c>
      <c r="O170" s="23">
        <f t="shared" si="3"/>
        <v>0.20711442388989615</v>
      </c>
      <c r="P170" s="23">
        <f t="shared" si="3"/>
        <v>0.18956400507993226</v>
      </c>
      <c r="Q170" s="23">
        <f t="shared" si="3"/>
        <v>0</v>
      </c>
      <c r="R170" s="23">
        <f t="shared" si="3"/>
        <v>0.2182966372150941</v>
      </c>
      <c r="S170" s="23">
        <f t="shared" si="3"/>
        <v>0</v>
      </c>
      <c r="T170" s="23">
        <f t="shared" si="3"/>
        <v>9.5693533760374372E-2</v>
      </c>
      <c r="U170" s="23">
        <f t="shared" si="3"/>
        <v>0</v>
      </c>
      <c r="V170" s="23">
        <f t="shared" si="3"/>
        <v>1</v>
      </c>
      <c r="W170" s="23">
        <f t="shared" si="3"/>
        <v>8.9409157024196009E-2</v>
      </c>
      <c r="X170" s="23">
        <f t="shared" si="3"/>
        <v>0.21145731825122832</v>
      </c>
      <c r="Y170" s="23">
        <f t="shared" si="3"/>
        <v>0.11551758364352958</v>
      </c>
      <c r="Z170" s="23">
        <f t="shared" si="3"/>
        <v>0</v>
      </c>
      <c r="AA170" s="23">
        <f t="shared" si="3"/>
        <v>0.70552217948976259</v>
      </c>
      <c r="AB170" s="23">
        <f t="shared" si="3"/>
        <v>0.18665958518412357</v>
      </c>
      <c r="AC170" s="23">
        <f t="shared" si="3"/>
        <v>0.11171571901604463</v>
      </c>
      <c r="AD170" s="23">
        <f t="shared" si="3"/>
        <v>9.3448100502909082E-2</v>
      </c>
      <c r="AE170" s="23">
        <f t="shared" si="3"/>
        <v>0.20692520021600544</v>
      </c>
      <c r="AF170" s="23">
        <f t="shared" si="3"/>
        <v>0.20882458998772274</v>
      </c>
      <c r="AG170" s="23">
        <f t="shared" si="3"/>
        <v>0.19184698763037078</v>
      </c>
      <c r="AH170" s="23">
        <f t="shared" si="3"/>
        <v>0</v>
      </c>
      <c r="AI170" s="23">
        <f t="shared" si="3"/>
        <v>0.15600684004032911</v>
      </c>
      <c r="AJ170" s="23">
        <f t="shared" si="3"/>
        <v>0.12641572300628837</v>
      </c>
      <c r="AK170" s="23">
        <f t="shared" si="3"/>
        <v>0.16791820484547781</v>
      </c>
      <c r="AL170" s="23">
        <f t="shared" si="3"/>
        <v>0.10394903070331557</v>
      </c>
      <c r="AM170" s="23">
        <f t="shared" si="3"/>
        <v>0</v>
      </c>
      <c r="AN170" s="23">
        <f t="shared" si="3"/>
        <v>0.17553398726133765</v>
      </c>
      <c r="AO170" s="23">
        <f t="shared" si="3"/>
        <v>0.21145731825122832</v>
      </c>
      <c r="AP170" s="23">
        <f t="shared" si="3"/>
        <v>0.10690068035859937</v>
      </c>
      <c r="AQ170" s="23">
        <f t="shared" si="3"/>
        <v>7.8704391766877213E-2</v>
      </c>
      <c r="AR170" s="23">
        <f t="shared" si="3"/>
        <v>0.2182966372150941</v>
      </c>
      <c r="AS170" s="23">
        <f t="shared" si="3"/>
        <v>0.17840519714327729</v>
      </c>
      <c r="AT170" s="23">
        <f t="shared" si="3"/>
        <v>0.11808016033704487</v>
      </c>
      <c r="AU170" s="23">
        <f t="shared" si="3"/>
        <v>0.11532841602925459</v>
      </c>
      <c r="AV170" s="23">
        <f t="shared" si="3"/>
        <v>0.14303813383679378</v>
      </c>
      <c r="AW170" s="23">
        <f t="shared" si="3"/>
        <v>9.4040394237361977E-2</v>
      </c>
      <c r="AX170" s="23">
        <f t="shared" si="3"/>
        <v>0.25330907742021996</v>
      </c>
      <c r="AY170" s="23">
        <f t="shared" si="3"/>
        <v>0</v>
      </c>
      <c r="AZ170" s="23">
        <f t="shared" si="3"/>
        <v>8.3940783346623082E-2</v>
      </c>
      <c r="BA170" s="23">
        <f t="shared" si="3"/>
        <v>0.15952826493910469</v>
      </c>
      <c r="BB170" s="23">
        <f t="shared" si="3"/>
        <v>0.42477480573069049</v>
      </c>
      <c r="BC170" s="23">
        <f t="shared" si="3"/>
        <v>0.12641572300628837</v>
      </c>
      <c r="BD170" s="23">
        <f t="shared" si="3"/>
        <v>0.12434604385473144</v>
      </c>
      <c r="BE170" s="23">
        <f t="shared" si="3"/>
        <v>0.2094882148647372</v>
      </c>
      <c r="BF170" s="23">
        <f t="shared" si="3"/>
        <v>0.11322627607551132</v>
      </c>
      <c r="BG170" s="23">
        <f t="shared" si="3"/>
        <v>0.12649984239911521</v>
      </c>
      <c r="BH170" s="23">
        <f t="shared" si="3"/>
        <v>0.22730858913539276</v>
      </c>
      <c r="BI170" s="23">
        <f t="shared" si="3"/>
        <v>0.17936687984463703</v>
      </c>
      <c r="BJ170" s="23">
        <f t="shared" si="3"/>
        <v>0.22439980720780792</v>
      </c>
      <c r="BK170" s="23">
        <f t="shared" si="3"/>
        <v>0.1645993999048235</v>
      </c>
      <c r="BL170" s="23">
        <f t="shared" si="3"/>
        <v>0</v>
      </c>
      <c r="BM170" s="23">
        <f t="shared" si="3"/>
        <v>0</v>
      </c>
      <c r="BN170" s="23">
        <f t="shared" si="3"/>
        <v>0.2182966372150941</v>
      </c>
      <c r="BO170" s="23">
        <f t="shared" si="1"/>
        <v>8.282519074819486E-2</v>
      </c>
      <c r="BP170" s="23">
        <f t="shared" si="1"/>
        <v>0.17946428079967858</v>
      </c>
      <c r="BQ170" s="23">
        <f t="shared" si="1"/>
        <v>0</v>
      </c>
      <c r="BR170" s="23">
        <f t="shared" si="1"/>
        <v>1</v>
      </c>
      <c r="BS170" s="23">
        <f t="shared" si="1"/>
        <v>0.11551758364352958</v>
      </c>
      <c r="BT170" s="23">
        <f t="shared" si="1"/>
        <v>0.21145731825122832</v>
      </c>
      <c r="BU170" s="23">
        <f t="shared" si="1"/>
        <v>9.0959288459510443E-2</v>
      </c>
      <c r="BV170" s="23">
        <f t="shared" si="1"/>
        <v>0.14756420631512723</v>
      </c>
      <c r="BW170" s="23">
        <f t="shared" si="1"/>
        <v>0.1643683125862419</v>
      </c>
      <c r="BX170" s="23">
        <f t="shared" si="1"/>
        <v>0.12298626992632598</v>
      </c>
      <c r="BY170" s="23">
        <f t="shared" si="1"/>
        <v>0</v>
      </c>
      <c r="BZ170" s="23">
        <f t="shared" si="1"/>
        <v>0</v>
      </c>
      <c r="CA170" s="23">
        <f t="shared" si="1"/>
        <v>9.6477008847337731E-2</v>
      </c>
    </row>
    <row r="171" spans="1:79" ht="15.75" customHeight="1" x14ac:dyDescent="0.2">
      <c r="A171" s="30" t="s">
        <v>44</v>
      </c>
      <c r="B171" s="23">
        <f t="shared" si="2"/>
        <v>0.11557320663341623</v>
      </c>
      <c r="C171" s="23">
        <f t="shared" si="3"/>
        <v>0.10317009435542185</v>
      </c>
      <c r="D171" s="23">
        <f t="shared" si="3"/>
        <v>1</v>
      </c>
      <c r="E171" s="23">
        <f t="shared" si="3"/>
        <v>1</v>
      </c>
      <c r="F171" s="23">
        <f t="shared" si="3"/>
        <v>0.12641572300628837</v>
      </c>
      <c r="G171" s="23">
        <f t="shared" si="3"/>
        <v>0.15334130114727154</v>
      </c>
      <c r="H171" s="23">
        <f t="shared" si="3"/>
        <v>0.13686235146523121</v>
      </c>
      <c r="I171" s="23">
        <f t="shared" si="3"/>
        <v>0.10819575593402338</v>
      </c>
      <c r="J171" s="23">
        <f t="shared" si="3"/>
        <v>8.0755373618220327E-2</v>
      </c>
      <c r="K171" s="23">
        <f t="shared" si="3"/>
        <v>0.18074080531795589</v>
      </c>
      <c r="L171" s="23">
        <f t="shared" si="3"/>
        <v>9.956515864835952E-2</v>
      </c>
      <c r="M171" s="23">
        <f t="shared" si="3"/>
        <v>0</v>
      </c>
      <c r="N171" s="23">
        <f t="shared" si="3"/>
        <v>0.21145731825122832</v>
      </c>
      <c r="O171" s="23">
        <f t="shared" si="3"/>
        <v>0.20711442388989615</v>
      </c>
      <c r="P171" s="23">
        <f t="shared" si="3"/>
        <v>0.18956400507993226</v>
      </c>
      <c r="Q171" s="23">
        <f t="shared" si="3"/>
        <v>0</v>
      </c>
      <c r="R171" s="23">
        <f t="shared" si="3"/>
        <v>0.2182966372150941</v>
      </c>
      <c r="S171" s="23">
        <f t="shared" si="3"/>
        <v>0</v>
      </c>
      <c r="T171" s="23">
        <f t="shared" si="3"/>
        <v>9.5693533760374372E-2</v>
      </c>
      <c r="U171" s="23">
        <f t="shared" si="3"/>
        <v>0</v>
      </c>
      <c r="V171" s="23">
        <f t="shared" si="3"/>
        <v>1</v>
      </c>
      <c r="W171" s="23">
        <f t="shared" si="3"/>
        <v>8.9409157024196009E-2</v>
      </c>
      <c r="X171" s="23">
        <f t="shared" si="3"/>
        <v>0.21145731825122832</v>
      </c>
      <c r="Y171" s="23">
        <f t="shared" si="3"/>
        <v>0.11551758364352958</v>
      </c>
      <c r="Z171" s="23">
        <f t="shared" si="3"/>
        <v>0</v>
      </c>
      <c r="AA171" s="23">
        <f t="shared" si="3"/>
        <v>0.70552217948976259</v>
      </c>
      <c r="AB171" s="23">
        <f t="shared" si="3"/>
        <v>0.18665958518412357</v>
      </c>
      <c r="AC171" s="23">
        <f t="shared" si="3"/>
        <v>0.11171571901604463</v>
      </c>
      <c r="AD171" s="23">
        <f t="shared" si="3"/>
        <v>9.3448100502909082E-2</v>
      </c>
      <c r="AE171" s="23">
        <f t="shared" si="3"/>
        <v>0.20692520021600544</v>
      </c>
      <c r="AF171" s="23">
        <f t="shared" si="3"/>
        <v>0.20882458998772274</v>
      </c>
      <c r="AG171" s="23">
        <f t="shared" si="3"/>
        <v>0.19184698763037078</v>
      </c>
      <c r="AH171" s="23">
        <f t="shared" si="3"/>
        <v>0</v>
      </c>
      <c r="AI171" s="23">
        <f t="shared" si="3"/>
        <v>0.15600684004032911</v>
      </c>
      <c r="AJ171" s="23">
        <f t="shared" si="3"/>
        <v>0.12641572300628837</v>
      </c>
      <c r="AK171" s="23">
        <f t="shared" si="3"/>
        <v>0.16791820484547781</v>
      </c>
      <c r="AL171" s="23">
        <f t="shared" si="3"/>
        <v>0.10394903070331557</v>
      </c>
      <c r="AM171" s="23">
        <f t="shared" si="3"/>
        <v>0</v>
      </c>
      <c r="AN171" s="23">
        <f t="shared" si="3"/>
        <v>0.17553398726133765</v>
      </c>
      <c r="AO171" s="23">
        <f t="shared" si="3"/>
        <v>0.21145731825122832</v>
      </c>
      <c r="AP171" s="23">
        <f t="shared" si="3"/>
        <v>0.10690068035859937</v>
      </c>
      <c r="AQ171" s="23">
        <f t="shared" si="3"/>
        <v>7.8704391766877213E-2</v>
      </c>
      <c r="AR171" s="23">
        <f t="shared" si="3"/>
        <v>0.2182966372150941</v>
      </c>
      <c r="AS171" s="23">
        <f t="shared" si="3"/>
        <v>0.17840519714327729</v>
      </c>
      <c r="AT171" s="23">
        <f t="shared" si="3"/>
        <v>0.11808016033704487</v>
      </c>
      <c r="AU171" s="23">
        <f t="shared" si="3"/>
        <v>0.11532841602925459</v>
      </c>
      <c r="AV171" s="23">
        <f t="shared" si="3"/>
        <v>0.14303813383679378</v>
      </c>
      <c r="AW171" s="23">
        <f t="shared" si="3"/>
        <v>9.4040394237361977E-2</v>
      </c>
      <c r="AX171" s="23">
        <f t="shared" si="3"/>
        <v>0.25330907742021996</v>
      </c>
      <c r="AY171" s="23">
        <f t="shared" si="3"/>
        <v>0</v>
      </c>
      <c r="AZ171" s="23">
        <f t="shared" si="3"/>
        <v>8.3940783346623082E-2</v>
      </c>
      <c r="BA171" s="23">
        <f t="shared" si="3"/>
        <v>0.15952826493910469</v>
      </c>
      <c r="BB171" s="23">
        <f t="shared" si="3"/>
        <v>0.42477480573069049</v>
      </c>
      <c r="BC171" s="23">
        <f t="shared" si="3"/>
        <v>0.12641572300628837</v>
      </c>
      <c r="BD171" s="23">
        <f t="shared" si="3"/>
        <v>0.12434604385473144</v>
      </c>
      <c r="BE171" s="23">
        <f t="shared" si="3"/>
        <v>0.2094882148647372</v>
      </c>
      <c r="BF171" s="23">
        <f t="shared" si="3"/>
        <v>0.11322627607551132</v>
      </c>
      <c r="BG171" s="23">
        <f t="shared" si="3"/>
        <v>0.12649984239911521</v>
      </c>
      <c r="BH171" s="23">
        <f t="shared" si="3"/>
        <v>0.22730858913539276</v>
      </c>
      <c r="BI171" s="23">
        <f t="shared" si="3"/>
        <v>0.17936687984463703</v>
      </c>
      <c r="BJ171" s="23">
        <f t="shared" si="3"/>
        <v>0.22439980720780792</v>
      </c>
      <c r="BK171" s="23">
        <f t="shared" si="3"/>
        <v>0.1645993999048235</v>
      </c>
      <c r="BL171" s="23">
        <f t="shared" si="3"/>
        <v>0</v>
      </c>
      <c r="BM171" s="23">
        <f t="shared" si="3"/>
        <v>0</v>
      </c>
      <c r="BN171" s="23">
        <f t="shared" si="3"/>
        <v>0.2182966372150941</v>
      </c>
      <c r="BO171" s="23">
        <f t="shared" si="1"/>
        <v>8.282519074819486E-2</v>
      </c>
      <c r="BP171" s="23">
        <f t="shared" si="1"/>
        <v>0.17946428079967858</v>
      </c>
      <c r="BQ171" s="23">
        <f t="shared" si="1"/>
        <v>0</v>
      </c>
      <c r="BR171" s="23">
        <f t="shared" si="1"/>
        <v>1</v>
      </c>
      <c r="BS171" s="23">
        <f t="shared" si="1"/>
        <v>0.11551758364352958</v>
      </c>
      <c r="BT171" s="23">
        <f t="shared" si="1"/>
        <v>0.21145731825122832</v>
      </c>
      <c r="BU171" s="23">
        <f t="shared" si="1"/>
        <v>9.0959288459510443E-2</v>
      </c>
      <c r="BV171" s="23">
        <f t="shared" si="1"/>
        <v>0.14756420631512723</v>
      </c>
      <c r="BW171" s="23">
        <f t="shared" si="1"/>
        <v>0.1643683125862419</v>
      </c>
      <c r="BX171" s="23">
        <f t="shared" si="1"/>
        <v>0.12298626992632598</v>
      </c>
      <c r="BY171" s="23">
        <f t="shared" si="1"/>
        <v>0</v>
      </c>
      <c r="BZ171" s="23">
        <f t="shared" si="1"/>
        <v>0</v>
      </c>
      <c r="CA171" s="23">
        <f t="shared" si="1"/>
        <v>9.6477008847337731E-2</v>
      </c>
    </row>
    <row r="172" spans="1:79" ht="15.75" customHeight="1" x14ac:dyDescent="0.2">
      <c r="A172" s="30" t="s">
        <v>45</v>
      </c>
      <c r="B172" s="23">
        <f t="shared" si="2"/>
        <v>0.50082205971814708</v>
      </c>
      <c r="C172" s="23">
        <f t="shared" si="3"/>
        <v>0.29795126873273758</v>
      </c>
      <c r="D172" s="23">
        <f t="shared" si="3"/>
        <v>0.12641572300628837</v>
      </c>
      <c r="E172" s="23">
        <f t="shared" si="3"/>
        <v>0.12641572300628837</v>
      </c>
      <c r="F172" s="23">
        <f t="shared" si="3"/>
        <v>1</v>
      </c>
      <c r="G172" s="23">
        <f t="shared" si="3"/>
        <v>0.10116295225428885</v>
      </c>
      <c r="H172" s="23">
        <f t="shared" si="3"/>
        <v>1.052737692173233</v>
      </c>
      <c r="I172" s="23">
        <f t="shared" si="3"/>
        <v>0.23634514567570028</v>
      </c>
      <c r="J172" s="23">
        <f t="shared" si="3"/>
        <v>9.7251570461669531E-2</v>
      </c>
      <c r="K172" s="23">
        <f t="shared" si="3"/>
        <v>0.41989568694265761</v>
      </c>
      <c r="L172" s="23">
        <f t="shared" si="3"/>
        <v>0.26989471648809343</v>
      </c>
      <c r="M172" s="23">
        <f t="shared" si="3"/>
        <v>0</v>
      </c>
      <c r="N172" s="23">
        <f t="shared" si="3"/>
        <v>0.29638386283401114</v>
      </c>
      <c r="O172" s="23">
        <f t="shared" si="3"/>
        <v>0.32442764671986912</v>
      </c>
      <c r="P172" s="23">
        <f t="shared" si="3"/>
        <v>0.11808778856071192</v>
      </c>
      <c r="Q172" s="23">
        <f t="shared" si="3"/>
        <v>0</v>
      </c>
      <c r="R172" s="23">
        <f t="shared" si="3"/>
        <v>0.3003466765224802</v>
      </c>
      <c r="S172" s="23">
        <f t="shared" si="3"/>
        <v>0</v>
      </c>
      <c r="T172" s="23">
        <f t="shared" si="3"/>
        <v>0.23507726922061223</v>
      </c>
      <c r="U172" s="23">
        <f t="shared" si="3"/>
        <v>0</v>
      </c>
      <c r="V172" s="23">
        <f t="shared" si="3"/>
        <v>0.12641572300628837</v>
      </c>
      <c r="W172" s="23">
        <f t="shared" si="3"/>
        <v>0.19178416278202914</v>
      </c>
      <c r="X172" s="23">
        <f t="shared" si="3"/>
        <v>0.29638386283401114</v>
      </c>
      <c r="Y172" s="23">
        <f t="shared" si="3"/>
        <v>0.19299399928061201</v>
      </c>
      <c r="Z172" s="23">
        <f t="shared" si="3"/>
        <v>0</v>
      </c>
      <c r="AA172" s="23">
        <f t="shared" si="3"/>
        <v>0.10977074356082758</v>
      </c>
      <c r="AB172" s="23">
        <f t="shared" si="3"/>
        <v>0.39010076486385148</v>
      </c>
      <c r="AC172" s="23">
        <f t="shared" si="3"/>
        <v>0.56238020833701519</v>
      </c>
      <c r="AD172" s="23">
        <f t="shared" si="3"/>
        <v>0.15865120807389224</v>
      </c>
      <c r="AE172" s="23">
        <f t="shared" si="3"/>
        <v>0.30158838486755069</v>
      </c>
      <c r="AF172" s="23">
        <f t="shared" si="3"/>
        <v>0.31971630754042518</v>
      </c>
      <c r="AG172" s="23">
        <f t="shared" si="3"/>
        <v>0.3665456472990673</v>
      </c>
      <c r="AH172" s="23">
        <f t="shared" si="3"/>
        <v>0</v>
      </c>
      <c r="AI172" s="23">
        <f t="shared" si="3"/>
        <v>0.64792541697968975</v>
      </c>
      <c r="AJ172" s="23">
        <f t="shared" si="3"/>
        <v>1</v>
      </c>
      <c r="AK172" s="23">
        <f t="shared" si="3"/>
        <v>9.0611147367924902E-2</v>
      </c>
      <c r="AL172" s="23">
        <f t="shared" si="3"/>
        <v>0.30951050119459478</v>
      </c>
      <c r="AM172" s="23">
        <f t="shared" si="3"/>
        <v>0</v>
      </c>
      <c r="AN172" s="23">
        <f t="shared" si="3"/>
        <v>0.45049346444385618</v>
      </c>
      <c r="AO172" s="23">
        <f t="shared" si="3"/>
        <v>0.29638386283401114</v>
      </c>
      <c r="AP172" s="23">
        <f t="shared" si="3"/>
        <v>0.38307761912237837</v>
      </c>
      <c r="AQ172" s="23">
        <f t="shared" si="3"/>
        <v>0.16273565562206488</v>
      </c>
      <c r="AR172" s="23">
        <f t="shared" si="3"/>
        <v>0.3003466765224802</v>
      </c>
      <c r="AS172" s="23">
        <f t="shared" si="3"/>
        <v>0.42405109205621205</v>
      </c>
      <c r="AT172" s="23">
        <f t="shared" si="3"/>
        <v>0.14729605596127371</v>
      </c>
      <c r="AU172" s="23">
        <f t="shared" si="3"/>
        <v>0.16888304008851918</v>
      </c>
      <c r="AV172" s="23">
        <f t="shared" si="3"/>
        <v>1.0656842983027901</v>
      </c>
      <c r="AW172" s="23">
        <f t="shared" si="3"/>
        <v>0.20830021508167884</v>
      </c>
      <c r="AX172" s="23">
        <f t="shared" si="3"/>
        <v>0.11105218223281556</v>
      </c>
      <c r="AY172" s="23">
        <f t="shared" si="3"/>
        <v>0</v>
      </c>
      <c r="AZ172" s="23">
        <f t="shared" si="3"/>
        <v>0.18754629087750962</v>
      </c>
      <c r="BA172" s="23">
        <f t="shared" si="3"/>
        <v>0.5413025419677987</v>
      </c>
      <c r="BB172" s="23">
        <f t="shared" si="3"/>
        <v>9.7429544186708142E-2</v>
      </c>
      <c r="BC172" s="23">
        <f t="shared" si="3"/>
        <v>1</v>
      </c>
      <c r="BD172" s="23">
        <f t="shared" si="3"/>
        <v>0.2228993546940593</v>
      </c>
      <c r="BE172" s="23">
        <f t="shared" si="3"/>
        <v>0.27637055990436959</v>
      </c>
      <c r="BF172" s="23">
        <f t="shared" si="3"/>
        <v>0.44078835996137183</v>
      </c>
      <c r="BG172" s="23">
        <f t="shared" si="3"/>
        <v>1.1778187212551612</v>
      </c>
      <c r="BH172" s="23">
        <f t="shared" si="3"/>
        <v>9.5268803117948386E-2</v>
      </c>
      <c r="BI172" s="23">
        <f t="shared" si="3"/>
        <v>0.41483697148473914</v>
      </c>
      <c r="BJ172" s="23">
        <f t="shared" si="3"/>
        <v>0.26752383968193705</v>
      </c>
      <c r="BK172" s="23">
        <f t="shared" si="3"/>
        <v>0.43393128689181187</v>
      </c>
      <c r="BL172" s="23">
        <f t="shared" si="3"/>
        <v>0</v>
      </c>
      <c r="BM172" s="23">
        <f t="shared" si="3"/>
        <v>0</v>
      </c>
      <c r="BN172" s="23">
        <f t="shared" si="3"/>
        <v>0.3003466765224802</v>
      </c>
      <c r="BO172" s="23">
        <f t="shared" si="1"/>
        <v>0.17938098990472362</v>
      </c>
      <c r="BP172" s="23">
        <f t="shared" si="1"/>
        <v>0.42672803135419918</v>
      </c>
      <c r="BQ172" s="23">
        <f t="shared" si="1"/>
        <v>0</v>
      </c>
      <c r="BR172" s="23">
        <f t="shared" si="1"/>
        <v>0.12641572300628837</v>
      </c>
      <c r="BS172" s="23">
        <f t="shared" si="1"/>
        <v>0.19299399928061201</v>
      </c>
      <c r="BT172" s="23">
        <f t="shared" si="1"/>
        <v>0.29638386283401114</v>
      </c>
      <c r="BU172" s="23">
        <f t="shared" si="1"/>
        <v>0.20848521759064798</v>
      </c>
      <c r="BV172" s="23">
        <f t="shared" si="1"/>
        <v>0.87262902079050919</v>
      </c>
      <c r="BW172" s="23">
        <f t="shared" si="1"/>
        <v>0.50320731820979836</v>
      </c>
      <c r="BX172" s="23">
        <f t="shared" si="1"/>
        <v>0.46888384859472565</v>
      </c>
      <c r="BY172" s="23">
        <f t="shared" si="1"/>
        <v>0</v>
      </c>
      <c r="BZ172" s="23">
        <f t="shared" si="1"/>
        <v>0</v>
      </c>
      <c r="CA172" s="23">
        <f t="shared" si="1"/>
        <v>0.20236663263737709</v>
      </c>
    </row>
    <row r="173" spans="1:79" ht="15.75" customHeight="1" x14ac:dyDescent="0.2">
      <c r="A173" s="30" t="s">
        <v>46</v>
      </c>
      <c r="B173" s="23">
        <f t="shared" si="2"/>
        <v>8.4319907368433575E-2</v>
      </c>
      <c r="C173" s="23">
        <f t="shared" si="3"/>
        <v>0.13251681176600127</v>
      </c>
      <c r="D173" s="23">
        <f t="shared" si="3"/>
        <v>0.15334130114727154</v>
      </c>
      <c r="E173" s="23">
        <f t="shared" si="3"/>
        <v>0.15334130114727154</v>
      </c>
      <c r="F173" s="23">
        <f t="shared" si="3"/>
        <v>0.10116295225428885</v>
      </c>
      <c r="G173" s="23">
        <f t="shared" si="3"/>
        <v>1</v>
      </c>
      <c r="H173" s="23">
        <f t="shared" si="3"/>
        <v>9.6134611092163258E-2</v>
      </c>
      <c r="I173" s="23">
        <f t="shared" si="3"/>
        <v>7.1177221814773622E-2</v>
      </c>
      <c r="J173" s="23">
        <f t="shared" si="3"/>
        <v>0.10971639586448566</v>
      </c>
      <c r="K173" s="23">
        <f t="shared" si="3"/>
        <v>0.10901697321506598</v>
      </c>
      <c r="L173" s="23">
        <f t="shared" si="3"/>
        <v>7.6785926825690257E-2</v>
      </c>
      <c r="M173" s="23">
        <f t="shared" si="3"/>
        <v>0</v>
      </c>
      <c r="N173" s="23">
        <f t="shared" si="3"/>
        <v>0.12816566166085433</v>
      </c>
      <c r="O173" s="23">
        <f t="shared" si="3"/>
        <v>0.1138816818073223</v>
      </c>
      <c r="P173" s="23">
        <f t="shared" si="3"/>
        <v>0.55039422594858589</v>
      </c>
      <c r="Q173" s="23">
        <f t="shared" si="3"/>
        <v>0</v>
      </c>
      <c r="R173" s="23">
        <f t="shared" si="3"/>
        <v>0.11569828800414514</v>
      </c>
      <c r="S173" s="23">
        <f t="shared" si="3"/>
        <v>0</v>
      </c>
      <c r="T173" s="23">
        <f t="shared" si="3"/>
        <v>7.5671189769024511E-2</v>
      </c>
      <c r="U173" s="23">
        <f t="shared" si="3"/>
        <v>0</v>
      </c>
      <c r="V173" s="23">
        <f t="shared" si="3"/>
        <v>0.15334130114727154</v>
      </c>
      <c r="W173" s="23">
        <f t="shared" si="3"/>
        <v>7.598139998051906E-2</v>
      </c>
      <c r="X173" s="23">
        <f t="shared" si="3"/>
        <v>0.12816566166085433</v>
      </c>
      <c r="Y173" s="23">
        <f t="shared" si="3"/>
        <v>6.6827476225462118E-2</v>
      </c>
      <c r="Z173" s="23">
        <f t="shared" si="3"/>
        <v>0</v>
      </c>
      <c r="AA173" s="23">
        <f t="shared" si="3"/>
        <v>0.18653620432270726</v>
      </c>
      <c r="AB173" s="23">
        <f t="shared" si="3"/>
        <v>0.10899814407641828</v>
      </c>
      <c r="AC173" s="23">
        <f t="shared" si="3"/>
        <v>0.11470204558473641</v>
      </c>
      <c r="AD173" s="23">
        <f t="shared" si="3"/>
        <v>7.2377659634093455E-2</v>
      </c>
      <c r="AE173" s="23">
        <f t="shared" si="3"/>
        <v>0.10328357721696307</v>
      </c>
      <c r="AF173" s="23">
        <f t="shared" si="3"/>
        <v>0.1165193781026798</v>
      </c>
      <c r="AG173" s="23">
        <f t="shared" si="3"/>
        <v>0.10810316466748969</v>
      </c>
      <c r="AH173" s="23">
        <f t="shared" si="3"/>
        <v>0</v>
      </c>
      <c r="AI173" s="23">
        <f t="shared" si="3"/>
        <v>0.11018082741855821</v>
      </c>
      <c r="AJ173" s="23">
        <f t="shared" si="3"/>
        <v>0.10116295225428885</v>
      </c>
      <c r="AK173" s="23">
        <f t="shared" si="3"/>
        <v>0.10833941022711964</v>
      </c>
      <c r="AL173" s="23">
        <f t="shared" si="3"/>
        <v>7.8050012073800606E-2</v>
      </c>
      <c r="AM173" s="23">
        <f t="shared" si="3"/>
        <v>0</v>
      </c>
      <c r="AN173" s="23">
        <f t="shared" si="3"/>
        <v>0.10789622735807326</v>
      </c>
      <c r="AO173" s="23">
        <f t="shared" si="3"/>
        <v>0.12816566166085433</v>
      </c>
      <c r="AP173" s="23">
        <f t="shared" si="3"/>
        <v>8.1525924291316595E-2</v>
      </c>
      <c r="AQ173" s="23">
        <f t="shared" si="3"/>
        <v>8.4603061438601912E-2</v>
      </c>
      <c r="AR173" s="23">
        <f t="shared" si="3"/>
        <v>0.11569828800414514</v>
      </c>
      <c r="AS173" s="23">
        <f t="shared" si="3"/>
        <v>0.11547439477158138</v>
      </c>
      <c r="AT173" s="23">
        <f t="shared" si="3"/>
        <v>7.0088602449736914E-2</v>
      </c>
      <c r="AU173" s="23">
        <f t="shared" si="3"/>
        <v>6.6258932029052989E-2</v>
      </c>
      <c r="AV173" s="23">
        <f t="shared" si="3"/>
        <v>0.1060037480089428</v>
      </c>
      <c r="AW173" s="23">
        <f t="shared" si="3"/>
        <v>7.4101545311308942E-2</v>
      </c>
      <c r="AX173" s="23">
        <f t="shared" si="3"/>
        <v>0.38225642270594384</v>
      </c>
      <c r="AY173" s="23">
        <f t="shared" si="3"/>
        <v>0</v>
      </c>
      <c r="AZ173" s="23">
        <f t="shared" si="3"/>
        <v>8.0699316337782573E-2</v>
      </c>
      <c r="BA173" s="23">
        <f t="shared" si="3"/>
        <v>0.11650697815249104</v>
      </c>
      <c r="BB173" s="23">
        <f t="shared" si="3"/>
        <v>0.17417120178905243</v>
      </c>
      <c r="BC173" s="23">
        <f t="shared" si="3"/>
        <v>0.10116295225428885</v>
      </c>
      <c r="BD173" s="23">
        <f t="shared" si="3"/>
        <v>7.1146258685438404E-2</v>
      </c>
      <c r="BE173" s="23">
        <f t="shared" si="3"/>
        <v>0.13803753218182702</v>
      </c>
      <c r="BF173" s="23">
        <f t="shared" si="3"/>
        <v>8.2594120006374172E-2</v>
      </c>
      <c r="BG173" s="23">
        <f t="shared" si="3"/>
        <v>9.3452559419866563E-2</v>
      </c>
      <c r="BH173" s="23">
        <f t="shared" si="3"/>
        <v>0.41032528839568988</v>
      </c>
      <c r="BI173" s="23">
        <f t="shared" si="3"/>
        <v>0.10444348094550739</v>
      </c>
      <c r="BJ173" s="23">
        <f t="shared" si="3"/>
        <v>0.13411452455974537</v>
      </c>
      <c r="BK173" s="23">
        <f t="shared" si="3"/>
        <v>9.5543245016616818E-2</v>
      </c>
      <c r="BL173" s="23">
        <f t="shared" si="3"/>
        <v>0</v>
      </c>
      <c r="BM173" s="23">
        <f t="shared" si="3"/>
        <v>0</v>
      </c>
      <c r="BN173" s="23">
        <f t="shared" ref="BN173:CA176" si="4">IF(BN89&gt;=0, IF(BN89 = 0,  1, 1/BN89*$B$165), 0)</f>
        <v>0.11569828800414514</v>
      </c>
      <c r="BO173" s="23">
        <f t="shared" si="4"/>
        <v>8.1095385459096406E-2</v>
      </c>
      <c r="BP173" s="23">
        <f t="shared" si="4"/>
        <v>0.1086328206424618</v>
      </c>
      <c r="BQ173" s="23">
        <f t="shared" si="4"/>
        <v>0</v>
      </c>
      <c r="BR173" s="23">
        <f t="shared" si="4"/>
        <v>0.15334130114727154</v>
      </c>
      <c r="BS173" s="23">
        <f t="shared" si="4"/>
        <v>6.6827476225462118E-2</v>
      </c>
      <c r="BT173" s="23">
        <f t="shared" si="4"/>
        <v>0.12816566166085433</v>
      </c>
      <c r="BU173" s="23">
        <f t="shared" si="4"/>
        <v>7.6312203429905745E-2</v>
      </c>
      <c r="BV173" s="23">
        <f t="shared" si="4"/>
        <v>0.10318935784278223</v>
      </c>
      <c r="BW173" s="23">
        <f t="shared" si="4"/>
        <v>0.10039609970761007</v>
      </c>
      <c r="BX173" s="23">
        <f t="shared" si="4"/>
        <v>8.3440944597328218E-2</v>
      </c>
      <c r="BY173" s="23">
        <f t="shared" si="4"/>
        <v>0</v>
      </c>
      <c r="BZ173" s="23">
        <f t="shared" si="4"/>
        <v>0</v>
      </c>
      <c r="CA173" s="23">
        <f t="shared" si="4"/>
        <v>7.2112498403022252E-2</v>
      </c>
    </row>
    <row r="174" spans="1:79" ht="15.75" customHeight="1" x14ac:dyDescent="0.2">
      <c r="A174" s="30" t="s">
        <v>47</v>
      </c>
      <c r="B174" s="23">
        <f t="shared" si="2"/>
        <v>0.56970107733089614</v>
      </c>
      <c r="C174" s="23">
        <f t="shared" ref="C174:BN177" si="5">IF(C90&gt;=0, IF(C90 = 0,  1, 1/C90*$B$165), 0)</f>
        <v>0.23237609938917941</v>
      </c>
      <c r="D174" s="23">
        <f t="shared" si="5"/>
        <v>0.13686235146523121</v>
      </c>
      <c r="E174" s="23">
        <f t="shared" si="5"/>
        <v>0.13686235146523121</v>
      </c>
      <c r="F174" s="23">
        <f t="shared" si="5"/>
        <v>1.052737692173233</v>
      </c>
      <c r="G174" s="23">
        <f t="shared" si="5"/>
        <v>9.6134611092163258E-2</v>
      </c>
      <c r="H174" s="23">
        <f t="shared" si="5"/>
        <v>1</v>
      </c>
      <c r="I174" s="23">
        <f t="shared" si="5"/>
        <v>0.26066997499501737</v>
      </c>
      <c r="J174" s="23">
        <f t="shared" si="5"/>
        <v>9.4902667728492346E-2</v>
      </c>
      <c r="K174" s="23">
        <f t="shared" si="5"/>
        <v>0.53698511753091505</v>
      </c>
      <c r="L174" s="23">
        <f t="shared" si="5"/>
        <v>0.27745361424300219</v>
      </c>
      <c r="M174" s="23">
        <f t="shared" si="5"/>
        <v>0</v>
      </c>
      <c r="N174" s="23">
        <f t="shared" si="5"/>
        <v>0.3190030295779771</v>
      </c>
      <c r="O174" s="23">
        <f t="shared" si="5"/>
        <v>0.39041420555171091</v>
      </c>
      <c r="P174" s="23">
        <f t="shared" si="5"/>
        <v>0.11359590090464877</v>
      </c>
      <c r="Q174" s="23">
        <f t="shared" si="5"/>
        <v>0</v>
      </c>
      <c r="R174" s="23">
        <f t="shared" si="5"/>
        <v>0.35622481651040272</v>
      </c>
      <c r="S174" s="23">
        <f t="shared" si="5"/>
        <v>0</v>
      </c>
      <c r="T174" s="23">
        <f t="shared" si="5"/>
        <v>0.23944686927346637</v>
      </c>
      <c r="U174" s="23">
        <f t="shared" si="5"/>
        <v>0</v>
      </c>
      <c r="V174" s="23">
        <f t="shared" si="5"/>
        <v>0.13686235146523121</v>
      </c>
      <c r="W174" s="23">
        <f t="shared" si="5"/>
        <v>0.19275253287114219</v>
      </c>
      <c r="X174" s="23">
        <f t="shared" si="5"/>
        <v>0.3190030295779771</v>
      </c>
      <c r="Y174" s="23">
        <f t="shared" si="5"/>
        <v>0.21680422691399701</v>
      </c>
      <c r="Z174" s="23">
        <f t="shared" si="5"/>
        <v>0</v>
      </c>
      <c r="AA174" s="23">
        <f t="shared" si="5"/>
        <v>0.11615103515319465</v>
      </c>
      <c r="AB174" s="23">
        <f t="shared" si="5"/>
        <v>0.49874380718528893</v>
      </c>
      <c r="AC174" s="23">
        <f t="shared" si="5"/>
        <v>0.36666700288610604</v>
      </c>
      <c r="AD174" s="23">
        <f t="shared" si="5"/>
        <v>0.16449796859419494</v>
      </c>
      <c r="AE174" s="23">
        <f t="shared" si="5"/>
        <v>0.39504082827999465</v>
      </c>
      <c r="AF174" s="23">
        <f t="shared" si="5"/>
        <v>0.37531532693963288</v>
      </c>
      <c r="AG174" s="23">
        <f t="shared" si="5"/>
        <v>0.47292208845515199</v>
      </c>
      <c r="AH174" s="23">
        <f t="shared" si="5"/>
        <v>0</v>
      </c>
      <c r="AI174" s="23">
        <f t="shared" si="5"/>
        <v>0.71256915755625772</v>
      </c>
      <c r="AJ174" s="23">
        <f t="shared" si="5"/>
        <v>1.052737692173233</v>
      </c>
      <c r="AK174" s="23">
        <f t="shared" si="5"/>
        <v>9.8905531413966352E-2</v>
      </c>
      <c r="AL174" s="23">
        <f t="shared" si="5"/>
        <v>0.32419102001012973</v>
      </c>
      <c r="AM174" s="23">
        <f t="shared" si="5"/>
        <v>0</v>
      </c>
      <c r="AN174" s="23">
        <f t="shared" si="5"/>
        <v>0.58885811780740371</v>
      </c>
      <c r="AO174" s="23">
        <f t="shared" si="5"/>
        <v>0.3190030295779771</v>
      </c>
      <c r="AP174" s="23">
        <f t="shared" si="5"/>
        <v>0.39738644808293194</v>
      </c>
      <c r="AQ174" s="23">
        <f t="shared" si="5"/>
        <v>0.15738373918044873</v>
      </c>
      <c r="AR174" s="23">
        <f t="shared" si="5"/>
        <v>0.35622481651040272</v>
      </c>
      <c r="AS174" s="23">
        <f t="shared" si="5"/>
        <v>0.48084878513099882</v>
      </c>
      <c r="AT174" s="23">
        <f t="shared" si="5"/>
        <v>0.16236760461955146</v>
      </c>
      <c r="AU174" s="23">
        <f t="shared" si="5"/>
        <v>0.1874032752029588</v>
      </c>
      <c r="AV174" s="23">
        <f t="shared" si="5"/>
        <v>1.0325098191178561</v>
      </c>
      <c r="AW174" s="23">
        <f t="shared" si="5"/>
        <v>0.2131498266900895</v>
      </c>
      <c r="AX174" s="23">
        <f t="shared" si="5"/>
        <v>0.11033785699422992</v>
      </c>
      <c r="AY174" s="23">
        <f t="shared" si="5"/>
        <v>0</v>
      </c>
      <c r="AZ174" s="23">
        <f t="shared" si="5"/>
        <v>0.18283174007949998</v>
      </c>
      <c r="BA174" s="23">
        <f t="shared" si="5"/>
        <v>0.53406724455492127</v>
      </c>
      <c r="BB174" s="23">
        <f t="shared" si="5"/>
        <v>0.10389980319342235</v>
      </c>
      <c r="BC174" s="23">
        <f t="shared" si="5"/>
        <v>1.052737692173233</v>
      </c>
      <c r="BD174" s="23">
        <f t="shared" si="5"/>
        <v>0.26167022590794536</v>
      </c>
      <c r="BE174" s="23">
        <f t="shared" si="5"/>
        <v>0.28351089844420441</v>
      </c>
      <c r="BF174" s="23">
        <f t="shared" si="5"/>
        <v>0.49099559230349199</v>
      </c>
      <c r="BG174" s="23">
        <f t="shared" si="5"/>
        <v>1.6407212231954489</v>
      </c>
      <c r="BH174" s="23">
        <f t="shared" si="5"/>
        <v>9.5145939335281524E-2</v>
      </c>
      <c r="BI174" s="23">
        <f t="shared" si="5"/>
        <v>0.57635744439645853</v>
      </c>
      <c r="BJ174" s="23">
        <f t="shared" si="5"/>
        <v>0.28379097115414975</v>
      </c>
      <c r="BK174" s="23">
        <f t="shared" si="5"/>
        <v>0.71389328766430804</v>
      </c>
      <c r="BL174" s="23">
        <f t="shared" si="5"/>
        <v>0</v>
      </c>
      <c r="BM174" s="23">
        <f t="shared" si="5"/>
        <v>0</v>
      </c>
      <c r="BN174" s="23">
        <f t="shared" si="5"/>
        <v>0.35622481651040272</v>
      </c>
      <c r="BO174" s="23">
        <f t="shared" si="4"/>
        <v>0.17499165644933834</v>
      </c>
      <c r="BP174" s="23">
        <f t="shared" si="4"/>
        <v>0.54961085887466798</v>
      </c>
      <c r="BQ174" s="23">
        <f t="shared" si="4"/>
        <v>0</v>
      </c>
      <c r="BR174" s="23">
        <f t="shared" si="4"/>
        <v>0.13686235146523121</v>
      </c>
      <c r="BS174" s="23">
        <f t="shared" si="4"/>
        <v>0.21680422691399701</v>
      </c>
      <c r="BT174" s="23">
        <f t="shared" si="4"/>
        <v>0.3190030295779771</v>
      </c>
      <c r="BU174" s="23">
        <f t="shared" si="4"/>
        <v>0.20916885884731803</v>
      </c>
      <c r="BV174" s="23">
        <f t="shared" si="4"/>
        <v>1.2976822802217911</v>
      </c>
      <c r="BW174" s="23">
        <f t="shared" si="4"/>
        <v>0.81681223377021817</v>
      </c>
      <c r="BX174" s="23">
        <f t="shared" si="4"/>
        <v>0.61934137455697302</v>
      </c>
      <c r="BY174" s="23">
        <f t="shared" si="4"/>
        <v>0</v>
      </c>
      <c r="BZ174" s="23">
        <f t="shared" si="4"/>
        <v>0</v>
      </c>
      <c r="CA174" s="23">
        <f t="shared" si="4"/>
        <v>0.21053113499340739</v>
      </c>
    </row>
    <row r="175" spans="1:79" ht="15.75" customHeight="1" x14ac:dyDescent="0.2">
      <c r="A175" s="30" t="s">
        <v>48</v>
      </c>
      <c r="B175" s="23">
        <f t="shared" si="2"/>
        <v>0.44736819739206352</v>
      </c>
      <c r="C175" s="23">
        <f t="shared" si="5"/>
        <v>0.15285464423830264</v>
      </c>
      <c r="D175" s="23">
        <f t="shared" si="5"/>
        <v>0.10819575593402338</v>
      </c>
      <c r="E175" s="23">
        <f t="shared" si="5"/>
        <v>0.10819575593402338</v>
      </c>
      <c r="F175" s="23">
        <f t="shared" si="5"/>
        <v>0.23634514567570028</v>
      </c>
      <c r="G175" s="23">
        <f t="shared" si="5"/>
        <v>7.1177221814773622E-2</v>
      </c>
      <c r="H175" s="23">
        <f t="shared" si="5"/>
        <v>0.26066997499501737</v>
      </c>
      <c r="I175" s="23">
        <f t="shared" si="5"/>
        <v>1</v>
      </c>
      <c r="J175" s="23">
        <f t="shared" si="5"/>
        <v>0.1397850890211095</v>
      </c>
      <c r="K175" s="23">
        <f t="shared" si="5"/>
        <v>0.18740709613869233</v>
      </c>
      <c r="L175" s="23">
        <f t="shared" si="5"/>
        <v>0.84826688680260798</v>
      </c>
      <c r="M175" s="23">
        <f t="shared" si="5"/>
        <v>0</v>
      </c>
      <c r="N175" s="23">
        <f t="shared" si="5"/>
        <v>0.14834892327625196</v>
      </c>
      <c r="O175" s="23">
        <f t="shared" si="5"/>
        <v>0.17066148683160112</v>
      </c>
      <c r="P175" s="23">
        <f t="shared" si="5"/>
        <v>7.9117660976465345E-2</v>
      </c>
      <c r="Q175" s="23">
        <f t="shared" si="5"/>
        <v>0</v>
      </c>
      <c r="R175" s="23">
        <f t="shared" si="5"/>
        <v>0.16541955299823979</v>
      </c>
      <c r="S175" s="23">
        <f t="shared" si="5"/>
        <v>0</v>
      </c>
      <c r="T175" s="23">
        <f t="shared" si="5"/>
        <v>0.78011174201919542</v>
      </c>
      <c r="U175" s="23">
        <f t="shared" si="5"/>
        <v>0</v>
      </c>
      <c r="V175" s="23">
        <f t="shared" si="5"/>
        <v>0.10819575593402338</v>
      </c>
      <c r="W175" s="23">
        <f t="shared" si="5"/>
        <v>0.50723754267414256</v>
      </c>
      <c r="X175" s="23">
        <f t="shared" si="5"/>
        <v>0.14834892327625196</v>
      </c>
      <c r="Y175" s="23">
        <f t="shared" si="5"/>
        <v>0.83447440234032333</v>
      </c>
      <c r="Z175" s="23">
        <f t="shared" si="5"/>
        <v>0</v>
      </c>
      <c r="AA175" s="23">
        <f t="shared" si="5"/>
        <v>9.4329996234222752E-2</v>
      </c>
      <c r="AB175" s="23">
        <f t="shared" si="5"/>
        <v>0.18583207273049385</v>
      </c>
      <c r="AC175" s="23">
        <f t="shared" si="5"/>
        <v>0.187571234491685</v>
      </c>
      <c r="AD175" s="23">
        <f t="shared" si="5"/>
        <v>0.432598360593762</v>
      </c>
      <c r="AE175" s="23">
        <f t="shared" si="5"/>
        <v>0.19453178403587379</v>
      </c>
      <c r="AF175" s="23">
        <f t="shared" si="5"/>
        <v>0.16558104515054645</v>
      </c>
      <c r="AG175" s="23">
        <f t="shared" si="5"/>
        <v>0.18663812653669851</v>
      </c>
      <c r="AH175" s="23">
        <f t="shared" si="5"/>
        <v>0</v>
      </c>
      <c r="AI175" s="23">
        <f t="shared" si="5"/>
        <v>0.19142164453479033</v>
      </c>
      <c r="AJ175" s="23">
        <f t="shared" si="5"/>
        <v>0.23634514567570028</v>
      </c>
      <c r="AK175" s="23">
        <f t="shared" si="5"/>
        <v>0.12904546263682756</v>
      </c>
      <c r="AL175" s="23">
        <f t="shared" si="5"/>
        <v>0.79506852853518295</v>
      </c>
      <c r="AM175" s="23">
        <f t="shared" si="5"/>
        <v>0</v>
      </c>
      <c r="AN175" s="23">
        <f t="shared" si="5"/>
        <v>0.19187833799125545</v>
      </c>
      <c r="AO175" s="23">
        <f t="shared" si="5"/>
        <v>0.14834892327625196</v>
      </c>
      <c r="AP175" s="23">
        <f t="shared" si="5"/>
        <v>0.56068763299858937</v>
      </c>
      <c r="AQ175" s="23">
        <f t="shared" si="5"/>
        <v>0.28458748949984514</v>
      </c>
      <c r="AR175" s="23">
        <f t="shared" si="5"/>
        <v>0.16541955299823979</v>
      </c>
      <c r="AS175" s="23">
        <f t="shared" si="5"/>
        <v>0.1733265978219545</v>
      </c>
      <c r="AT175" s="23">
        <f t="shared" si="5"/>
        <v>0.36313847411457051</v>
      </c>
      <c r="AU175" s="23">
        <f t="shared" si="5"/>
        <v>0.53625261122032097</v>
      </c>
      <c r="AV175" s="23">
        <f t="shared" si="5"/>
        <v>0.20883484622172518</v>
      </c>
      <c r="AW175" s="23">
        <f t="shared" si="5"/>
        <v>0.71586570177028819</v>
      </c>
      <c r="AX175" s="23">
        <f t="shared" si="5"/>
        <v>7.9323517001667593E-2</v>
      </c>
      <c r="AY175" s="23">
        <f t="shared" si="5"/>
        <v>0</v>
      </c>
      <c r="AZ175" s="23">
        <f t="shared" si="5"/>
        <v>0.37443780529404935</v>
      </c>
      <c r="BA175" s="23">
        <f t="shared" si="5"/>
        <v>0.17528095145397604</v>
      </c>
      <c r="BB175" s="23">
        <f t="shared" si="5"/>
        <v>9.3902252131267711E-2</v>
      </c>
      <c r="BC175" s="23">
        <f t="shared" si="5"/>
        <v>0.23634514567570028</v>
      </c>
      <c r="BD175" s="23">
        <f t="shared" si="5"/>
        <v>0.79129156466765227</v>
      </c>
      <c r="BE175" s="23">
        <f t="shared" si="5"/>
        <v>0.13809995051344728</v>
      </c>
      <c r="BF175" s="23">
        <f t="shared" si="5"/>
        <v>0.50722498619555878</v>
      </c>
      <c r="BG175" s="23">
        <f t="shared" si="5"/>
        <v>0.28968157035494807</v>
      </c>
      <c r="BH175" s="23">
        <f t="shared" si="5"/>
        <v>7.3337360591092873E-2</v>
      </c>
      <c r="BI175" s="23">
        <f t="shared" si="5"/>
        <v>0.20061901014652633</v>
      </c>
      <c r="BJ175" s="23">
        <f t="shared" si="5"/>
        <v>0.14047512964939293</v>
      </c>
      <c r="BK175" s="23">
        <f t="shared" si="5"/>
        <v>0.24333836362186684</v>
      </c>
      <c r="BL175" s="23">
        <f t="shared" si="5"/>
        <v>0</v>
      </c>
      <c r="BM175" s="23">
        <f t="shared" si="5"/>
        <v>0</v>
      </c>
      <c r="BN175" s="23">
        <f t="shared" si="5"/>
        <v>0.16541955299823979</v>
      </c>
      <c r="BO175" s="23">
        <f t="shared" si="4"/>
        <v>0.35198073412979058</v>
      </c>
      <c r="BP175" s="23">
        <f t="shared" si="4"/>
        <v>0.18875524876016614</v>
      </c>
      <c r="BQ175" s="23">
        <f t="shared" si="4"/>
        <v>0</v>
      </c>
      <c r="BR175" s="23">
        <f t="shared" si="4"/>
        <v>0.10819575593402338</v>
      </c>
      <c r="BS175" s="23">
        <f t="shared" si="4"/>
        <v>0.83447440234032333</v>
      </c>
      <c r="BT175" s="23">
        <f t="shared" si="4"/>
        <v>0.14834892327625196</v>
      </c>
      <c r="BU175" s="23">
        <f t="shared" si="4"/>
        <v>0.57045090137663679</v>
      </c>
      <c r="BV175" s="23">
        <f t="shared" si="4"/>
        <v>0.21785157756115467</v>
      </c>
      <c r="BW175" s="23">
        <f t="shared" si="4"/>
        <v>0.2213265398876125</v>
      </c>
      <c r="BX175" s="23">
        <f t="shared" si="4"/>
        <v>0.45007671490084522</v>
      </c>
      <c r="BY175" s="23">
        <f t="shared" si="4"/>
        <v>0</v>
      </c>
      <c r="BZ175" s="23">
        <f t="shared" si="4"/>
        <v>0</v>
      </c>
      <c r="CA175" s="23">
        <f t="shared" si="4"/>
        <v>0.83787377870955737</v>
      </c>
    </row>
    <row r="176" spans="1:79" ht="15.75" customHeight="1" x14ac:dyDescent="0.2">
      <c r="A176" s="30" t="s">
        <v>49</v>
      </c>
      <c r="B176" s="23">
        <f t="shared" si="2"/>
        <v>0.11337514414863634</v>
      </c>
      <c r="C176" s="23">
        <f t="shared" si="5"/>
        <v>0.11095911491135044</v>
      </c>
      <c r="D176" s="23">
        <f t="shared" si="5"/>
        <v>8.0755373618220327E-2</v>
      </c>
      <c r="E176" s="23">
        <f t="shared" si="5"/>
        <v>8.0755373618220327E-2</v>
      </c>
      <c r="F176" s="23">
        <f t="shared" si="5"/>
        <v>9.7251570461669531E-2</v>
      </c>
      <c r="G176" s="23">
        <f t="shared" si="5"/>
        <v>0.10971639586448566</v>
      </c>
      <c r="H176" s="23">
        <f t="shared" si="5"/>
        <v>9.4902667728492346E-2</v>
      </c>
      <c r="I176" s="23">
        <f t="shared" si="5"/>
        <v>0.1397850890211095</v>
      </c>
      <c r="J176" s="23">
        <f t="shared" si="5"/>
        <v>1</v>
      </c>
      <c r="K176" s="23">
        <f t="shared" si="5"/>
        <v>8.0900302085716788E-2</v>
      </c>
      <c r="L176" s="23">
        <f t="shared" si="5"/>
        <v>0.14289070470963602</v>
      </c>
      <c r="M176" s="23">
        <f t="shared" si="5"/>
        <v>0</v>
      </c>
      <c r="N176" s="23">
        <f t="shared" si="5"/>
        <v>7.3270033098930237E-2</v>
      </c>
      <c r="O176" s="23">
        <f t="shared" si="5"/>
        <v>7.7020657751586813E-2</v>
      </c>
      <c r="P176" s="23">
        <f t="shared" si="5"/>
        <v>9.1579947393664304E-2</v>
      </c>
      <c r="Q176" s="23">
        <f t="shared" si="5"/>
        <v>0</v>
      </c>
      <c r="R176" s="23">
        <f t="shared" si="5"/>
        <v>7.5820142431356055E-2</v>
      </c>
      <c r="S176" s="23">
        <f t="shared" si="5"/>
        <v>0</v>
      </c>
      <c r="T176" s="23">
        <f t="shared" si="5"/>
        <v>0.15542118313953371</v>
      </c>
      <c r="U176" s="23">
        <f t="shared" si="5"/>
        <v>0</v>
      </c>
      <c r="V176" s="23">
        <f t="shared" si="5"/>
        <v>8.0755373618220327E-2</v>
      </c>
      <c r="W176" s="23">
        <f t="shared" si="5"/>
        <v>0.18446260608466172</v>
      </c>
      <c r="X176" s="23">
        <f t="shared" si="5"/>
        <v>7.3270033098930237E-2</v>
      </c>
      <c r="Y176" s="23">
        <f t="shared" si="5"/>
        <v>0.14292735900007095</v>
      </c>
      <c r="Z176" s="23">
        <f t="shared" si="5"/>
        <v>0</v>
      </c>
      <c r="AA176" s="23">
        <f t="shared" si="5"/>
        <v>8.6439248633377416E-2</v>
      </c>
      <c r="AB176" s="23">
        <f t="shared" si="5"/>
        <v>8.0275267480804699E-2</v>
      </c>
      <c r="AC176" s="23">
        <f t="shared" si="5"/>
        <v>0.10357239841377372</v>
      </c>
      <c r="AD176" s="23">
        <f t="shared" si="5"/>
        <v>0.20469381034675846</v>
      </c>
      <c r="AE176" s="23">
        <f t="shared" si="5"/>
        <v>8.1540850960537412E-2</v>
      </c>
      <c r="AF176" s="23">
        <f t="shared" si="5"/>
        <v>7.6095758567627653E-2</v>
      </c>
      <c r="AG176" s="23">
        <f t="shared" si="5"/>
        <v>8.0140200365447486E-2</v>
      </c>
      <c r="AH176" s="23">
        <f t="shared" si="5"/>
        <v>0</v>
      </c>
      <c r="AI176" s="23">
        <f t="shared" si="5"/>
        <v>8.4678930727093885E-2</v>
      </c>
      <c r="AJ176" s="23">
        <f t="shared" si="5"/>
        <v>9.7251570461669531E-2</v>
      </c>
      <c r="AK176" s="23">
        <f t="shared" si="5"/>
        <v>0.15219579664149369</v>
      </c>
      <c r="AL176" s="23">
        <f t="shared" si="5"/>
        <v>0.13293382329789755</v>
      </c>
      <c r="AM176" s="23">
        <f t="shared" si="5"/>
        <v>0</v>
      </c>
      <c r="AN176" s="23">
        <f t="shared" si="5"/>
        <v>8.1916707639625122E-2</v>
      </c>
      <c r="AO176" s="23">
        <f t="shared" si="5"/>
        <v>7.3270033098930237E-2</v>
      </c>
      <c r="AP176" s="23">
        <f t="shared" si="5"/>
        <v>0.12435076181506796</v>
      </c>
      <c r="AQ176" s="23">
        <f t="shared" si="5"/>
        <v>0.23885555385763552</v>
      </c>
      <c r="AR176" s="23">
        <f t="shared" si="5"/>
        <v>7.5820142431356055E-2</v>
      </c>
      <c r="AS176" s="23">
        <f t="shared" si="5"/>
        <v>7.9391359298605482E-2</v>
      </c>
      <c r="AT176" s="23">
        <f t="shared" si="5"/>
        <v>0.16191533212423134</v>
      </c>
      <c r="AU176" s="23">
        <f t="shared" si="5"/>
        <v>0.15297516708340658</v>
      </c>
      <c r="AV176" s="23">
        <f t="shared" si="5"/>
        <v>8.9231512191821225E-2</v>
      </c>
      <c r="AW176" s="23">
        <f t="shared" si="5"/>
        <v>0.16746521889647265</v>
      </c>
      <c r="AX176" s="23">
        <f t="shared" si="5"/>
        <v>8.8349740562393725E-2</v>
      </c>
      <c r="AY176" s="23">
        <f t="shared" si="5"/>
        <v>0</v>
      </c>
      <c r="AZ176" s="23">
        <f t="shared" si="5"/>
        <v>0.19729402086636419</v>
      </c>
      <c r="BA176" s="23">
        <f t="shared" si="5"/>
        <v>8.2530939212317189E-2</v>
      </c>
      <c r="BB176" s="23">
        <f t="shared" si="5"/>
        <v>9.7707384026745711E-2</v>
      </c>
      <c r="BC176" s="23">
        <f t="shared" si="5"/>
        <v>9.7251570461669531E-2</v>
      </c>
      <c r="BD176" s="23">
        <f t="shared" si="5"/>
        <v>0.12675430259728532</v>
      </c>
      <c r="BE176" s="23">
        <f t="shared" si="5"/>
        <v>7.2265447058628862E-2</v>
      </c>
      <c r="BF176" s="23">
        <f t="shared" si="5"/>
        <v>0.11689438440197711</v>
      </c>
      <c r="BG176" s="23">
        <f t="shared" si="5"/>
        <v>0.10050603805142901</v>
      </c>
      <c r="BH176" s="23">
        <f t="shared" si="5"/>
        <v>0.10014142854556851</v>
      </c>
      <c r="BI176" s="23">
        <f t="shared" si="5"/>
        <v>8.2751578912481583E-2</v>
      </c>
      <c r="BJ176" s="23">
        <f t="shared" si="5"/>
        <v>7.1324285328999648E-2</v>
      </c>
      <c r="BK176" s="23">
        <f t="shared" si="5"/>
        <v>8.8911768927697948E-2</v>
      </c>
      <c r="BL176" s="23">
        <f t="shared" si="5"/>
        <v>0</v>
      </c>
      <c r="BM176" s="23">
        <f t="shared" si="5"/>
        <v>0</v>
      </c>
      <c r="BN176" s="23">
        <f t="shared" si="5"/>
        <v>7.5820142431356055E-2</v>
      </c>
      <c r="BO176" s="23">
        <f t="shared" si="4"/>
        <v>0.20729964336032866</v>
      </c>
      <c r="BP176" s="23">
        <f t="shared" si="4"/>
        <v>8.1178506887676735E-2</v>
      </c>
      <c r="BQ176" s="23">
        <f t="shared" si="4"/>
        <v>0</v>
      </c>
      <c r="BR176" s="23">
        <f t="shared" si="4"/>
        <v>8.0755373618220327E-2</v>
      </c>
      <c r="BS176" s="23">
        <f t="shared" si="4"/>
        <v>0.14292735900007095</v>
      </c>
      <c r="BT176" s="23">
        <f t="shared" si="4"/>
        <v>7.3270033098930237E-2</v>
      </c>
      <c r="BU176" s="23">
        <f t="shared" si="4"/>
        <v>0.1721927053998826</v>
      </c>
      <c r="BV176" s="23">
        <f t="shared" si="4"/>
        <v>8.8810995472940635E-2</v>
      </c>
      <c r="BW176" s="23">
        <f t="shared" si="4"/>
        <v>8.6431927615058857E-2</v>
      </c>
      <c r="BX176" s="23">
        <f t="shared" si="4"/>
        <v>0.10937524424180607</v>
      </c>
      <c r="BY176" s="23">
        <f t="shared" si="4"/>
        <v>0</v>
      </c>
      <c r="BZ176" s="23">
        <f t="shared" si="4"/>
        <v>0</v>
      </c>
      <c r="CA176" s="23">
        <f t="shared" si="4"/>
        <v>0.16620904384912655</v>
      </c>
    </row>
    <row r="177" spans="1:79" ht="15.75" customHeight="1" x14ac:dyDescent="0.2">
      <c r="A177" s="30" t="s">
        <v>50</v>
      </c>
      <c r="B177" s="23">
        <f t="shared" si="2"/>
        <v>0.28232465256494066</v>
      </c>
      <c r="C177" s="23">
        <f t="shared" si="5"/>
        <v>0.19558592366750566</v>
      </c>
      <c r="D177" s="23">
        <f t="shared" si="5"/>
        <v>0.18074080531795589</v>
      </c>
      <c r="E177" s="23">
        <f t="shared" si="5"/>
        <v>0.18074080531795589</v>
      </c>
      <c r="F177" s="23">
        <f t="shared" si="5"/>
        <v>0.41989568694265761</v>
      </c>
      <c r="G177" s="23">
        <f t="shared" si="5"/>
        <v>0.10901697321506598</v>
      </c>
      <c r="H177" s="23">
        <f t="shared" si="5"/>
        <v>0.53698511753091505</v>
      </c>
      <c r="I177" s="23">
        <f t="shared" si="5"/>
        <v>0.18740709613869233</v>
      </c>
      <c r="J177" s="23">
        <f t="shared" si="5"/>
        <v>8.0900302085716788E-2</v>
      </c>
      <c r="K177" s="23">
        <f t="shared" si="5"/>
        <v>1</v>
      </c>
      <c r="L177" s="23">
        <f t="shared" si="5"/>
        <v>0.18639082391773848</v>
      </c>
      <c r="M177" s="23">
        <f t="shared" si="5"/>
        <v>0</v>
      </c>
      <c r="N177" s="23">
        <f t="shared" si="5"/>
        <v>0.71177971943969387</v>
      </c>
      <c r="O177" s="23">
        <f t="shared" si="5"/>
        <v>1.4078018595018615</v>
      </c>
      <c r="P177" s="23">
        <f t="shared" si="5"/>
        <v>0.13514480312196461</v>
      </c>
      <c r="Q177" s="23">
        <f t="shared" si="5"/>
        <v>0</v>
      </c>
      <c r="R177" s="23">
        <f t="shared" si="5"/>
        <v>1.0423091660645429</v>
      </c>
      <c r="S177" s="23">
        <f t="shared" si="5"/>
        <v>0</v>
      </c>
      <c r="T177" s="23">
        <f t="shared" si="5"/>
        <v>0.16857537805768449</v>
      </c>
      <c r="U177" s="23">
        <f t="shared" si="5"/>
        <v>0</v>
      </c>
      <c r="V177" s="23">
        <f t="shared" si="5"/>
        <v>0.18074080531795589</v>
      </c>
      <c r="W177" s="23">
        <f t="shared" si="5"/>
        <v>0.14393173909468462</v>
      </c>
      <c r="X177" s="23">
        <f t="shared" si="5"/>
        <v>0.71177971943969387</v>
      </c>
      <c r="Y177" s="23">
        <f t="shared" si="5"/>
        <v>0.1725982914967672</v>
      </c>
      <c r="Z177" s="23">
        <f t="shared" si="5"/>
        <v>0</v>
      </c>
      <c r="AA177" s="23">
        <f t="shared" si="5"/>
        <v>0.14753613067557006</v>
      </c>
      <c r="AB177" s="23">
        <f t="shared" si="5"/>
        <v>5.0972310285657514</v>
      </c>
      <c r="AC177" s="23">
        <f t="shared" si="5"/>
        <v>0.26624073491805728</v>
      </c>
      <c r="AD177" s="23">
        <f t="shared" si="5"/>
        <v>0.13076104409456452</v>
      </c>
      <c r="AE177" s="23">
        <f t="shared" si="5"/>
        <v>0.81267250183758144</v>
      </c>
      <c r="AF177" s="23">
        <f t="shared" si="5"/>
        <v>1.2459714818278258</v>
      </c>
      <c r="AG177" s="23">
        <f t="shared" si="5"/>
        <v>2.4613121683152386</v>
      </c>
      <c r="AH177" s="23">
        <f t="shared" si="5"/>
        <v>0</v>
      </c>
      <c r="AI177" s="23">
        <f t="shared" si="5"/>
        <v>1.0034224987091169</v>
      </c>
      <c r="AJ177" s="23">
        <f t="shared" si="5"/>
        <v>0.41989568694265761</v>
      </c>
      <c r="AK177" s="23">
        <f t="shared" si="5"/>
        <v>0.10383657630012276</v>
      </c>
      <c r="AL177" s="23">
        <f t="shared" si="5"/>
        <v>0.2065957074077327</v>
      </c>
      <c r="AM177" s="23">
        <f t="shared" si="5"/>
        <v>0</v>
      </c>
      <c r="AN177" s="23">
        <f t="shared" si="5"/>
        <v>6.0088164580164474</v>
      </c>
      <c r="AO177" s="23">
        <f t="shared" si="5"/>
        <v>0.71177971943969387</v>
      </c>
      <c r="AP177" s="23">
        <f t="shared" si="5"/>
        <v>0.2313971016454611</v>
      </c>
      <c r="AQ177" s="23">
        <f t="shared" si="5"/>
        <v>0.12195561154277609</v>
      </c>
      <c r="AR177" s="23">
        <f t="shared" si="5"/>
        <v>1.0423091660645429</v>
      </c>
      <c r="AS177" s="23">
        <f t="shared" si="5"/>
        <v>1.6807261204564101</v>
      </c>
      <c r="AT177" s="23">
        <f t="shared" si="5"/>
        <v>0.14105854057471814</v>
      </c>
      <c r="AU177" s="23">
        <f t="shared" si="5"/>
        <v>0.15560351890129279</v>
      </c>
      <c r="AV177" s="23">
        <f t="shared" si="5"/>
        <v>0.67038212036858313</v>
      </c>
      <c r="AW177" s="23">
        <f t="shared" si="5"/>
        <v>0.15598103591911611</v>
      </c>
      <c r="AX177" s="23">
        <f t="shared" si="5"/>
        <v>0.13591857376777011</v>
      </c>
      <c r="AY177" s="23">
        <f t="shared" si="5"/>
        <v>0</v>
      </c>
      <c r="AZ177" s="23">
        <f t="shared" si="5"/>
        <v>0.13696408660478304</v>
      </c>
      <c r="BA177" s="23">
        <f t="shared" si="5"/>
        <v>0.84433492466406568</v>
      </c>
      <c r="BB177" s="23">
        <f t="shared" si="5"/>
        <v>0.12683730608067648</v>
      </c>
      <c r="BC177" s="23">
        <f t="shared" si="5"/>
        <v>0.41989568694265761</v>
      </c>
      <c r="BD177" s="23">
        <f t="shared" si="5"/>
        <v>0.20429101084290371</v>
      </c>
      <c r="BE177" s="23">
        <f t="shared" si="5"/>
        <v>0.51772070633481027</v>
      </c>
      <c r="BF177" s="23">
        <f t="shared" si="5"/>
        <v>0.26272982733764516</v>
      </c>
      <c r="BG177" s="23">
        <f t="shared" si="5"/>
        <v>0.40500566577853792</v>
      </c>
      <c r="BH177" s="23">
        <f t="shared" si="5"/>
        <v>0.1144216380286484</v>
      </c>
      <c r="BI177" s="23">
        <f t="shared" si="5"/>
        <v>2.3180258032574987</v>
      </c>
      <c r="BJ177" s="23">
        <f t="shared" si="5"/>
        <v>0.56034742058452625</v>
      </c>
      <c r="BK177" s="23">
        <f t="shared" si="5"/>
        <v>0.77110866894009489</v>
      </c>
      <c r="BL177" s="23">
        <f t="shared" si="5"/>
        <v>0</v>
      </c>
      <c r="BM177" s="23">
        <f t="shared" si="5"/>
        <v>0</v>
      </c>
      <c r="BN177" s="23">
        <f t="shared" ref="BN177:CA180" si="6">IF(BN93&gt;=0, IF(BN93 = 0,  1, 1/BN93*$B$165), 0)</f>
        <v>1.0423091660645429</v>
      </c>
      <c r="BO177" s="23">
        <f t="shared" si="6"/>
        <v>0.13254621012099305</v>
      </c>
      <c r="BP177" s="23">
        <f t="shared" si="6"/>
        <v>23.29521552368389</v>
      </c>
      <c r="BQ177" s="23">
        <f t="shared" si="6"/>
        <v>0</v>
      </c>
      <c r="BR177" s="23">
        <f t="shared" si="6"/>
        <v>0.18074080531795589</v>
      </c>
      <c r="BS177" s="23">
        <f t="shared" si="6"/>
        <v>0.1725982914967672</v>
      </c>
      <c r="BT177" s="23">
        <f t="shared" si="6"/>
        <v>0.71177971943969387</v>
      </c>
      <c r="BU177" s="23">
        <f t="shared" si="6"/>
        <v>0.15253388627893902</v>
      </c>
      <c r="BV177" s="23">
        <f t="shared" si="6"/>
        <v>0.80373860781424189</v>
      </c>
      <c r="BW177" s="23">
        <f t="shared" si="6"/>
        <v>1.2222345538509709</v>
      </c>
      <c r="BX177" s="23">
        <f t="shared" si="6"/>
        <v>0.30945540143144867</v>
      </c>
      <c r="BY177" s="23">
        <f t="shared" si="6"/>
        <v>0</v>
      </c>
      <c r="BZ177" s="23">
        <f t="shared" si="6"/>
        <v>0</v>
      </c>
      <c r="CA177" s="23">
        <f t="shared" si="6"/>
        <v>0.15616701800683236</v>
      </c>
    </row>
    <row r="178" spans="1:79" ht="15.75" customHeight="1" x14ac:dyDescent="0.2">
      <c r="A178" s="30" t="s">
        <v>51</v>
      </c>
      <c r="B178" s="23">
        <f t="shared" si="2"/>
        <v>0.54079278185476554</v>
      </c>
      <c r="C178" s="23">
        <f t="shared" ref="C178:BN181" si="7">IF(C94&gt;=0, IF(C94 = 0,  1, 1/C94*$B$165), 0)</f>
        <v>0.18228920512956026</v>
      </c>
      <c r="D178" s="23">
        <f t="shared" si="7"/>
        <v>9.956515864835952E-2</v>
      </c>
      <c r="E178" s="23">
        <f t="shared" si="7"/>
        <v>9.956515864835952E-2</v>
      </c>
      <c r="F178" s="23">
        <f t="shared" si="7"/>
        <v>0.26989471648809343</v>
      </c>
      <c r="G178" s="23">
        <f t="shared" si="7"/>
        <v>7.6785926825690257E-2</v>
      </c>
      <c r="H178" s="23">
        <f t="shared" si="7"/>
        <v>0.27745361424300219</v>
      </c>
      <c r="I178" s="23">
        <f t="shared" si="7"/>
        <v>0.84826688680260798</v>
      </c>
      <c r="J178" s="23">
        <f t="shared" si="7"/>
        <v>0.14289070470963602</v>
      </c>
      <c r="K178" s="23">
        <f t="shared" si="7"/>
        <v>0.18639082391773848</v>
      </c>
      <c r="L178" s="23">
        <f t="shared" si="7"/>
        <v>1</v>
      </c>
      <c r="M178" s="23">
        <f t="shared" si="7"/>
        <v>0</v>
      </c>
      <c r="N178" s="23">
        <f t="shared" si="7"/>
        <v>0.14876854095263922</v>
      </c>
      <c r="O178" s="23">
        <f t="shared" si="7"/>
        <v>0.16680326378146909</v>
      </c>
      <c r="P178" s="23">
        <f t="shared" si="7"/>
        <v>8.2625233001082266E-2</v>
      </c>
      <c r="Q178" s="23">
        <f t="shared" si="7"/>
        <v>0</v>
      </c>
      <c r="R178" s="23">
        <f t="shared" si="7"/>
        <v>0.1608677796299248</v>
      </c>
      <c r="S178" s="23">
        <f t="shared" si="7"/>
        <v>0</v>
      </c>
      <c r="T178" s="23">
        <f t="shared" si="7"/>
        <v>1.7476938755187004</v>
      </c>
      <c r="U178" s="23">
        <f t="shared" si="7"/>
        <v>0</v>
      </c>
      <c r="V178" s="23">
        <f t="shared" si="7"/>
        <v>9.956515864835952E-2</v>
      </c>
      <c r="W178" s="23">
        <f t="shared" si="7"/>
        <v>0.62999852191089323</v>
      </c>
      <c r="X178" s="23">
        <f t="shared" si="7"/>
        <v>0.14876854095263922</v>
      </c>
      <c r="Y178" s="23">
        <f t="shared" si="7"/>
        <v>0.42541464108209637</v>
      </c>
      <c r="Z178" s="23">
        <f t="shared" si="7"/>
        <v>0</v>
      </c>
      <c r="AA178" s="23">
        <f t="shared" si="7"/>
        <v>8.729767904124261E-2</v>
      </c>
      <c r="AB178" s="23">
        <f t="shared" si="7"/>
        <v>0.18317114734853474</v>
      </c>
      <c r="AC178" s="23">
        <f t="shared" si="7"/>
        <v>0.22530816831341846</v>
      </c>
      <c r="AD178" s="23">
        <f t="shared" si="7"/>
        <v>0.38335763834878889</v>
      </c>
      <c r="AE178" s="23">
        <f t="shared" si="7"/>
        <v>0.18194460024572995</v>
      </c>
      <c r="AF178" s="23">
        <f t="shared" si="7"/>
        <v>0.16275415535807988</v>
      </c>
      <c r="AG178" s="23">
        <f t="shared" si="7"/>
        <v>0.18202273085038323</v>
      </c>
      <c r="AH178" s="23">
        <f t="shared" si="7"/>
        <v>0</v>
      </c>
      <c r="AI178" s="23">
        <f t="shared" si="7"/>
        <v>0.20036647939989491</v>
      </c>
      <c r="AJ178" s="23">
        <f t="shared" si="7"/>
        <v>0.26989471648809343</v>
      </c>
      <c r="AK178" s="23">
        <f t="shared" si="7"/>
        <v>0.11316199283349945</v>
      </c>
      <c r="AL178" s="23">
        <f t="shared" si="7"/>
        <v>1.9052115789921129</v>
      </c>
      <c r="AM178" s="23">
        <f t="shared" si="7"/>
        <v>0</v>
      </c>
      <c r="AN178" s="23">
        <f t="shared" si="7"/>
        <v>0.19173352247726927</v>
      </c>
      <c r="AO178" s="23">
        <f t="shared" si="7"/>
        <v>0.14876854095263922</v>
      </c>
      <c r="AP178" s="23">
        <f t="shared" si="7"/>
        <v>0.90373997885445179</v>
      </c>
      <c r="AQ178" s="23">
        <f t="shared" si="7"/>
        <v>0.34104744085767169</v>
      </c>
      <c r="AR178" s="23">
        <f t="shared" si="7"/>
        <v>0.1608677796299248</v>
      </c>
      <c r="AS178" s="23">
        <f t="shared" si="7"/>
        <v>0.17615764417610627</v>
      </c>
      <c r="AT178" s="23">
        <f t="shared" si="7"/>
        <v>0.26334245286501706</v>
      </c>
      <c r="AU178" s="23">
        <f t="shared" si="7"/>
        <v>0.33951562268874436</v>
      </c>
      <c r="AV178" s="23">
        <f t="shared" si="7"/>
        <v>0.22440971052786288</v>
      </c>
      <c r="AW178" s="23">
        <f t="shared" si="7"/>
        <v>0.90828757791164738</v>
      </c>
      <c r="AX178" s="23">
        <f t="shared" si="7"/>
        <v>7.8966885540164788E-2</v>
      </c>
      <c r="AY178" s="23">
        <f t="shared" si="7"/>
        <v>0</v>
      </c>
      <c r="AZ178" s="23">
        <f t="shared" si="7"/>
        <v>0.49738179720133313</v>
      </c>
      <c r="BA178" s="23">
        <f t="shared" si="7"/>
        <v>0.18427740262951467</v>
      </c>
      <c r="BB178" s="23">
        <f t="shared" si="7"/>
        <v>8.522283582920652E-2</v>
      </c>
      <c r="BC178" s="23">
        <f t="shared" si="7"/>
        <v>0.26989471648809343</v>
      </c>
      <c r="BD178" s="23">
        <f t="shared" si="7"/>
        <v>0.42092022892002884</v>
      </c>
      <c r="BE178" s="23">
        <f t="shared" si="7"/>
        <v>0.14022874304462851</v>
      </c>
      <c r="BF178" s="23">
        <f t="shared" si="7"/>
        <v>0.63670271492099817</v>
      </c>
      <c r="BG178" s="23">
        <f t="shared" si="7"/>
        <v>0.3247888745906739</v>
      </c>
      <c r="BH178" s="23">
        <f t="shared" si="7"/>
        <v>7.0900236493975324E-2</v>
      </c>
      <c r="BI178" s="23">
        <f t="shared" si="7"/>
        <v>0.19628461450800724</v>
      </c>
      <c r="BJ178" s="23">
        <f t="shared" si="7"/>
        <v>0.14060920070255983</v>
      </c>
      <c r="BK178" s="23">
        <f t="shared" si="7"/>
        <v>0.23200286784621965</v>
      </c>
      <c r="BL178" s="23">
        <f t="shared" si="7"/>
        <v>0</v>
      </c>
      <c r="BM178" s="23">
        <f t="shared" si="7"/>
        <v>0</v>
      </c>
      <c r="BN178" s="23">
        <f t="shared" si="7"/>
        <v>0.1608677796299248</v>
      </c>
      <c r="BO178" s="23">
        <f t="shared" si="6"/>
        <v>0.4465879386955503</v>
      </c>
      <c r="BP178" s="23">
        <f t="shared" si="6"/>
        <v>0.18786168200607556</v>
      </c>
      <c r="BQ178" s="23">
        <f t="shared" si="6"/>
        <v>0</v>
      </c>
      <c r="BR178" s="23">
        <f t="shared" si="6"/>
        <v>9.956515864835952E-2</v>
      </c>
      <c r="BS178" s="23">
        <f t="shared" si="6"/>
        <v>0.42541464108209637</v>
      </c>
      <c r="BT178" s="23">
        <f t="shared" si="6"/>
        <v>0.14876854095263922</v>
      </c>
      <c r="BU178" s="23">
        <f t="shared" si="6"/>
        <v>0.83964295674959688</v>
      </c>
      <c r="BV178" s="23">
        <f t="shared" si="6"/>
        <v>0.22883035923528411</v>
      </c>
      <c r="BW178" s="23">
        <f t="shared" si="6"/>
        <v>0.21868349601704648</v>
      </c>
      <c r="BX178" s="23">
        <f t="shared" si="6"/>
        <v>0.46470382592590387</v>
      </c>
      <c r="BY178" s="23">
        <f t="shared" si="6"/>
        <v>0</v>
      </c>
      <c r="BZ178" s="23">
        <f t="shared" si="6"/>
        <v>0</v>
      </c>
      <c r="CA178" s="23">
        <f t="shared" si="6"/>
        <v>0.79786767142223203</v>
      </c>
    </row>
    <row r="179" spans="1:79" ht="15.75" customHeight="1" x14ac:dyDescent="0.2">
      <c r="A179" s="30" t="s">
        <v>52</v>
      </c>
      <c r="B179" s="23">
        <f t="shared" si="2"/>
        <v>0</v>
      </c>
      <c r="C179" s="23">
        <f t="shared" si="7"/>
        <v>0</v>
      </c>
      <c r="D179" s="23">
        <f t="shared" si="7"/>
        <v>0</v>
      </c>
      <c r="E179" s="23">
        <f t="shared" si="7"/>
        <v>0</v>
      </c>
      <c r="F179" s="23">
        <f t="shared" si="7"/>
        <v>0</v>
      </c>
      <c r="G179" s="23">
        <f t="shared" si="7"/>
        <v>0</v>
      </c>
      <c r="H179" s="23">
        <f t="shared" si="7"/>
        <v>0</v>
      </c>
      <c r="I179" s="23">
        <f t="shared" si="7"/>
        <v>0</v>
      </c>
      <c r="J179" s="23">
        <f t="shared" si="7"/>
        <v>0</v>
      </c>
      <c r="K179" s="23">
        <f t="shared" si="7"/>
        <v>0</v>
      </c>
      <c r="L179" s="23">
        <f t="shared" si="7"/>
        <v>0</v>
      </c>
      <c r="M179" s="23">
        <f t="shared" si="7"/>
        <v>1</v>
      </c>
      <c r="N179" s="23">
        <f t="shared" si="7"/>
        <v>0</v>
      </c>
      <c r="O179" s="23">
        <f t="shared" si="7"/>
        <v>0</v>
      </c>
      <c r="P179" s="23">
        <f t="shared" si="7"/>
        <v>0</v>
      </c>
      <c r="Q179" s="23">
        <f t="shared" si="7"/>
        <v>0</v>
      </c>
      <c r="R179" s="23">
        <f t="shared" si="7"/>
        <v>0</v>
      </c>
      <c r="S179" s="23">
        <f t="shared" si="7"/>
        <v>0</v>
      </c>
      <c r="T179" s="23">
        <f t="shared" si="7"/>
        <v>0</v>
      </c>
      <c r="U179" s="23">
        <f t="shared" si="7"/>
        <v>0</v>
      </c>
      <c r="V179" s="23">
        <f t="shared" si="7"/>
        <v>0</v>
      </c>
      <c r="W179" s="23">
        <f t="shared" si="7"/>
        <v>0</v>
      </c>
      <c r="X179" s="23">
        <f t="shared" si="7"/>
        <v>0</v>
      </c>
      <c r="Y179" s="23">
        <f t="shared" si="7"/>
        <v>0</v>
      </c>
      <c r="Z179" s="23">
        <f t="shared" si="7"/>
        <v>0</v>
      </c>
      <c r="AA179" s="23">
        <f t="shared" si="7"/>
        <v>0</v>
      </c>
      <c r="AB179" s="23">
        <f t="shared" si="7"/>
        <v>0</v>
      </c>
      <c r="AC179" s="23">
        <f t="shared" si="7"/>
        <v>0</v>
      </c>
      <c r="AD179" s="23">
        <f t="shared" si="7"/>
        <v>0</v>
      </c>
      <c r="AE179" s="23">
        <f t="shared" si="7"/>
        <v>0</v>
      </c>
      <c r="AF179" s="23">
        <f t="shared" si="7"/>
        <v>0</v>
      </c>
      <c r="AG179" s="23">
        <f t="shared" si="7"/>
        <v>0</v>
      </c>
      <c r="AH179" s="23">
        <f t="shared" si="7"/>
        <v>0</v>
      </c>
      <c r="AI179" s="23">
        <f t="shared" si="7"/>
        <v>0</v>
      </c>
      <c r="AJ179" s="23">
        <f t="shared" si="7"/>
        <v>0</v>
      </c>
      <c r="AK179" s="23">
        <f t="shared" si="7"/>
        <v>0</v>
      </c>
      <c r="AL179" s="23">
        <f t="shared" si="7"/>
        <v>0</v>
      </c>
      <c r="AM179" s="23">
        <f t="shared" si="7"/>
        <v>0</v>
      </c>
      <c r="AN179" s="23">
        <f t="shared" si="7"/>
        <v>0</v>
      </c>
      <c r="AO179" s="23">
        <f t="shared" si="7"/>
        <v>0</v>
      </c>
      <c r="AP179" s="23">
        <f t="shared" si="7"/>
        <v>0</v>
      </c>
      <c r="AQ179" s="23">
        <f t="shared" si="7"/>
        <v>0</v>
      </c>
      <c r="AR179" s="23">
        <f t="shared" si="7"/>
        <v>0</v>
      </c>
      <c r="AS179" s="23">
        <f t="shared" si="7"/>
        <v>0</v>
      </c>
      <c r="AT179" s="23">
        <f t="shared" si="7"/>
        <v>0</v>
      </c>
      <c r="AU179" s="23">
        <f t="shared" si="7"/>
        <v>0</v>
      </c>
      <c r="AV179" s="23">
        <f t="shared" si="7"/>
        <v>0</v>
      </c>
      <c r="AW179" s="23">
        <f t="shared" si="7"/>
        <v>0</v>
      </c>
      <c r="AX179" s="23">
        <f t="shared" si="7"/>
        <v>0</v>
      </c>
      <c r="AY179" s="23">
        <f t="shared" si="7"/>
        <v>0</v>
      </c>
      <c r="AZ179" s="23">
        <f t="shared" si="7"/>
        <v>0</v>
      </c>
      <c r="BA179" s="23">
        <f t="shared" si="7"/>
        <v>0</v>
      </c>
      <c r="BB179" s="23">
        <f t="shared" si="7"/>
        <v>0</v>
      </c>
      <c r="BC179" s="23">
        <f t="shared" si="7"/>
        <v>0</v>
      </c>
      <c r="BD179" s="23">
        <f t="shared" si="7"/>
        <v>0</v>
      </c>
      <c r="BE179" s="23">
        <f t="shared" si="7"/>
        <v>0</v>
      </c>
      <c r="BF179" s="23">
        <f t="shared" si="7"/>
        <v>0</v>
      </c>
      <c r="BG179" s="23">
        <f t="shared" si="7"/>
        <v>0</v>
      </c>
      <c r="BH179" s="23">
        <f t="shared" si="7"/>
        <v>0</v>
      </c>
      <c r="BI179" s="23">
        <f t="shared" si="7"/>
        <v>0</v>
      </c>
      <c r="BJ179" s="23">
        <f t="shared" si="7"/>
        <v>0</v>
      </c>
      <c r="BK179" s="23">
        <f t="shared" si="7"/>
        <v>0</v>
      </c>
      <c r="BL179" s="23">
        <f t="shared" si="7"/>
        <v>0</v>
      </c>
      <c r="BM179" s="23">
        <f t="shared" si="7"/>
        <v>1</v>
      </c>
      <c r="BN179" s="23">
        <f t="shared" si="7"/>
        <v>0</v>
      </c>
      <c r="BO179" s="23">
        <f t="shared" si="6"/>
        <v>0</v>
      </c>
      <c r="BP179" s="23">
        <f t="shared" si="6"/>
        <v>0</v>
      </c>
      <c r="BQ179" s="23">
        <f t="shared" si="6"/>
        <v>0</v>
      </c>
      <c r="BR179" s="23">
        <f t="shared" si="6"/>
        <v>0</v>
      </c>
      <c r="BS179" s="23">
        <f t="shared" si="6"/>
        <v>0</v>
      </c>
      <c r="BT179" s="23">
        <f t="shared" si="6"/>
        <v>0</v>
      </c>
      <c r="BU179" s="23">
        <f t="shared" si="6"/>
        <v>0</v>
      </c>
      <c r="BV179" s="23">
        <f t="shared" si="6"/>
        <v>0</v>
      </c>
      <c r="BW179" s="23">
        <f t="shared" si="6"/>
        <v>0</v>
      </c>
      <c r="BX179" s="23">
        <f t="shared" si="6"/>
        <v>0</v>
      </c>
      <c r="BY179" s="23">
        <f t="shared" si="6"/>
        <v>0</v>
      </c>
      <c r="BZ179" s="23">
        <f t="shared" si="6"/>
        <v>0</v>
      </c>
      <c r="CA179" s="23">
        <f t="shared" si="6"/>
        <v>0</v>
      </c>
    </row>
    <row r="180" spans="1:79" ht="15.75" customHeight="1" x14ac:dyDescent="0.2">
      <c r="A180" s="30" t="s">
        <v>53</v>
      </c>
      <c r="B180" s="23">
        <f t="shared" si="2"/>
        <v>0.20502106840005727</v>
      </c>
      <c r="C180" s="23">
        <f t="shared" si="7"/>
        <v>0.19134171785558249</v>
      </c>
      <c r="D180" s="23">
        <f t="shared" si="7"/>
        <v>0.21145731825122832</v>
      </c>
      <c r="E180" s="23">
        <f t="shared" si="7"/>
        <v>0.21145731825122832</v>
      </c>
      <c r="F180" s="23">
        <f t="shared" si="7"/>
        <v>0.29638386283401114</v>
      </c>
      <c r="G180" s="23">
        <f t="shared" si="7"/>
        <v>0.12816566166085433</v>
      </c>
      <c r="H180" s="23">
        <f t="shared" si="7"/>
        <v>0.3190030295779771</v>
      </c>
      <c r="I180" s="23">
        <f t="shared" si="7"/>
        <v>0.14834892327625196</v>
      </c>
      <c r="J180" s="23">
        <f t="shared" si="7"/>
        <v>7.3270033098930237E-2</v>
      </c>
      <c r="K180" s="23">
        <f t="shared" si="7"/>
        <v>0.71177971943969387</v>
      </c>
      <c r="L180" s="23">
        <f t="shared" si="7"/>
        <v>0.14876854095263922</v>
      </c>
      <c r="M180" s="23">
        <f t="shared" si="7"/>
        <v>0</v>
      </c>
      <c r="N180" s="23">
        <f t="shared" si="7"/>
        <v>1</v>
      </c>
      <c r="O180" s="23">
        <f t="shared" si="7"/>
        <v>0.97833740399933233</v>
      </c>
      <c r="P180" s="23">
        <f t="shared" si="7"/>
        <v>0.16637499528196831</v>
      </c>
      <c r="Q180" s="23">
        <f t="shared" si="7"/>
        <v>0</v>
      </c>
      <c r="R180" s="23">
        <f t="shared" si="7"/>
        <v>1.0192309370421597</v>
      </c>
      <c r="S180" s="23">
        <f t="shared" si="7"/>
        <v>0</v>
      </c>
      <c r="T180" s="23">
        <f t="shared" si="7"/>
        <v>0.13711716333363355</v>
      </c>
      <c r="U180" s="23">
        <f t="shared" si="7"/>
        <v>0</v>
      </c>
      <c r="V180" s="23">
        <f t="shared" si="7"/>
        <v>0.21145731825122832</v>
      </c>
      <c r="W180" s="23">
        <f t="shared" si="7"/>
        <v>0.12034923892611225</v>
      </c>
      <c r="X180" s="23">
        <f t="shared" si="7"/>
        <v>1</v>
      </c>
      <c r="Y180" s="23">
        <f t="shared" si="7"/>
        <v>0.1396294597391067</v>
      </c>
      <c r="Z180" s="23">
        <f t="shared" si="7"/>
        <v>0</v>
      </c>
      <c r="AA180" s="23">
        <f t="shared" si="7"/>
        <v>0.17304612308351716</v>
      </c>
      <c r="AB180" s="23">
        <f t="shared" si="7"/>
        <v>0.72659266049171023</v>
      </c>
      <c r="AC180" s="23">
        <f t="shared" si="7"/>
        <v>0.2364526636767296</v>
      </c>
      <c r="AD180" s="23">
        <f t="shared" si="7"/>
        <v>0.11046828049985975</v>
      </c>
      <c r="AE180" s="23">
        <f t="shared" si="7"/>
        <v>0.48466447224926307</v>
      </c>
      <c r="AF180" s="23">
        <f t="shared" si="7"/>
        <v>1.224226452250762</v>
      </c>
      <c r="AG180" s="23">
        <f t="shared" si="7"/>
        <v>0.68891700486784091</v>
      </c>
      <c r="AH180" s="23">
        <f t="shared" si="7"/>
        <v>0</v>
      </c>
      <c r="AI180" s="23">
        <f t="shared" si="7"/>
        <v>0.54356061122228894</v>
      </c>
      <c r="AJ180" s="23">
        <f t="shared" si="7"/>
        <v>0.29638386283401114</v>
      </c>
      <c r="AK180" s="23">
        <f t="shared" si="7"/>
        <v>0.10134864143620757</v>
      </c>
      <c r="AL180" s="23">
        <f t="shared" si="7"/>
        <v>0.16134887262872447</v>
      </c>
      <c r="AM180" s="23">
        <f t="shared" si="7"/>
        <v>0</v>
      </c>
      <c r="AN180" s="23">
        <f t="shared" si="7"/>
        <v>0.65233791908500582</v>
      </c>
      <c r="AO180" s="23">
        <f t="shared" si="7"/>
        <v>1</v>
      </c>
      <c r="AP180" s="23">
        <f t="shared" si="7"/>
        <v>0.17704001423221932</v>
      </c>
      <c r="AQ180" s="23">
        <f t="shared" si="7"/>
        <v>0.10562777414885763</v>
      </c>
      <c r="AR180" s="23">
        <f t="shared" si="7"/>
        <v>1.0192309370421597</v>
      </c>
      <c r="AS180" s="23">
        <f t="shared" si="7"/>
        <v>0.94505992392979898</v>
      </c>
      <c r="AT180" s="23">
        <f t="shared" si="7"/>
        <v>0.1196425386161394</v>
      </c>
      <c r="AU180" s="23">
        <f t="shared" si="7"/>
        <v>0.1288214264716408</v>
      </c>
      <c r="AV180" s="23">
        <f t="shared" si="7"/>
        <v>0.40918244601308551</v>
      </c>
      <c r="AW180" s="23">
        <f t="shared" si="7"/>
        <v>0.12839410378851987</v>
      </c>
      <c r="AX180" s="23">
        <f t="shared" si="7"/>
        <v>0.16748840156567724</v>
      </c>
      <c r="AY180" s="23">
        <f t="shared" si="7"/>
        <v>0</v>
      </c>
      <c r="AZ180" s="23">
        <f t="shared" si="7"/>
        <v>0.11629299961863862</v>
      </c>
      <c r="BA180" s="23">
        <f t="shared" si="7"/>
        <v>0.63724579868429421</v>
      </c>
      <c r="BB180" s="23">
        <f t="shared" si="7"/>
        <v>0.14206874337861888</v>
      </c>
      <c r="BC180" s="23">
        <f t="shared" si="7"/>
        <v>0.29638386283401114</v>
      </c>
      <c r="BD180" s="23">
        <f t="shared" si="7"/>
        <v>0.15985436565702871</v>
      </c>
      <c r="BE180" s="23">
        <f t="shared" si="7"/>
        <v>1.6839214767836834</v>
      </c>
      <c r="BF180" s="23">
        <f t="shared" si="7"/>
        <v>0.19409672075285167</v>
      </c>
      <c r="BG180" s="23">
        <f t="shared" si="7"/>
        <v>0.26955011705058801</v>
      </c>
      <c r="BH180" s="23">
        <f t="shared" si="7"/>
        <v>0.13541680759161473</v>
      </c>
      <c r="BI180" s="23">
        <f t="shared" si="7"/>
        <v>0.56242859559769143</v>
      </c>
      <c r="BJ180" s="23">
        <f t="shared" si="7"/>
        <v>2.5636035823572834</v>
      </c>
      <c r="BK180" s="23">
        <f t="shared" si="7"/>
        <v>0.37429534832429034</v>
      </c>
      <c r="BL180" s="23">
        <f t="shared" si="7"/>
        <v>0</v>
      </c>
      <c r="BM180" s="23">
        <f t="shared" si="7"/>
        <v>0</v>
      </c>
      <c r="BN180" s="23">
        <f t="shared" si="7"/>
        <v>1.0192309370421597</v>
      </c>
      <c r="BO180" s="23">
        <f t="shared" si="6"/>
        <v>0.11306587740852253</v>
      </c>
      <c r="BP180" s="23">
        <f t="shared" si="6"/>
        <v>0.692984182861764</v>
      </c>
      <c r="BQ180" s="23">
        <f t="shared" si="6"/>
        <v>0</v>
      </c>
      <c r="BR180" s="23">
        <f t="shared" si="6"/>
        <v>0.21145731825122832</v>
      </c>
      <c r="BS180" s="23">
        <f t="shared" si="6"/>
        <v>0.1396294597391067</v>
      </c>
      <c r="BT180" s="23">
        <f t="shared" si="6"/>
        <v>1</v>
      </c>
      <c r="BU180" s="23">
        <f t="shared" si="6"/>
        <v>0.12645926407627725</v>
      </c>
      <c r="BV180" s="23">
        <f t="shared" si="6"/>
        <v>0.41753648693328216</v>
      </c>
      <c r="BW180" s="23">
        <f t="shared" si="6"/>
        <v>0.44989913963888356</v>
      </c>
      <c r="BX180" s="23">
        <f t="shared" si="6"/>
        <v>0.21668017175593829</v>
      </c>
      <c r="BY180" s="23">
        <f t="shared" si="6"/>
        <v>0</v>
      </c>
      <c r="BZ180" s="23">
        <f t="shared" si="6"/>
        <v>0</v>
      </c>
      <c r="CA180" s="23">
        <f t="shared" si="6"/>
        <v>0.12823901314066111</v>
      </c>
    </row>
    <row r="181" spans="1:79" ht="15.75" customHeight="1" x14ac:dyDescent="0.2">
      <c r="A181" s="30" t="s">
        <v>54</v>
      </c>
      <c r="B181" s="23">
        <f t="shared" si="2"/>
        <v>0.23808973829903529</v>
      </c>
      <c r="C181" s="23">
        <f t="shared" si="7"/>
        <v>0.17787319232323101</v>
      </c>
      <c r="D181" s="23">
        <f t="shared" si="7"/>
        <v>0.20711442388989615</v>
      </c>
      <c r="E181" s="23">
        <f t="shared" si="7"/>
        <v>0.20711442388989615</v>
      </c>
      <c r="F181" s="23">
        <f t="shared" si="7"/>
        <v>0.32442764671986912</v>
      </c>
      <c r="G181" s="23">
        <f t="shared" si="7"/>
        <v>0.1138816818073223</v>
      </c>
      <c r="H181" s="23">
        <f t="shared" si="7"/>
        <v>0.39041420555171091</v>
      </c>
      <c r="I181" s="23">
        <f t="shared" si="7"/>
        <v>0.17066148683160112</v>
      </c>
      <c r="J181" s="23">
        <f t="shared" si="7"/>
        <v>7.7020657751586813E-2</v>
      </c>
      <c r="K181" s="23">
        <f t="shared" si="7"/>
        <v>1.4078018595018615</v>
      </c>
      <c r="L181" s="23">
        <f t="shared" si="7"/>
        <v>0.16680326378146909</v>
      </c>
      <c r="M181" s="23">
        <f t="shared" si="7"/>
        <v>0</v>
      </c>
      <c r="N181" s="23">
        <f t="shared" si="7"/>
        <v>0.97833740399933233</v>
      </c>
      <c r="O181" s="23">
        <f t="shared" si="7"/>
        <v>1</v>
      </c>
      <c r="P181" s="23">
        <f t="shared" si="7"/>
        <v>0.14340187477972444</v>
      </c>
      <c r="Q181" s="23">
        <f t="shared" si="7"/>
        <v>0</v>
      </c>
      <c r="R181" s="23">
        <f t="shared" si="7"/>
        <v>4.0143787599110521</v>
      </c>
      <c r="S181" s="23">
        <f t="shared" si="7"/>
        <v>0</v>
      </c>
      <c r="T181" s="23">
        <f t="shared" si="7"/>
        <v>0.15255500118494203</v>
      </c>
      <c r="U181" s="23">
        <f t="shared" si="7"/>
        <v>0</v>
      </c>
      <c r="V181" s="23">
        <f t="shared" si="7"/>
        <v>0.20711442388989615</v>
      </c>
      <c r="W181" s="23">
        <f t="shared" si="7"/>
        <v>0.13218712996435977</v>
      </c>
      <c r="X181" s="23">
        <f t="shared" si="7"/>
        <v>0.97833740399933233</v>
      </c>
      <c r="Y181" s="23">
        <f t="shared" si="7"/>
        <v>0.1617314850301344</v>
      </c>
      <c r="Z181" s="23">
        <f t="shared" si="7"/>
        <v>0</v>
      </c>
      <c r="AA181" s="23">
        <f t="shared" si="7"/>
        <v>0.16480287732739957</v>
      </c>
      <c r="AB181" s="23">
        <f t="shared" si="7"/>
        <v>1.7954468440297311</v>
      </c>
      <c r="AC181" s="23">
        <f t="shared" si="7"/>
        <v>0.22928877601687048</v>
      </c>
      <c r="AD181" s="23">
        <f t="shared" si="7"/>
        <v>0.12253658553368132</v>
      </c>
      <c r="AE181" s="23">
        <f t="shared" si="7"/>
        <v>0.94711299342394129</v>
      </c>
      <c r="AF181" s="23">
        <f t="shared" si="7"/>
        <v>4.8661810084456993</v>
      </c>
      <c r="AG181" s="23">
        <f t="shared" si="7"/>
        <v>1.9774762979846567</v>
      </c>
      <c r="AH181" s="23">
        <f t="shared" si="7"/>
        <v>0</v>
      </c>
      <c r="AI181" s="23">
        <f t="shared" si="7"/>
        <v>0.61625947293927807</v>
      </c>
      <c r="AJ181" s="23">
        <f t="shared" si="7"/>
        <v>0.32442764671986912</v>
      </c>
      <c r="AK181" s="23">
        <f t="shared" si="7"/>
        <v>0.10813526377662201</v>
      </c>
      <c r="AL181" s="23">
        <f t="shared" si="7"/>
        <v>0.18272045851846877</v>
      </c>
      <c r="AM181" s="23">
        <f t="shared" si="7"/>
        <v>0</v>
      </c>
      <c r="AN181" s="23">
        <f t="shared" si="7"/>
        <v>1.1407557643168023</v>
      </c>
      <c r="AO181" s="23">
        <f t="shared" si="7"/>
        <v>0.97833740399933233</v>
      </c>
      <c r="AP181" s="23">
        <f t="shared" si="7"/>
        <v>0.20080815614138664</v>
      </c>
      <c r="AQ181" s="23">
        <f t="shared" si="7"/>
        <v>0.11275397081528593</v>
      </c>
      <c r="AR181" s="23">
        <f t="shared" si="7"/>
        <v>4.0143787599110521</v>
      </c>
      <c r="AS181" s="23">
        <f t="shared" si="7"/>
        <v>1.0968367085497939</v>
      </c>
      <c r="AT181" s="23">
        <f t="shared" si="7"/>
        <v>0.13627410843988297</v>
      </c>
      <c r="AU181" s="23">
        <f t="shared" si="7"/>
        <v>0.14790617284183061</v>
      </c>
      <c r="AV181" s="23">
        <f t="shared" si="7"/>
        <v>0.46023405165934989</v>
      </c>
      <c r="AW181" s="23">
        <f t="shared" si="7"/>
        <v>0.14260934376104289</v>
      </c>
      <c r="AX181" s="23">
        <f t="shared" si="7"/>
        <v>0.14748595076649609</v>
      </c>
      <c r="AY181" s="23">
        <f t="shared" si="7"/>
        <v>0</v>
      </c>
      <c r="AZ181" s="23">
        <f t="shared" si="7"/>
        <v>0.12561235734830931</v>
      </c>
      <c r="BA181" s="23">
        <f t="shared" si="7"/>
        <v>0.60669190659440542</v>
      </c>
      <c r="BB181" s="23">
        <f t="shared" si="7"/>
        <v>0.13924701876640552</v>
      </c>
      <c r="BC181" s="23">
        <f t="shared" si="7"/>
        <v>0.32442764671986912</v>
      </c>
      <c r="BD181" s="23">
        <f t="shared" si="7"/>
        <v>0.18959090002170095</v>
      </c>
      <c r="BE181" s="23">
        <f t="shared" si="7"/>
        <v>0.61905808587725752</v>
      </c>
      <c r="BF181" s="23">
        <f t="shared" si="7"/>
        <v>0.2244641174639434</v>
      </c>
      <c r="BG181" s="23">
        <f t="shared" si="7"/>
        <v>0.31542587528303045</v>
      </c>
      <c r="BH181" s="23">
        <f t="shared" si="7"/>
        <v>0.1232224311579046</v>
      </c>
      <c r="BI181" s="23">
        <f t="shared" si="7"/>
        <v>1.1101932999015656</v>
      </c>
      <c r="BJ181" s="23">
        <f t="shared" si="7"/>
        <v>0.75197153374839887</v>
      </c>
      <c r="BK181" s="23">
        <f t="shared" si="7"/>
        <v>0.57140463347226689</v>
      </c>
      <c r="BL181" s="23">
        <f t="shared" si="7"/>
        <v>0</v>
      </c>
      <c r="BM181" s="23">
        <f t="shared" si="7"/>
        <v>0</v>
      </c>
      <c r="BN181" s="23">
        <f t="shared" ref="BN181:CA184" si="8">IF(BN97&gt;=0, IF(BN97 = 0,  1, 1/BN97*$B$165), 0)</f>
        <v>4.0143787599110521</v>
      </c>
      <c r="BO181" s="23">
        <f t="shared" si="8"/>
        <v>0.12191755202377683</v>
      </c>
      <c r="BP181" s="23">
        <f t="shared" si="8"/>
        <v>1.3305405462747677</v>
      </c>
      <c r="BQ181" s="23">
        <f t="shared" si="8"/>
        <v>0</v>
      </c>
      <c r="BR181" s="23">
        <f t="shared" si="8"/>
        <v>0.20711442388989615</v>
      </c>
      <c r="BS181" s="23">
        <f t="shared" si="8"/>
        <v>0.1617314850301344</v>
      </c>
      <c r="BT181" s="23">
        <f t="shared" si="8"/>
        <v>0.97833740399933233</v>
      </c>
      <c r="BU181" s="23">
        <f t="shared" si="8"/>
        <v>0.13919319261482052</v>
      </c>
      <c r="BV181" s="23">
        <f t="shared" si="8"/>
        <v>0.51225266186805873</v>
      </c>
      <c r="BW181" s="23">
        <f t="shared" si="8"/>
        <v>0.70129331008209439</v>
      </c>
      <c r="BX181" s="23">
        <f t="shared" si="8"/>
        <v>0.26007204467501771</v>
      </c>
      <c r="BY181" s="23">
        <f t="shared" si="8"/>
        <v>0</v>
      </c>
      <c r="BZ181" s="23">
        <f t="shared" si="8"/>
        <v>0</v>
      </c>
      <c r="CA181" s="23">
        <f t="shared" si="8"/>
        <v>0.14339734471944857</v>
      </c>
    </row>
    <row r="182" spans="1:79" ht="15.75" customHeight="1" x14ac:dyDescent="0.2">
      <c r="A182" s="30" t="s">
        <v>55</v>
      </c>
      <c r="B182" s="23">
        <f t="shared" si="2"/>
        <v>9.5681403349230754E-2</v>
      </c>
      <c r="C182" s="23">
        <f t="shared" ref="C182:BN185" si="9">IF(C98&gt;=0, IF(C98 = 0,  1, 1/C98*$B$165), 0)</f>
        <v>0.1440084296236486</v>
      </c>
      <c r="D182" s="23">
        <f t="shared" si="9"/>
        <v>0.18956400507993226</v>
      </c>
      <c r="E182" s="23">
        <f t="shared" si="9"/>
        <v>0.18956400507993226</v>
      </c>
      <c r="F182" s="23">
        <f t="shared" si="9"/>
        <v>0.11808778856071192</v>
      </c>
      <c r="G182" s="23">
        <f t="shared" si="9"/>
        <v>0.55039422594858589</v>
      </c>
      <c r="H182" s="23">
        <f t="shared" si="9"/>
        <v>0.11359590090464877</v>
      </c>
      <c r="I182" s="23">
        <f t="shared" si="9"/>
        <v>7.9117660976465345E-2</v>
      </c>
      <c r="J182" s="23">
        <f t="shared" si="9"/>
        <v>9.1579947393664304E-2</v>
      </c>
      <c r="K182" s="23">
        <f t="shared" si="9"/>
        <v>0.13514480312196461</v>
      </c>
      <c r="L182" s="23">
        <f t="shared" si="9"/>
        <v>8.2625233001082266E-2</v>
      </c>
      <c r="M182" s="23">
        <f t="shared" si="9"/>
        <v>0</v>
      </c>
      <c r="N182" s="23">
        <f t="shared" si="9"/>
        <v>0.16637499528196831</v>
      </c>
      <c r="O182" s="23">
        <f t="shared" si="9"/>
        <v>0.14340187477972444</v>
      </c>
      <c r="P182" s="23">
        <f t="shared" si="9"/>
        <v>1</v>
      </c>
      <c r="Q182" s="23">
        <f t="shared" si="9"/>
        <v>0</v>
      </c>
      <c r="R182" s="23">
        <f t="shared" si="9"/>
        <v>0.14642422042636019</v>
      </c>
      <c r="S182" s="23">
        <f t="shared" si="9"/>
        <v>0</v>
      </c>
      <c r="T182" s="23">
        <f t="shared" si="9"/>
        <v>7.9522928869351639E-2</v>
      </c>
      <c r="U182" s="23">
        <f t="shared" si="9"/>
        <v>0</v>
      </c>
      <c r="V182" s="23">
        <f t="shared" si="9"/>
        <v>0.18956400507993226</v>
      </c>
      <c r="W182" s="23">
        <f t="shared" si="9"/>
        <v>7.5530040555008615E-2</v>
      </c>
      <c r="X182" s="23">
        <f t="shared" si="9"/>
        <v>0.16637499528196831</v>
      </c>
      <c r="Y182" s="23">
        <f t="shared" si="9"/>
        <v>7.6041014568033125E-2</v>
      </c>
      <c r="Z182" s="23">
        <f t="shared" si="9"/>
        <v>0</v>
      </c>
      <c r="AA182" s="23">
        <f t="shared" si="9"/>
        <v>0.22496965143937567</v>
      </c>
      <c r="AB182" s="23">
        <f t="shared" si="9"/>
        <v>0.13537923470294586</v>
      </c>
      <c r="AC182" s="23">
        <f t="shared" si="9"/>
        <v>0.12968086074933008</v>
      </c>
      <c r="AD182" s="23">
        <f t="shared" si="9"/>
        <v>6.8420654748203427E-2</v>
      </c>
      <c r="AE182" s="23">
        <f t="shared" si="9"/>
        <v>0.12713971352588341</v>
      </c>
      <c r="AF182" s="23">
        <f t="shared" si="9"/>
        <v>0.14756160499830176</v>
      </c>
      <c r="AG182" s="23">
        <f t="shared" si="9"/>
        <v>0.13421724338240282</v>
      </c>
      <c r="AH182" s="23">
        <f t="shared" si="9"/>
        <v>0</v>
      </c>
      <c r="AI182" s="23">
        <f t="shared" si="9"/>
        <v>0.13479288802791792</v>
      </c>
      <c r="AJ182" s="23">
        <f t="shared" si="9"/>
        <v>0.11808778856071192</v>
      </c>
      <c r="AK182" s="23">
        <f t="shared" si="9"/>
        <v>0.10382270749941833</v>
      </c>
      <c r="AL182" s="23">
        <f t="shared" si="9"/>
        <v>8.5611569744477048E-2</v>
      </c>
      <c r="AM182" s="23">
        <f t="shared" si="9"/>
        <v>0</v>
      </c>
      <c r="AN182" s="23">
        <f t="shared" si="9"/>
        <v>0.1332253044077871</v>
      </c>
      <c r="AO182" s="23">
        <f t="shared" si="9"/>
        <v>0.16637499528196831</v>
      </c>
      <c r="AP182" s="23">
        <f t="shared" si="9"/>
        <v>9.0414484104797119E-2</v>
      </c>
      <c r="AQ182" s="23">
        <f t="shared" si="9"/>
        <v>7.8916379332007278E-2</v>
      </c>
      <c r="AR182" s="23">
        <f t="shared" si="9"/>
        <v>0.14642422042636019</v>
      </c>
      <c r="AS182" s="23">
        <f t="shared" si="9"/>
        <v>0.14458227387693212</v>
      </c>
      <c r="AT182" s="23">
        <f t="shared" si="9"/>
        <v>7.2843083113911453E-2</v>
      </c>
      <c r="AU182" s="23">
        <f t="shared" si="9"/>
        <v>7.340141988233731E-2</v>
      </c>
      <c r="AV182" s="23">
        <f t="shared" si="9"/>
        <v>0.1273332673274645</v>
      </c>
      <c r="AW182" s="23">
        <f t="shared" si="9"/>
        <v>7.6307298524243325E-2</v>
      </c>
      <c r="AX182" s="23">
        <f t="shared" si="9"/>
        <v>0.66647212139684175</v>
      </c>
      <c r="AY182" s="23">
        <f t="shared" si="9"/>
        <v>0</v>
      </c>
      <c r="AZ182" s="23">
        <f t="shared" si="9"/>
        <v>7.8477606099479222E-2</v>
      </c>
      <c r="BA182" s="23">
        <f t="shared" si="9"/>
        <v>0.14418898395380123</v>
      </c>
      <c r="BB182" s="23">
        <f t="shared" si="9"/>
        <v>0.18848302077547127</v>
      </c>
      <c r="BC182" s="23">
        <f t="shared" si="9"/>
        <v>0.11808778856071192</v>
      </c>
      <c r="BD182" s="23">
        <f t="shared" si="9"/>
        <v>8.1676923562002776E-2</v>
      </c>
      <c r="BE182" s="23">
        <f t="shared" si="9"/>
        <v>0.18286665811711098</v>
      </c>
      <c r="BF182" s="23">
        <f t="shared" si="9"/>
        <v>9.3189602240202507E-2</v>
      </c>
      <c r="BG182" s="23">
        <f t="shared" si="9"/>
        <v>0.10862544468451492</v>
      </c>
      <c r="BH182" s="23">
        <f t="shared" si="9"/>
        <v>0.40672081545495775</v>
      </c>
      <c r="BI182" s="23">
        <f t="shared" si="9"/>
        <v>0.12839806861073372</v>
      </c>
      <c r="BJ182" s="23">
        <f t="shared" si="9"/>
        <v>0.1768370736597612</v>
      </c>
      <c r="BK182" s="23">
        <f t="shared" si="9"/>
        <v>0.11517958832805671</v>
      </c>
      <c r="BL182" s="23">
        <f t="shared" si="9"/>
        <v>0</v>
      </c>
      <c r="BM182" s="23">
        <f t="shared" si="9"/>
        <v>0</v>
      </c>
      <c r="BN182" s="23">
        <f t="shared" si="9"/>
        <v>0.14642422042636019</v>
      </c>
      <c r="BO182" s="23">
        <f t="shared" si="8"/>
        <v>7.7904680418667008E-2</v>
      </c>
      <c r="BP182" s="23">
        <f t="shared" si="8"/>
        <v>0.13451535530531322</v>
      </c>
      <c r="BQ182" s="23">
        <f t="shared" si="8"/>
        <v>0</v>
      </c>
      <c r="BR182" s="23">
        <f t="shared" si="8"/>
        <v>0.18956400507993226</v>
      </c>
      <c r="BS182" s="23">
        <f t="shared" si="8"/>
        <v>7.6041014568033125E-2</v>
      </c>
      <c r="BT182" s="23">
        <f t="shared" si="8"/>
        <v>0.16637499528196831</v>
      </c>
      <c r="BU182" s="23">
        <f t="shared" si="8"/>
        <v>7.7487035772395754E-2</v>
      </c>
      <c r="BV182" s="23">
        <f t="shared" si="8"/>
        <v>0.12420582364419072</v>
      </c>
      <c r="BW182" s="23">
        <f t="shared" si="8"/>
        <v>0.12189672033509608</v>
      </c>
      <c r="BX182" s="23">
        <f t="shared" si="8"/>
        <v>9.5991231862409709E-2</v>
      </c>
      <c r="BY182" s="23">
        <f t="shared" si="8"/>
        <v>0</v>
      </c>
      <c r="BZ182" s="23">
        <f t="shared" si="8"/>
        <v>0</v>
      </c>
      <c r="CA182" s="23">
        <f t="shared" si="8"/>
        <v>7.4897963050423871E-2</v>
      </c>
    </row>
    <row r="183" spans="1:79" ht="15.75" customHeight="1" x14ac:dyDescent="0.2">
      <c r="A183" s="30" t="s">
        <v>56</v>
      </c>
      <c r="B183" s="23">
        <f t="shared" si="2"/>
        <v>0</v>
      </c>
      <c r="C183" s="23">
        <f t="shared" si="9"/>
        <v>0</v>
      </c>
      <c r="D183" s="23">
        <f t="shared" si="9"/>
        <v>0</v>
      </c>
      <c r="E183" s="23">
        <f t="shared" si="9"/>
        <v>0</v>
      </c>
      <c r="F183" s="23">
        <f t="shared" si="9"/>
        <v>0</v>
      </c>
      <c r="G183" s="23">
        <f t="shared" si="9"/>
        <v>0</v>
      </c>
      <c r="H183" s="23">
        <f t="shared" si="9"/>
        <v>0</v>
      </c>
      <c r="I183" s="23">
        <f t="shared" si="9"/>
        <v>0</v>
      </c>
      <c r="J183" s="23">
        <f t="shared" si="9"/>
        <v>0</v>
      </c>
      <c r="K183" s="23">
        <f t="shared" si="9"/>
        <v>0</v>
      </c>
      <c r="L183" s="23">
        <f t="shared" si="9"/>
        <v>0</v>
      </c>
      <c r="M183" s="23">
        <f t="shared" si="9"/>
        <v>0</v>
      </c>
      <c r="N183" s="23">
        <f t="shared" si="9"/>
        <v>0</v>
      </c>
      <c r="O183" s="23">
        <f t="shared" si="9"/>
        <v>0</v>
      </c>
      <c r="P183" s="23">
        <f t="shared" si="9"/>
        <v>0</v>
      </c>
      <c r="Q183" s="23">
        <f t="shared" si="9"/>
        <v>1</v>
      </c>
      <c r="R183" s="23">
        <f t="shared" si="9"/>
        <v>0</v>
      </c>
      <c r="S183" s="23">
        <f t="shared" si="9"/>
        <v>0</v>
      </c>
      <c r="T183" s="23">
        <f t="shared" si="9"/>
        <v>0</v>
      </c>
      <c r="U183" s="23">
        <f t="shared" si="9"/>
        <v>0</v>
      </c>
      <c r="V183" s="23">
        <f t="shared" si="9"/>
        <v>0</v>
      </c>
      <c r="W183" s="23">
        <f t="shared" si="9"/>
        <v>0</v>
      </c>
      <c r="X183" s="23">
        <f t="shared" si="9"/>
        <v>0</v>
      </c>
      <c r="Y183" s="23">
        <f t="shared" si="9"/>
        <v>0</v>
      </c>
      <c r="Z183" s="23">
        <f t="shared" si="9"/>
        <v>0</v>
      </c>
      <c r="AA183" s="23">
        <f t="shared" si="9"/>
        <v>0</v>
      </c>
      <c r="AB183" s="23">
        <f t="shared" si="9"/>
        <v>0</v>
      </c>
      <c r="AC183" s="23">
        <f t="shared" si="9"/>
        <v>0</v>
      </c>
      <c r="AD183" s="23">
        <f t="shared" si="9"/>
        <v>0</v>
      </c>
      <c r="AE183" s="23">
        <f t="shared" si="9"/>
        <v>0</v>
      </c>
      <c r="AF183" s="23">
        <f t="shared" si="9"/>
        <v>0</v>
      </c>
      <c r="AG183" s="23">
        <f t="shared" si="9"/>
        <v>0</v>
      </c>
      <c r="AH183" s="23">
        <f t="shared" si="9"/>
        <v>0</v>
      </c>
      <c r="AI183" s="23">
        <f t="shared" si="9"/>
        <v>0</v>
      </c>
      <c r="AJ183" s="23">
        <f t="shared" si="9"/>
        <v>0</v>
      </c>
      <c r="AK183" s="23">
        <f t="shared" si="9"/>
        <v>0</v>
      </c>
      <c r="AL183" s="23">
        <f t="shared" si="9"/>
        <v>0</v>
      </c>
      <c r="AM183" s="23">
        <f t="shared" si="9"/>
        <v>0</v>
      </c>
      <c r="AN183" s="23">
        <f t="shared" si="9"/>
        <v>0</v>
      </c>
      <c r="AO183" s="23">
        <f t="shared" si="9"/>
        <v>0</v>
      </c>
      <c r="AP183" s="23">
        <f t="shared" si="9"/>
        <v>0</v>
      </c>
      <c r="AQ183" s="23">
        <f t="shared" si="9"/>
        <v>0</v>
      </c>
      <c r="AR183" s="23">
        <f t="shared" si="9"/>
        <v>0</v>
      </c>
      <c r="AS183" s="23">
        <f t="shared" si="9"/>
        <v>0</v>
      </c>
      <c r="AT183" s="23">
        <f t="shared" si="9"/>
        <v>0</v>
      </c>
      <c r="AU183" s="23">
        <f t="shared" si="9"/>
        <v>0</v>
      </c>
      <c r="AV183" s="23">
        <f t="shared" si="9"/>
        <v>0</v>
      </c>
      <c r="AW183" s="23">
        <f t="shared" si="9"/>
        <v>0</v>
      </c>
      <c r="AX183" s="23">
        <f t="shared" si="9"/>
        <v>0</v>
      </c>
      <c r="AY183" s="23">
        <f t="shared" si="9"/>
        <v>0</v>
      </c>
      <c r="AZ183" s="23">
        <f t="shared" si="9"/>
        <v>0</v>
      </c>
      <c r="BA183" s="23">
        <f t="shared" si="9"/>
        <v>0</v>
      </c>
      <c r="BB183" s="23">
        <f t="shared" si="9"/>
        <v>0</v>
      </c>
      <c r="BC183" s="23">
        <f t="shared" si="9"/>
        <v>0</v>
      </c>
      <c r="BD183" s="23">
        <f t="shared" si="9"/>
        <v>0</v>
      </c>
      <c r="BE183" s="23">
        <f t="shared" si="9"/>
        <v>0</v>
      </c>
      <c r="BF183" s="23">
        <f t="shared" si="9"/>
        <v>0</v>
      </c>
      <c r="BG183" s="23">
        <f t="shared" si="9"/>
        <v>0</v>
      </c>
      <c r="BH183" s="23">
        <f t="shared" si="9"/>
        <v>0</v>
      </c>
      <c r="BI183" s="23">
        <f t="shared" si="9"/>
        <v>0</v>
      </c>
      <c r="BJ183" s="23">
        <f t="shared" si="9"/>
        <v>0</v>
      </c>
      <c r="BK183" s="23">
        <f t="shared" si="9"/>
        <v>0</v>
      </c>
      <c r="BL183" s="23">
        <f t="shared" si="9"/>
        <v>0</v>
      </c>
      <c r="BM183" s="23">
        <f t="shared" si="9"/>
        <v>0</v>
      </c>
      <c r="BN183" s="23">
        <f t="shared" si="9"/>
        <v>0</v>
      </c>
      <c r="BO183" s="23">
        <f t="shared" si="8"/>
        <v>0</v>
      </c>
      <c r="BP183" s="23">
        <f t="shared" si="8"/>
        <v>0</v>
      </c>
      <c r="BQ183" s="23">
        <f t="shared" si="8"/>
        <v>0</v>
      </c>
      <c r="BR183" s="23">
        <f t="shared" si="8"/>
        <v>0</v>
      </c>
      <c r="BS183" s="23">
        <f t="shared" si="8"/>
        <v>0</v>
      </c>
      <c r="BT183" s="23">
        <f t="shared" si="8"/>
        <v>0</v>
      </c>
      <c r="BU183" s="23">
        <f t="shared" si="8"/>
        <v>0</v>
      </c>
      <c r="BV183" s="23">
        <f t="shared" si="8"/>
        <v>0</v>
      </c>
      <c r="BW183" s="23">
        <f t="shared" si="8"/>
        <v>0</v>
      </c>
      <c r="BX183" s="23">
        <f t="shared" si="8"/>
        <v>0</v>
      </c>
      <c r="BY183" s="23">
        <f t="shared" si="8"/>
        <v>0</v>
      </c>
      <c r="BZ183" s="23">
        <f t="shared" si="8"/>
        <v>0</v>
      </c>
      <c r="CA183" s="23">
        <f t="shared" si="8"/>
        <v>0</v>
      </c>
    </row>
    <row r="184" spans="1:79" ht="15.75" customHeight="1" x14ac:dyDescent="0.2">
      <c r="A184" s="30" t="s">
        <v>57</v>
      </c>
      <c r="B184" s="23">
        <f t="shared" si="2"/>
        <v>0.22560661466557774</v>
      </c>
      <c r="C184" s="23">
        <f t="shared" si="9"/>
        <v>0.17215299993428149</v>
      </c>
      <c r="D184" s="23">
        <f t="shared" si="9"/>
        <v>0.2182966372150941</v>
      </c>
      <c r="E184" s="23">
        <f t="shared" si="9"/>
        <v>0.2182966372150941</v>
      </c>
      <c r="F184" s="23">
        <f t="shared" si="9"/>
        <v>0.3003466765224802</v>
      </c>
      <c r="G184" s="23">
        <f t="shared" si="9"/>
        <v>0.11569828800414514</v>
      </c>
      <c r="H184" s="23">
        <f t="shared" si="9"/>
        <v>0.35622481651040272</v>
      </c>
      <c r="I184" s="23">
        <f t="shared" si="9"/>
        <v>0.16541955299823979</v>
      </c>
      <c r="J184" s="23">
        <f t="shared" si="9"/>
        <v>7.5820142431356055E-2</v>
      </c>
      <c r="K184" s="23">
        <f t="shared" si="9"/>
        <v>1.0423091660645429</v>
      </c>
      <c r="L184" s="23">
        <f t="shared" si="9"/>
        <v>0.1608677796299248</v>
      </c>
      <c r="M184" s="23">
        <f t="shared" si="9"/>
        <v>0</v>
      </c>
      <c r="N184" s="23">
        <f t="shared" si="9"/>
        <v>1.0192309370421597</v>
      </c>
      <c r="O184" s="23">
        <f t="shared" si="9"/>
        <v>4.0143787599110521</v>
      </c>
      <c r="P184" s="23">
        <f t="shared" si="9"/>
        <v>0.14642422042636019</v>
      </c>
      <c r="Q184" s="23">
        <f t="shared" si="9"/>
        <v>0</v>
      </c>
      <c r="R184" s="23">
        <f t="shared" si="9"/>
        <v>1</v>
      </c>
      <c r="S184" s="23">
        <f t="shared" si="9"/>
        <v>0</v>
      </c>
      <c r="T184" s="23">
        <f t="shared" si="9"/>
        <v>0.14764225073867057</v>
      </c>
      <c r="U184" s="23">
        <f t="shared" si="9"/>
        <v>0</v>
      </c>
      <c r="V184" s="23">
        <f t="shared" si="9"/>
        <v>0.2182966372150941</v>
      </c>
      <c r="W184" s="23">
        <f t="shared" si="9"/>
        <v>0.12853572554370898</v>
      </c>
      <c r="X184" s="23">
        <f t="shared" si="9"/>
        <v>1.0192309370421597</v>
      </c>
      <c r="Y184" s="23">
        <f t="shared" si="9"/>
        <v>0.15817268011337288</v>
      </c>
      <c r="Z184" s="23">
        <f t="shared" si="9"/>
        <v>0</v>
      </c>
      <c r="AA184" s="23">
        <f t="shared" si="9"/>
        <v>0.17185247157856298</v>
      </c>
      <c r="AB184" s="23">
        <f t="shared" si="9"/>
        <v>1.2465339222043326</v>
      </c>
      <c r="AC184" s="23">
        <f t="shared" si="9"/>
        <v>0.21829783677975381</v>
      </c>
      <c r="AD184" s="23">
        <f t="shared" si="9"/>
        <v>0.11994149670471894</v>
      </c>
      <c r="AE184" s="23">
        <f t="shared" si="9"/>
        <v>0.91220952832256874</v>
      </c>
      <c r="AF184" s="23">
        <f t="shared" si="9"/>
        <v>3.7380849493138268</v>
      </c>
      <c r="AG184" s="23">
        <f t="shared" si="9"/>
        <v>1.3814848283133536</v>
      </c>
      <c r="AH184" s="23">
        <f t="shared" si="9"/>
        <v>0</v>
      </c>
      <c r="AI184" s="23">
        <f t="shared" si="9"/>
        <v>0.53832192112616273</v>
      </c>
      <c r="AJ184" s="23">
        <f t="shared" si="9"/>
        <v>0.3003466765224802</v>
      </c>
      <c r="AK184" s="23">
        <f t="shared" si="9"/>
        <v>0.10983398035863605</v>
      </c>
      <c r="AL184" s="23">
        <f t="shared" si="9"/>
        <v>0.17557728974200384</v>
      </c>
      <c r="AM184" s="23">
        <f t="shared" si="9"/>
        <v>0</v>
      </c>
      <c r="AN184" s="23">
        <f t="shared" si="9"/>
        <v>0.88836955633320203</v>
      </c>
      <c r="AO184" s="23">
        <f t="shared" si="9"/>
        <v>1.0192309370421597</v>
      </c>
      <c r="AP184" s="23">
        <f t="shared" si="9"/>
        <v>0.19188270140333227</v>
      </c>
      <c r="AQ184" s="23">
        <f t="shared" si="9"/>
        <v>0.10987077173466062</v>
      </c>
      <c r="AR184" s="23">
        <f t="shared" si="9"/>
        <v>1</v>
      </c>
      <c r="AS184" s="23">
        <f t="shared" si="9"/>
        <v>0.89761856930875139</v>
      </c>
      <c r="AT184" s="23">
        <f t="shared" si="9"/>
        <v>0.134701668999713</v>
      </c>
      <c r="AU184" s="23">
        <f t="shared" si="9"/>
        <v>0.14536973456285479</v>
      </c>
      <c r="AV184" s="23">
        <f t="shared" si="9"/>
        <v>0.41385517978577269</v>
      </c>
      <c r="AW184" s="23">
        <f t="shared" si="9"/>
        <v>0.13846385883206289</v>
      </c>
      <c r="AX184" s="23">
        <f t="shared" si="9"/>
        <v>0.1519339649127818</v>
      </c>
      <c r="AY184" s="23">
        <f t="shared" si="9"/>
        <v>0</v>
      </c>
      <c r="AZ184" s="23">
        <f t="shared" si="9"/>
        <v>0.12208736558174292</v>
      </c>
      <c r="BA184" s="23">
        <f t="shared" si="9"/>
        <v>0.54062847503631506</v>
      </c>
      <c r="BB184" s="23">
        <f t="shared" si="9"/>
        <v>0.14420517875521521</v>
      </c>
      <c r="BC184" s="23">
        <f t="shared" si="9"/>
        <v>0.3003466765224802</v>
      </c>
      <c r="BD184" s="23">
        <f t="shared" si="9"/>
        <v>0.18470469553561239</v>
      </c>
      <c r="BE184" s="23">
        <f t="shared" si="9"/>
        <v>0.6376396498717305</v>
      </c>
      <c r="BF184" s="23">
        <f t="shared" si="9"/>
        <v>0.21348020201944276</v>
      </c>
      <c r="BG184" s="23">
        <f t="shared" si="9"/>
        <v>0.29270101938818238</v>
      </c>
      <c r="BH184" s="23">
        <f t="shared" si="9"/>
        <v>0.1266162408738668</v>
      </c>
      <c r="BI184" s="23">
        <f t="shared" si="9"/>
        <v>0.88890473981664586</v>
      </c>
      <c r="BJ184" s="23">
        <f t="shared" si="9"/>
        <v>0.81228606292228955</v>
      </c>
      <c r="BK184" s="23">
        <f t="shared" si="9"/>
        <v>0.5148557455405347</v>
      </c>
      <c r="BL184" s="23">
        <f t="shared" si="9"/>
        <v>0</v>
      </c>
      <c r="BM184" s="23">
        <f t="shared" si="9"/>
        <v>0</v>
      </c>
      <c r="BN184" s="23">
        <f t="shared" si="9"/>
        <v>1</v>
      </c>
      <c r="BO184" s="23">
        <f t="shared" si="8"/>
        <v>0.11860738080738341</v>
      </c>
      <c r="BP184" s="23">
        <f t="shared" si="8"/>
        <v>0.99941936268758536</v>
      </c>
      <c r="BQ184" s="23">
        <f t="shared" si="8"/>
        <v>0</v>
      </c>
      <c r="BR184" s="23">
        <f t="shared" si="8"/>
        <v>0.2182966372150941</v>
      </c>
      <c r="BS184" s="23">
        <f t="shared" si="8"/>
        <v>0.15817268011337288</v>
      </c>
      <c r="BT184" s="23">
        <f t="shared" si="8"/>
        <v>1.0192309370421597</v>
      </c>
      <c r="BU184" s="23">
        <f t="shared" si="8"/>
        <v>0.13507077422396438</v>
      </c>
      <c r="BV184" s="23">
        <f t="shared" si="8"/>
        <v>0.45434044281468178</v>
      </c>
      <c r="BW184" s="23">
        <f t="shared" si="8"/>
        <v>0.60356235134222724</v>
      </c>
      <c r="BX184" s="23">
        <f t="shared" si="8"/>
        <v>0.24602733908981478</v>
      </c>
      <c r="BY184" s="23">
        <f t="shared" si="8"/>
        <v>0</v>
      </c>
      <c r="BZ184" s="23">
        <f t="shared" si="8"/>
        <v>0</v>
      </c>
      <c r="CA184" s="23">
        <f t="shared" si="8"/>
        <v>0.1394145263546839</v>
      </c>
    </row>
    <row r="185" spans="1:79" ht="15.75" customHeight="1" x14ac:dyDescent="0.2">
      <c r="A185" s="30" t="s">
        <v>58</v>
      </c>
      <c r="B185" s="23">
        <f t="shared" si="2"/>
        <v>0</v>
      </c>
      <c r="C185" s="23">
        <f t="shared" si="9"/>
        <v>0</v>
      </c>
      <c r="D185" s="23">
        <f t="shared" si="9"/>
        <v>0</v>
      </c>
      <c r="E185" s="23">
        <f t="shared" si="9"/>
        <v>0</v>
      </c>
      <c r="F185" s="23">
        <f t="shared" si="9"/>
        <v>0</v>
      </c>
      <c r="G185" s="23">
        <f t="shared" si="9"/>
        <v>0</v>
      </c>
      <c r="H185" s="23">
        <f t="shared" si="9"/>
        <v>0</v>
      </c>
      <c r="I185" s="23">
        <f t="shared" si="9"/>
        <v>0</v>
      </c>
      <c r="J185" s="23">
        <f t="shared" si="9"/>
        <v>0</v>
      </c>
      <c r="K185" s="23">
        <f t="shared" si="9"/>
        <v>0</v>
      </c>
      <c r="L185" s="23">
        <f t="shared" si="9"/>
        <v>0</v>
      </c>
      <c r="M185" s="23">
        <f t="shared" si="9"/>
        <v>0</v>
      </c>
      <c r="N185" s="23">
        <f t="shared" si="9"/>
        <v>0</v>
      </c>
      <c r="O185" s="23">
        <f t="shared" si="9"/>
        <v>0</v>
      </c>
      <c r="P185" s="23">
        <f t="shared" si="9"/>
        <v>0</v>
      </c>
      <c r="Q185" s="23">
        <f t="shared" si="9"/>
        <v>0</v>
      </c>
      <c r="R185" s="23">
        <f t="shared" si="9"/>
        <v>0</v>
      </c>
      <c r="S185" s="23">
        <f t="shared" si="9"/>
        <v>1</v>
      </c>
      <c r="T185" s="23">
        <f t="shared" si="9"/>
        <v>0</v>
      </c>
      <c r="U185" s="23">
        <f t="shared" si="9"/>
        <v>0</v>
      </c>
      <c r="V185" s="23">
        <f t="shared" si="9"/>
        <v>0</v>
      </c>
      <c r="W185" s="23">
        <f t="shared" si="9"/>
        <v>0</v>
      </c>
      <c r="X185" s="23">
        <f t="shared" si="9"/>
        <v>0</v>
      </c>
      <c r="Y185" s="23">
        <f t="shared" si="9"/>
        <v>0</v>
      </c>
      <c r="Z185" s="23">
        <f t="shared" si="9"/>
        <v>0</v>
      </c>
      <c r="AA185" s="23">
        <f t="shared" si="9"/>
        <v>0</v>
      </c>
      <c r="AB185" s="23">
        <f t="shared" si="9"/>
        <v>0</v>
      </c>
      <c r="AC185" s="23">
        <f t="shared" si="9"/>
        <v>0</v>
      </c>
      <c r="AD185" s="23">
        <f t="shared" si="9"/>
        <v>0</v>
      </c>
      <c r="AE185" s="23">
        <f t="shared" si="9"/>
        <v>0</v>
      </c>
      <c r="AF185" s="23">
        <f t="shared" si="9"/>
        <v>0</v>
      </c>
      <c r="AG185" s="23">
        <f t="shared" si="9"/>
        <v>0</v>
      </c>
      <c r="AH185" s="23">
        <f t="shared" si="9"/>
        <v>0</v>
      </c>
      <c r="AI185" s="23">
        <f t="shared" si="9"/>
        <v>0</v>
      </c>
      <c r="AJ185" s="23">
        <f t="shared" si="9"/>
        <v>0</v>
      </c>
      <c r="AK185" s="23">
        <f t="shared" si="9"/>
        <v>0</v>
      </c>
      <c r="AL185" s="23">
        <f t="shared" si="9"/>
        <v>0</v>
      </c>
      <c r="AM185" s="23">
        <f t="shared" si="9"/>
        <v>0</v>
      </c>
      <c r="AN185" s="23">
        <f t="shared" si="9"/>
        <v>0</v>
      </c>
      <c r="AO185" s="23">
        <f t="shared" si="9"/>
        <v>0</v>
      </c>
      <c r="AP185" s="23">
        <f t="shared" si="9"/>
        <v>0</v>
      </c>
      <c r="AQ185" s="23">
        <f t="shared" si="9"/>
        <v>0</v>
      </c>
      <c r="AR185" s="23">
        <f t="shared" si="9"/>
        <v>0</v>
      </c>
      <c r="AS185" s="23">
        <f t="shared" si="9"/>
        <v>0</v>
      </c>
      <c r="AT185" s="23">
        <f t="shared" si="9"/>
        <v>0</v>
      </c>
      <c r="AU185" s="23">
        <f t="shared" si="9"/>
        <v>0</v>
      </c>
      <c r="AV185" s="23">
        <f t="shared" si="9"/>
        <v>0</v>
      </c>
      <c r="AW185" s="23">
        <f t="shared" si="9"/>
        <v>0</v>
      </c>
      <c r="AX185" s="23">
        <f t="shared" si="9"/>
        <v>0</v>
      </c>
      <c r="AY185" s="23">
        <f t="shared" si="9"/>
        <v>0</v>
      </c>
      <c r="AZ185" s="23">
        <f t="shared" si="9"/>
        <v>0</v>
      </c>
      <c r="BA185" s="23">
        <f t="shared" si="9"/>
        <v>0</v>
      </c>
      <c r="BB185" s="23">
        <f t="shared" si="9"/>
        <v>0</v>
      </c>
      <c r="BC185" s="23">
        <f t="shared" si="9"/>
        <v>0</v>
      </c>
      <c r="BD185" s="23">
        <f t="shared" si="9"/>
        <v>0</v>
      </c>
      <c r="BE185" s="23">
        <f t="shared" si="9"/>
        <v>0</v>
      </c>
      <c r="BF185" s="23">
        <f t="shared" si="9"/>
        <v>0</v>
      </c>
      <c r="BG185" s="23">
        <f t="shared" si="9"/>
        <v>0</v>
      </c>
      <c r="BH185" s="23">
        <f t="shared" si="9"/>
        <v>0</v>
      </c>
      <c r="BI185" s="23">
        <f t="shared" si="9"/>
        <v>0</v>
      </c>
      <c r="BJ185" s="23">
        <f t="shared" si="9"/>
        <v>0</v>
      </c>
      <c r="BK185" s="23">
        <f t="shared" si="9"/>
        <v>0</v>
      </c>
      <c r="BL185" s="23">
        <f t="shared" si="9"/>
        <v>0</v>
      </c>
      <c r="BM185" s="23">
        <f t="shared" si="9"/>
        <v>0</v>
      </c>
      <c r="BN185" s="23">
        <f t="shared" ref="BN185:CA188" si="10">IF(BN101&gt;=0, IF(BN101 = 0,  1, 1/BN101*$B$165), 0)</f>
        <v>0</v>
      </c>
      <c r="BO185" s="23">
        <f t="shared" si="10"/>
        <v>0</v>
      </c>
      <c r="BP185" s="23">
        <f t="shared" si="10"/>
        <v>0</v>
      </c>
      <c r="BQ185" s="23">
        <f t="shared" si="10"/>
        <v>0</v>
      </c>
      <c r="BR185" s="23">
        <f t="shared" si="10"/>
        <v>0</v>
      </c>
      <c r="BS185" s="23">
        <f t="shared" si="10"/>
        <v>0</v>
      </c>
      <c r="BT185" s="23">
        <f t="shared" si="10"/>
        <v>0</v>
      </c>
      <c r="BU185" s="23">
        <f t="shared" si="10"/>
        <v>0</v>
      </c>
      <c r="BV185" s="23">
        <f t="shared" si="10"/>
        <v>0</v>
      </c>
      <c r="BW185" s="23">
        <f t="shared" si="10"/>
        <v>0</v>
      </c>
      <c r="BX185" s="23">
        <f t="shared" si="10"/>
        <v>0</v>
      </c>
      <c r="BY185" s="23">
        <f t="shared" si="10"/>
        <v>0</v>
      </c>
      <c r="BZ185" s="23">
        <f t="shared" si="10"/>
        <v>0</v>
      </c>
      <c r="CA185" s="23">
        <f t="shared" si="10"/>
        <v>0</v>
      </c>
    </row>
    <row r="186" spans="1:79" ht="15.75" customHeight="1" x14ac:dyDescent="0.2">
      <c r="A186" s="30" t="s">
        <v>59</v>
      </c>
      <c r="B186" s="23">
        <f t="shared" si="2"/>
        <v>0.41300022318572721</v>
      </c>
      <c r="C186" s="23">
        <f t="shared" ref="C186:BN189" si="11">IF(C102&gt;=0, IF(C102 = 0,  1, 1/C102*$B$165), 0)</f>
        <v>0.17278390438357752</v>
      </c>
      <c r="D186" s="23">
        <f t="shared" si="11"/>
        <v>9.5693533760374372E-2</v>
      </c>
      <c r="E186" s="23">
        <f t="shared" si="11"/>
        <v>9.5693533760374372E-2</v>
      </c>
      <c r="F186" s="23">
        <f t="shared" si="11"/>
        <v>0.23507726922061223</v>
      </c>
      <c r="G186" s="23">
        <f t="shared" si="11"/>
        <v>7.5671189769024511E-2</v>
      </c>
      <c r="H186" s="23">
        <f t="shared" si="11"/>
        <v>0.23944686927346637</v>
      </c>
      <c r="I186" s="23">
        <f t="shared" si="11"/>
        <v>0.78011174201919542</v>
      </c>
      <c r="J186" s="23">
        <f t="shared" si="11"/>
        <v>0.15542118313953371</v>
      </c>
      <c r="K186" s="23">
        <f t="shared" si="11"/>
        <v>0.16857537805768449</v>
      </c>
      <c r="L186" s="23">
        <f t="shared" si="11"/>
        <v>1.7476938755187004</v>
      </c>
      <c r="M186" s="23">
        <f t="shared" si="11"/>
        <v>0</v>
      </c>
      <c r="N186" s="23">
        <f t="shared" si="11"/>
        <v>0.13711716333363355</v>
      </c>
      <c r="O186" s="23">
        <f t="shared" si="11"/>
        <v>0.15255500118494203</v>
      </c>
      <c r="P186" s="23">
        <f t="shared" si="11"/>
        <v>7.9522928869351639E-2</v>
      </c>
      <c r="Q186" s="23">
        <f t="shared" si="11"/>
        <v>0</v>
      </c>
      <c r="R186" s="23">
        <f t="shared" si="11"/>
        <v>0.14764225073867057</v>
      </c>
      <c r="S186" s="23">
        <f t="shared" si="11"/>
        <v>0</v>
      </c>
      <c r="T186" s="23">
        <f t="shared" si="11"/>
        <v>1</v>
      </c>
      <c r="U186" s="23">
        <f t="shared" si="11"/>
        <v>0</v>
      </c>
      <c r="V186" s="23">
        <f t="shared" si="11"/>
        <v>9.5693533760374372E-2</v>
      </c>
      <c r="W186" s="23">
        <f t="shared" si="11"/>
        <v>0.98370939029580229</v>
      </c>
      <c r="X186" s="23">
        <f t="shared" si="11"/>
        <v>0.13711716333363355</v>
      </c>
      <c r="Y186" s="23">
        <f t="shared" si="11"/>
        <v>0.43503398726787434</v>
      </c>
      <c r="Z186" s="23">
        <f t="shared" si="11"/>
        <v>0</v>
      </c>
      <c r="AA186" s="23">
        <f t="shared" si="11"/>
        <v>8.4460184275403138E-2</v>
      </c>
      <c r="AB186" s="23">
        <f t="shared" si="11"/>
        <v>0.16603000221525119</v>
      </c>
      <c r="AC186" s="23">
        <f t="shared" si="11"/>
        <v>0.20547051943079453</v>
      </c>
      <c r="AD186" s="23">
        <f t="shared" si="11"/>
        <v>0.47713883528121559</v>
      </c>
      <c r="AE186" s="23">
        <f t="shared" si="11"/>
        <v>0.16606298325571356</v>
      </c>
      <c r="AF186" s="23">
        <f t="shared" si="11"/>
        <v>0.14908932856138443</v>
      </c>
      <c r="AG186" s="23">
        <f t="shared" si="11"/>
        <v>0.16523002051790972</v>
      </c>
      <c r="AH186" s="23">
        <f t="shared" si="11"/>
        <v>0</v>
      </c>
      <c r="AI186" s="23">
        <f t="shared" si="11"/>
        <v>0.17980962069494363</v>
      </c>
      <c r="AJ186" s="23">
        <f t="shared" si="11"/>
        <v>0.23507726922061223</v>
      </c>
      <c r="AK186" s="23">
        <f t="shared" si="11"/>
        <v>0.11653308451662371</v>
      </c>
      <c r="AL186" s="23">
        <f t="shared" si="11"/>
        <v>0.91299816787627308</v>
      </c>
      <c r="AM186" s="23">
        <f t="shared" si="11"/>
        <v>0</v>
      </c>
      <c r="AN186" s="23">
        <f t="shared" si="11"/>
        <v>0.17289769478749212</v>
      </c>
      <c r="AO186" s="23">
        <f t="shared" si="11"/>
        <v>0.13711716333363355</v>
      </c>
      <c r="AP186" s="23">
        <f t="shared" si="11"/>
        <v>0.59783334908505625</v>
      </c>
      <c r="AQ186" s="23">
        <f t="shared" si="11"/>
        <v>0.41322092817279393</v>
      </c>
      <c r="AR186" s="23">
        <f t="shared" si="11"/>
        <v>0.14764225073867057</v>
      </c>
      <c r="AS186" s="23">
        <f t="shared" si="11"/>
        <v>0.16003193901261473</v>
      </c>
      <c r="AT186" s="23">
        <f t="shared" si="11"/>
        <v>0.28025249678794489</v>
      </c>
      <c r="AU186" s="23">
        <f t="shared" si="11"/>
        <v>0.35993861382863968</v>
      </c>
      <c r="AV186" s="23">
        <f t="shared" si="11"/>
        <v>0.19910200714021112</v>
      </c>
      <c r="AW186" s="23">
        <f t="shared" si="11"/>
        <v>1.8161912421865913</v>
      </c>
      <c r="AX186" s="23">
        <f t="shared" si="11"/>
        <v>7.5566745989960979E-2</v>
      </c>
      <c r="AY186" s="23">
        <f t="shared" si="11"/>
        <v>0</v>
      </c>
      <c r="AZ186" s="23">
        <f t="shared" si="11"/>
        <v>0.66263338477423617</v>
      </c>
      <c r="BA186" s="23">
        <f t="shared" si="11"/>
        <v>0.16683005680119783</v>
      </c>
      <c r="BB186" s="23">
        <f t="shared" si="11"/>
        <v>8.3868737417308575E-2</v>
      </c>
      <c r="BC186" s="23">
        <f t="shared" si="11"/>
        <v>0.23507726922061223</v>
      </c>
      <c r="BD186" s="23">
        <f t="shared" si="11"/>
        <v>0.39283110482793415</v>
      </c>
      <c r="BE186" s="23">
        <f t="shared" si="11"/>
        <v>0.12981688429297869</v>
      </c>
      <c r="BF186" s="23">
        <f t="shared" si="11"/>
        <v>0.46672442284306487</v>
      </c>
      <c r="BG186" s="23">
        <f t="shared" si="11"/>
        <v>0.27415568013940972</v>
      </c>
      <c r="BH186" s="23">
        <f t="shared" si="11"/>
        <v>6.816484158725919E-2</v>
      </c>
      <c r="BI186" s="23">
        <f t="shared" si="11"/>
        <v>0.17685752538388816</v>
      </c>
      <c r="BJ186" s="23">
        <f t="shared" si="11"/>
        <v>0.1301565212443169</v>
      </c>
      <c r="BK186" s="23">
        <f t="shared" si="11"/>
        <v>0.2059607237452174</v>
      </c>
      <c r="BL186" s="23">
        <f t="shared" si="11"/>
        <v>0</v>
      </c>
      <c r="BM186" s="23">
        <f t="shared" si="11"/>
        <v>0</v>
      </c>
      <c r="BN186" s="23">
        <f t="shared" si="11"/>
        <v>0.14764225073867057</v>
      </c>
      <c r="BO186" s="23">
        <f t="shared" si="10"/>
        <v>0.58053258901741245</v>
      </c>
      <c r="BP186" s="23">
        <f t="shared" si="10"/>
        <v>0.16977308220430157</v>
      </c>
      <c r="BQ186" s="23">
        <f t="shared" si="10"/>
        <v>0</v>
      </c>
      <c r="BR186" s="23">
        <f t="shared" si="10"/>
        <v>9.5693533760374372E-2</v>
      </c>
      <c r="BS186" s="23">
        <f t="shared" si="10"/>
        <v>0.43503398726787434</v>
      </c>
      <c r="BT186" s="23">
        <f t="shared" si="10"/>
        <v>0.13711716333363355</v>
      </c>
      <c r="BU186" s="23">
        <f t="shared" si="10"/>
        <v>1.5832143119656279</v>
      </c>
      <c r="BV186" s="23">
        <f t="shared" si="10"/>
        <v>0.2023581123231441</v>
      </c>
      <c r="BW186" s="23">
        <f t="shared" si="10"/>
        <v>0.19471445730104348</v>
      </c>
      <c r="BX186" s="23">
        <f t="shared" si="10"/>
        <v>0.36901076187774967</v>
      </c>
      <c r="BY186" s="23">
        <f t="shared" si="10"/>
        <v>0</v>
      </c>
      <c r="BZ186" s="23">
        <f t="shared" si="10"/>
        <v>0</v>
      </c>
      <c r="CA186" s="23">
        <f t="shared" si="10"/>
        <v>1.2601735738980702</v>
      </c>
    </row>
    <row r="187" spans="1:79" ht="15.75" customHeight="1" x14ac:dyDescent="0.2">
      <c r="A187" s="30" t="s">
        <v>60</v>
      </c>
      <c r="B187" s="23">
        <f t="shared" si="2"/>
        <v>0</v>
      </c>
      <c r="C187" s="23">
        <f t="shared" si="11"/>
        <v>0</v>
      </c>
      <c r="D187" s="23">
        <f t="shared" si="11"/>
        <v>0</v>
      </c>
      <c r="E187" s="23">
        <f t="shared" si="11"/>
        <v>0</v>
      </c>
      <c r="F187" s="23">
        <f t="shared" si="11"/>
        <v>0</v>
      </c>
      <c r="G187" s="23">
        <f t="shared" si="11"/>
        <v>0</v>
      </c>
      <c r="H187" s="23">
        <f t="shared" si="11"/>
        <v>0</v>
      </c>
      <c r="I187" s="23">
        <f t="shared" si="11"/>
        <v>0</v>
      </c>
      <c r="J187" s="23">
        <f t="shared" si="11"/>
        <v>0</v>
      </c>
      <c r="K187" s="23">
        <f t="shared" si="11"/>
        <v>0</v>
      </c>
      <c r="L187" s="23">
        <f t="shared" si="11"/>
        <v>0</v>
      </c>
      <c r="M187" s="23">
        <f t="shared" si="11"/>
        <v>0</v>
      </c>
      <c r="N187" s="23">
        <f t="shared" si="11"/>
        <v>0</v>
      </c>
      <c r="O187" s="23">
        <f t="shared" si="11"/>
        <v>0</v>
      </c>
      <c r="P187" s="23">
        <f t="shared" si="11"/>
        <v>0</v>
      </c>
      <c r="Q187" s="23">
        <f t="shared" si="11"/>
        <v>0</v>
      </c>
      <c r="R187" s="23">
        <f t="shared" si="11"/>
        <v>0</v>
      </c>
      <c r="S187" s="23">
        <f t="shared" si="11"/>
        <v>0</v>
      </c>
      <c r="T187" s="23">
        <f t="shared" si="11"/>
        <v>0</v>
      </c>
      <c r="U187" s="23">
        <f t="shared" si="11"/>
        <v>1</v>
      </c>
      <c r="V187" s="23">
        <f t="shared" si="11"/>
        <v>0</v>
      </c>
      <c r="W187" s="23">
        <f t="shared" si="11"/>
        <v>0</v>
      </c>
      <c r="X187" s="23">
        <f t="shared" si="11"/>
        <v>0</v>
      </c>
      <c r="Y187" s="23">
        <f t="shared" si="11"/>
        <v>0</v>
      </c>
      <c r="Z187" s="23">
        <f t="shared" si="11"/>
        <v>0</v>
      </c>
      <c r="AA187" s="23">
        <f t="shared" si="11"/>
        <v>0</v>
      </c>
      <c r="AB187" s="23">
        <f t="shared" si="11"/>
        <v>0</v>
      </c>
      <c r="AC187" s="23">
        <f t="shared" si="11"/>
        <v>0</v>
      </c>
      <c r="AD187" s="23">
        <f t="shared" si="11"/>
        <v>0</v>
      </c>
      <c r="AE187" s="23">
        <f t="shared" si="11"/>
        <v>0</v>
      </c>
      <c r="AF187" s="23">
        <f t="shared" si="11"/>
        <v>0</v>
      </c>
      <c r="AG187" s="23">
        <f t="shared" si="11"/>
        <v>0</v>
      </c>
      <c r="AH187" s="23">
        <f t="shared" si="11"/>
        <v>0</v>
      </c>
      <c r="AI187" s="23">
        <f t="shared" si="11"/>
        <v>0</v>
      </c>
      <c r="AJ187" s="23">
        <f t="shared" si="11"/>
        <v>0</v>
      </c>
      <c r="AK187" s="23">
        <f t="shared" si="11"/>
        <v>0</v>
      </c>
      <c r="AL187" s="23">
        <f t="shared" si="11"/>
        <v>0</v>
      </c>
      <c r="AM187" s="23">
        <f t="shared" si="11"/>
        <v>0</v>
      </c>
      <c r="AN187" s="23">
        <f t="shared" si="11"/>
        <v>0</v>
      </c>
      <c r="AO187" s="23">
        <f t="shared" si="11"/>
        <v>0</v>
      </c>
      <c r="AP187" s="23">
        <f t="shared" si="11"/>
        <v>0</v>
      </c>
      <c r="AQ187" s="23">
        <f t="shared" si="11"/>
        <v>0</v>
      </c>
      <c r="AR187" s="23">
        <f t="shared" si="11"/>
        <v>0</v>
      </c>
      <c r="AS187" s="23">
        <f t="shared" si="11"/>
        <v>0</v>
      </c>
      <c r="AT187" s="23">
        <f t="shared" si="11"/>
        <v>0</v>
      </c>
      <c r="AU187" s="23">
        <f t="shared" si="11"/>
        <v>0</v>
      </c>
      <c r="AV187" s="23">
        <f t="shared" si="11"/>
        <v>0</v>
      </c>
      <c r="AW187" s="23">
        <f t="shared" si="11"/>
        <v>0</v>
      </c>
      <c r="AX187" s="23">
        <f t="shared" si="11"/>
        <v>0</v>
      </c>
      <c r="AY187" s="23">
        <f t="shared" si="11"/>
        <v>0</v>
      </c>
      <c r="AZ187" s="23">
        <f t="shared" si="11"/>
        <v>0</v>
      </c>
      <c r="BA187" s="23">
        <f t="shared" si="11"/>
        <v>0</v>
      </c>
      <c r="BB187" s="23">
        <f t="shared" si="11"/>
        <v>0</v>
      </c>
      <c r="BC187" s="23">
        <f t="shared" si="11"/>
        <v>0</v>
      </c>
      <c r="BD187" s="23">
        <f t="shared" si="11"/>
        <v>0</v>
      </c>
      <c r="BE187" s="23">
        <f t="shared" si="11"/>
        <v>0</v>
      </c>
      <c r="BF187" s="23">
        <f t="shared" si="11"/>
        <v>0</v>
      </c>
      <c r="BG187" s="23">
        <f t="shared" si="11"/>
        <v>0</v>
      </c>
      <c r="BH187" s="23">
        <f t="shared" si="11"/>
        <v>0</v>
      </c>
      <c r="BI187" s="23">
        <f t="shared" si="11"/>
        <v>0</v>
      </c>
      <c r="BJ187" s="23">
        <f t="shared" si="11"/>
        <v>0</v>
      </c>
      <c r="BK187" s="23">
        <f t="shared" si="11"/>
        <v>0</v>
      </c>
      <c r="BL187" s="23">
        <f t="shared" si="11"/>
        <v>0</v>
      </c>
      <c r="BM187" s="23">
        <f t="shared" si="11"/>
        <v>0</v>
      </c>
      <c r="BN187" s="23">
        <f t="shared" si="11"/>
        <v>0</v>
      </c>
      <c r="BO187" s="23">
        <f t="shared" si="10"/>
        <v>0</v>
      </c>
      <c r="BP187" s="23">
        <f t="shared" si="10"/>
        <v>0</v>
      </c>
      <c r="BQ187" s="23">
        <f t="shared" si="10"/>
        <v>0</v>
      </c>
      <c r="BR187" s="23">
        <f t="shared" si="10"/>
        <v>0</v>
      </c>
      <c r="BS187" s="23">
        <f t="shared" si="10"/>
        <v>0</v>
      </c>
      <c r="BT187" s="23">
        <f t="shared" si="10"/>
        <v>0</v>
      </c>
      <c r="BU187" s="23">
        <f t="shared" si="10"/>
        <v>0</v>
      </c>
      <c r="BV187" s="23">
        <f t="shared" si="10"/>
        <v>0</v>
      </c>
      <c r="BW187" s="23">
        <f t="shared" si="10"/>
        <v>0</v>
      </c>
      <c r="BX187" s="23">
        <f t="shared" si="10"/>
        <v>0</v>
      </c>
      <c r="BY187" s="23">
        <f t="shared" si="10"/>
        <v>0</v>
      </c>
      <c r="BZ187" s="23">
        <f t="shared" si="10"/>
        <v>0</v>
      </c>
      <c r="CA187" s="23">
        <f t="shared" si="10"/>
        <v>0</v>
      </c>
    </row>
    <row r="188" spans="1:79" ht="15.75" customHeight="1" x14ac:dyDescent="0.2">
      <c r="A188" s="30" t="s">
        <v>61</v>
      </c>
      <c r="B188" s="23">
        <f t="shared" si="2"/>
        <v>0.11557320663341623</v>
      </c>
      <c r="C188" s="23">
        <f t="shared" si="11"/>
        <v>0.10317009435542185</v>
      </c>
      <c r="D188" s="23">
        <f t="shared" si="11"/>
        <v>1</v>
      </c>
      <c r="E188" s="23">
        <f t="shared" si="11"/>
        <v>1</v>
      </c>
      <c r="F188" s="23">
        <f t="shared" si="11"/>
        <v>0.12641572300628837</v>
      </c>
      <c r="G188" s="23">
        <f t="shared" si="11"/>
        <v>0.15334130114727154</v>
      </c>
      <c r="H188" s="23">
        <f t="shared" si="11"/>
        <v>0.13686235146523121</v>
      </c>
      <c r="I188" s="23">
        <f t="shared" si="11"/>
        <v>0.10819575593402338</v>
      </c>
      <c r="J188" s="23">
        <f t="shared" si="11"/>
        <v>8.0755373618220327E-2</v>
      </c>
      <c r="K188" s="23">
        <f t="shared" si="11"/>
        <v>0.18074080531795589</v>
      </c>
      <c r="L188" s="23">
        <f t="shared" si="11"/>
        <v>9.956515864835952E-2</v>
      </c>
      <c r="M188" s="23">
        <f t="shared" si="11"/>
        <v>0</v>
      </c>
      <c r="N188" s="23">
        <f t="shared" si="11"/>
        <v>0.21145731825122832</v>
      </c>
      <c r="O188" s="23">
        <f t="shared" si="11"/>
        <v>0.20711442388989615</v>
      </c>
      <c r="P188" s="23">
        <f t="shared" si="11"/>
        <v>0.18956400507993226</v>
      </c>
      <c r="Q188" s="23">
        <f t="shared" si="11"/>
        <v>0</v>
      </c>
      <c r="R188" s="23">
        <f t="shared" si="11"/>
        <v>0.2182966372150941</v>
      </c>
      <c r="S188" s="23">
        <f t="shared" si="11"/>
        <v>0</v>
      </c>
      <c r="T188" s="23">
        <f t="shared" si="11"/>
        <v>9.5693533760374372E-2</v>
      </c>
      <c r="U188" s="23">
        <f t="shared" si="11"/>
        <v>0</v>
      </c>
      <c r="V188" s="23">
        <f t="shared" si="11"/>
        <v>1</v>
      </c>
      <c r="W188" s="23">
        <f t="shared" si="11"/>
        <v>8.9409157024196009E-2</v>
      </c>
      <c r="X188" s="23">
        <f t="shared" si="11"/>
        <v>0.21145731825122832</v>
      </c>
      <c r="Y188" s="23">
        <f t="shared" si="11"/>
        <v>0.11551758364352958</v>
      </c>
      <c r="Z188" s="23">
        <f t="shared" si="11"/>
        <v>0</v>
      </c>
      <c r="AA188" s="23">
        <f t="shared" si="11"/>
        <v>0.70552217948976259</v>
      </c>
      <c r="AB188" s="23">
        <f t="shared" si="11"/>
        <v>0.18665958518412357</v>
      </c>
      <c r="AC188" s="23">
        <f t="shared" si="11"/>
        <v>0.11171571901604463</v>
      </c>
      <c r="AD188" s="23">
        <f t="shared" si="11"/>
        <v>9.3448100502909082E-2</v>
      </c>
      <c r="AE188" s="23">
        <f t="shared" si="11"/>
        <v>0.20692520021600544</v>
      </c>
      <c r="AF188" s="23">
        <f t="shared" si="11"/>
        <v>0.20882458998772274</v>
      </c>
      <c r="AG188" s="23">
        <f t="shared" si="11"/>
        <v>0.19184698763037078</v>
      </c>
      <c r="AH188" s="23">
        <f t="shared" si="11"/>
        <v>0</v>
      </c>
      <c r="AI188" s="23">
        <f t="shared" si="11"/>
        <v>0.15600684004032911</v>
      </c>
      <c r="AJ188" s="23">
        <f t="shared" si="11"/>
        <v>0.12641572300628837</v>
      </c>
      <c r="AK188" s="23">
        <f t="shared" si="11"/>
        <v>0.16791820484547781</v>
      </c>
      <c r="AL188" s="23">
        <f t="shared" si="11"/>
        <v>0.10394903070331557</v>
      </c>
      <c r="AM188" s="23">
        <f t="shared" si="11"/>
        <v>0</v>
      </c>
      <c r="AN188" s="23">
        <f t="shared" si="11"/>
        <v>0.17553398726133765</v>
      </c>
      <c r="AO188" s="23">
        <f t="shared" si="11"/>
        <v>0.21145731825122832</v>
      </c>
      <c r="AP188" s="23">
        <f t="shared" si="11"/>
        <v>0.10690068035859937</v>
      </c>
      <c r="AQ188" s="23">
        <f t="shared" si="11"/>
        <v>7.8704391766877213E-2</v>
      </c>
      <c r="AR188" s="23">
        <f t="shared" si="11"/>
        <v>0.2182966372150941</v>
      </c>
      <c r="AS188" s="23">
        <f t="shared" si="11"/>
        <v>0.17840519714327729</v>
      </c>
      <c r="AT188" s="23">
        <f t="shared" si="11"/>
        <v>0.11808016033704487</v>
      </c>
      <c r="AU188" s="23">
        <f t="shared" si="11"/>
        <v>0.11532841602925459</v>
      </c>
      <c r="AV188" s="23">
        <f t="shared" si="11"/>
        <v>0.14303813383679378</v>
      </c>
      <c r="AW188" s="23">
        <f t="shared" si="11"/>
        <v>9.4040394237361977E-2</v>
      </c>
      <c r="AX188" s="23">
        <f t="shared" si="11"/>
        <v>0.25330907742021996</v>
      </c>
      <c r="AY188" s="23">
        <f t="shared" si="11"/>
        <v>0</v>
      </c>
      <c r="AZ188" s="23">
        <f t="shared" si="11"/>
        <v>8.3940783346623082E-2</v>
      </c>
      <c r="BA188" s="23">
        <f t="shared" si="11"/>
        <v>0.15952826493910469</v>
      </c>
      <c r="BB188" s="23">
        <f t="shared" si="11"/>
        <v>0.42477480573069049</v>
      </c>
      <c r="BC188" s="23">
        <f t="shared" si="11"/>
        <v>0.12641572300628837</v>
      </c>
      <c r="BD188" s="23">
        <f t="shared" si="11"/>
        <v>0.12434604385473144</v>
      </c>
      <c r="BE188" s="23">
        <f t="shared" si="11"/>
        <v>0.2094882148647372</v>
      </c>
      <c r="BF188" s="23">
        <f t="shared" si="11"/>
        <v>0.11322627607551132</v>
      </c>
      <c r="BG188" s="23">
        <f t="shared" si="11"/>
        <v>0.12649984239911521</v>
      </c>
      <c r="BH188" s="23">
        <f t="shared" si="11"/>
        <v>0.22730858913539276</v>
      </c>
      <c r="BI188" s="23">
        <f t="shared" si="11"/>
        <v>0.17936687984463703</v>
      </c>
      <c r="BJ188" s="23">
        <f t="shared" si="11"/>
        <v>0.22439980720780792</v>
      </c>
      <c r="BK188" s="23">
        <f t="shared" si="11"/>
        <v>0.1645993999048235</v>
      </c>
      <c r="BL188" s="23">
        <f t="shared" si="11"/>
        <v>0</v>
      </c>
      <c r="BM188" s="23">
        <f t="shared" si="11"/>
        <v>0</v>
      </c>
      <c r="BN188" s="23">
        <f t="shared" si="11"/>
        <v>0.2182966372150941</v>
      </c>
      <c r="BO188" s="23">
        <f t="shared" si="10"/>
        <v>8.282519074819486E-2</v>
      </c>
      <c r="BP188" s="23">
        <f t="shared" si="10"/>
        <v>0.17946428079967858</v>
      </c>
      <c r="BQ188" s="23">
        <f t="shared" si="10"/>
        <v>0</v>
      </c>
      <c r="BR188" s="23">
        <f t="shared" si="10"/>
        <v>1</v>
      </c>
      <c r="BS188" s="23">
        <f t="shared" si="10"/>
        <v>0.11551758364352958</v>
      </c>
      <c r="BT188" s="23">
        <f t="shared" si="10"/>
        <v>0.21145731825122832</v>
      </c>
      <c r="BU188" s="23">
        <f t="shared" si="10"/>
        <v>9.0959288459510443E-2</v>
      </c>
      <c r="BV188" s="23">
        <f t="shared" si="10"/>
        <v>0.14756420631512723</v>
      </c>
      <c r="BW188" s="23">
        <f t="shared" si="10"/>
        <v>0.1643683125862419</v>
      </c>
      <c r="BX188" s="23">
        <f t="shared" si="10"/>
        <v>0.12298626992632598</v>
      </c>
      <c r="BY188" s="23">
        <f t="shared" si="10"/>
        <v>0</v>
      </c>
      <c r="BZ188" s="23">
        <f t="shared" si="10"/>
        <v>0</v>
      </c>
      <c r="CA188" s="23">
        <f t="shared" si="10"/>
        <v>9.6477008847337731E-2</v>
      </c>
    </row>
    <row r="189" spans="1:79" ht="15.75" customHeight="1" x14ac:dyDescent="0.2">
      <c r="A189" s="30" t="s">
        <v>62</v>
      </c>
      <c r="B189" s="23">
        <f t="shared" si="2"/>
        <v>0.29115726712860679</v>
      </c>
      <c r="C189" s="23">
        <f t="shared" si="11"/>
        <v>0.15883155926634901</v>
      </c>
      <c r="D189" s="23">
        <f t="shared" si="11"/>
        <v>8.9409157024196009E-2</v>
      </c>
      <c r="E189" s="23">
        <f t="shared" si="11"/>
        <v>8.9409157024196009E-2</v>
      </c>
      <c r="F189" s="23">
        <f t="shared" si="11"/>
        <v>0.19178416278202914</v>
      </c>
      <c r="G189" s="23">
        <f t="shared" si="11"/>
        <v>7.598139998051906E-2</v>
      </c>
      <c r="H189" s="23">
        <f t="shared" si="11"/>
        <v>0.19275253287114219</v>
      </c>
      <c r="I189" s="23">
        <f t="shared" si="11"/>
        <v>0.50723754267414256</v>
      </c>
      <c r="J189" s="23">
        <f t="shared" si="11"/>
        <v>0.18446260608466172</v>
      </c>
      <c r="K189" s="23">
        <f t="shared" si="11"/>
        <v>0.14393173909468462</v>
      </c>
      <c r="L189" s="23">
        <f t="shared" si="11"/>
        <v>0.62999852191089323</v>
      </c>
      <c r="M189" s="23">
        <f t="shared" si="11"/>
        <v>0</v>
      </c>
      <c r="N189" s="23">
        <f t="shared" si="11"/>
        <v>0.12034923892611225</v>
      </c>
      <c r="O189" s="23">
        <f t="shared" si="11"/>
        <v>0.13218712996435977</v>
      </c>
      <c r="P189" s="23">
        <f t="shared" si="11"/>
        <v>7.5530040555008615E-2</v>
      </c>
      <c r="Q189" s="23">
        <f t="shared" si="11"/>
        <v>0</v>
      </c>
      <c r="R189" s="23">
        <f t="shared" si="11"/>
        <v>0.12853572554370898</v>
      </c>
      <c r="S189" s="23">
        <f t="shared" si="11"/>
        <v>0</v>
      </c>
      <c r="T189" s="23">
        <f t="shared" si="11"/>
        <v>0.98370939029580229</v>
      </c>
      <c r="U189" s="23">
        <f t="shared" si="11"/>
        <v>0</v>
      </c>
      <c r="V189" s="23">
        <f t="shared" si="11"/>
        <v>8.9409157024196009E-2</v>
      </c>
      <c r="W189" s="23">
        <f t="shared" si="11"/>
        <v>1</v>
      </c>
      <c r="X189" s="23">
        <f t="shared" si="11"/>
        <v>0.12034923892611225</v>
      </c>
      <c r="Y189" s="23">
        <f t="shared" si="11"/>
        <v>0.3845092056692635</v>
      </c>
      <c r="Z189" s="23">
        <f t="shared" si="11"/>
        <v>0</v>
      </c>
      <c r="AA189" s="23">
        <f t="shared" si="11"/>
        <v>8.0087014600696976E-2</v>
      </c>
      <c r="AB189" s="23">
        <f t="shared" si="11"/>
        <v>0.14211709252888041</v>
      </c>
      <c r="AC189" s="23">
        <f t="shared" si="11"/>
        <v>0.17809379292361718</v>
      </c>
      <c r="AD189" s="23">
        <f t="shared" si="11"/>
        <v>0.72681539063064082</v>
      </c>
      <c r="AE189" s="23">
        <f t="shared" si="11"/>
        <v>0.14299743353885899</v>
      </c>
      <c r="AF189" s="23">
        <f t="shared" si="11"/>
        <v>0.12952997920699114</v>
      </c>
      <c r="AG189" s="23">
        <f t="shared" si="11"/>
        <v>0.14162271392912734</v>
      </c>
      <c r="AH189" s="23">
        <f t="shared" si="11"/>
        <v>0</v>
      </c>
      <c r="AI189" s="23">
        <f t="shared" si="11"/>
        <v>0.15230204151970128</v>
      </c>
      <c r="AJ189" s="23">
        <f t="shared" si="11"/>
        <v>0.19178416278202914</v>
      </c>
      <c r="AK189" s="23">
        <f t="shared" si="11"/>
        <v>0.12213306486166894</v>
      </c>
      <c r="AL189" s="23">
        <f t="shared" si="11"/>
        <v>0.47358598488971776</v>
      </c>
      <c r="AM189" s="23">
        <f t="shared" si="11"/>
        <v>0</v>
      </c>
      <c r="AN189" s="23">
        <f t="shared" si="11"/>
        <v>0.14705901440319283</v>
      </c>
      <c r="AO189" s="23">
        <f t="shared" si="11"/>
        <v>0.12034923892611225</v>
      </c>
      <c r="AP189" s="23">
        <f t="shared" si="11"/>
        <v>0.37376686661144226</v>
      </c>
      <c r="AQ189" s="23">
        <f t="shared" si="11"/>
        <v>0.6478385541648003</v>
      </c>
      <c r="AR189" s="23">
        <f t="shared" si="11"/>
        <v>0.12853572554370898</v>
      </c>
      <c r="AS189" s="23">
        <f t="shared" si="11"/>
        <v>0.13767886637386978</v>
      </c>
      <c r="AT189" s="23">
        <f t="shared" si="11"/>
        <v>0.2924222477029364</v>
      </c>
      <c r="AU189" s="23">
        <f t="shared" si="11"/>
        <v>0.35451241438350806</v>
      </c>
      <c r="AV189" s="23">
        <f t="shared" si="11"/>
        <v>0.16622044979859063</v>
      </c>
      <c r="AW189" s="23">
        <f t="shared" si="11"/>
        <v>1.7051239847606381</v>
      </c>
      <c r="AX189" s="23">
        <f t="shared" si="11"/>
        <v>7.032911113762777E-2</v>
      </c>
      <c r="AY189" s="23">
        <f t="shared" si="11"/>
        <v>0</v>
      </c>
      <c r="AZ189" s="23">
        <f t="shared" si="11"/>
        <v>1.2854632824751755</v>
      </c>
      <c r="BA189" s="23">
        <f t="shared" si="11"/>
        <v>0.14308023706759612</v>
      </c>
      <c r="BB189" s="23">
        <f t="shared" si="11"/>
        <v>8.2126262043533904E-2</v>
      </c>
      <c r="BC189" s="23">
        <f t="shared" si="11"/>
        <v>0.19178416278202914</v>
      </c>
      <c r="BD189" s="23">
        <f t="shared" si="11"/>
        <v>0.31821970733650301</v>
      </c>
      <c r="BE189" s="23">
        <f t="shared" si="11"/>
        <v>0.11477438741326526</v>
      </c>
      <c r="BF189" s="23">
        <f t="shared" si="11"/>
        <v>0.31669803594318602</v>
      </c>
      <c r="BG189" s="23">
        <f t="shared" si="11"/>
        <v>0.21511443546040288</v>
      </c>
      <c r="BH189" s="23">
        <f t="shared" si="11"/>
        <v>6.5039505844022003E-2</v>
      </c>
      <c r="BI189" s="23">
        <f t="shared" si="11"/>
        <v>0.15004769771343318</v>
      </c>
      <c r="BJ189" s="23">
        <f t="shared" si="11"/>
        <v>0.11495301753689868</v>
      </c>
      <c r="BK189" s="23">
        <f t="shared" si="11"/>
        <v>0.17087475156972826</v>
      </c>
      <c r="BL189" s="23">
        <f t="shared" si="11"/>
        <v>0</v>
      </c>
      <c r="BM189" s="23">
        <f t="shared" si="11"/>
        <v>0</v>
      </c>
      <c r="BN189" s="23">
        <f t="shared" ref="BN189:CA192" si="12">IF(BN105&gt;=0, IF(BN105 = 0,  1, 1/BN105*$B$165), 0)</f>
        <v>0.12853572554370898</v>
      </c>
      <c r="BO189" s="23">
        <f t="shared" si="12"/>
        <v>1.1214903537029886</v>
      </c>
      <c r="BP189" s="23">
        <f t="shared" si="12"/>
        <v>0.14480217453408406</v>
      </c>
      <c r="BQ189" s="23">
        <f t="shared" si="12"/>
        <v>0</v>
      </c>
      <c r="BR189" s="23">
        <f t="shared" si="12"/>
        <v>8.9409157024196009E-2</v>
      </c>
      <c r="BS189" s="23">
        <f t="shared" si="12"/>
        <v>0.3845092056692635</v>
      </c>
      <c r="BT189" s="23">
        <f t="shared" si="12"/>
        <v>0.12034923892611225</v>
      </c>
      <c r="BU189" s="23">
        <f t="shared" si="12"/>
        <v>2.3941047959604451</v>
      </c>
      <c r="BV189" s="23">
        <f t="shared" si="12"/>
        <v>0.16804412698723536</v>
      </c>
      <c r="BW189" s="23">
        <f t="shared" si="12"/>
        <v>0.16262968097167141</v>
      </c>
      <c r="BX189" s="23">
        <f t="shared" si="12"/>
        <v>0.26869488215112691</v>
      </c>
      <c r="BY189" s="23">
        <f t="shared" si="12"/>
        <v>0</v>
      </c>
      <c r="BZ189" s="23">
        <f t="shared" si="12"/>
        <v>0</v>
      </c>
      <c r="CA189" s="23">
        <f t="shared" si="12"/>
        <v>1.2187231284780065</v>
      </c>
    </row>
    <row r="190" spans="1:79" ht="15.75" customHeight="1" x14ac:dyDescent="0.2">
      <c r="A190" s="30" t="s">
        <v>64</v>
      </c>
      <c r="B190" s="23">
        <f t="shared" si="2"/>
        <v>0.20502106840005727</v>
      </c>
      <c r="C190" s="23">
        <f t="shared" ref="C190:BN193" si="13">IF(C106&gt;=0, IF(C106 = 0,  1, 1/C106*$B$165), 0)</f>
        <v>0.19134171785558249</v>
      </c>
      <c r="D190" s="23">
        <f t="shared" si="13"/>
        <v>0.21145731825122832</v>
      </c>
      <c r="E190" s="23">
        <f t="shared" si="13"/>
        <v>0.21145731825122832</v>
      </c>
      <c r="F190" s="23">
        <f t="shared" si="13"/>
        <v>0.29638386283401114</v>
      </c>
      <c r="G190" s="23">
        <f t="shared" si="13"/>
        <v>0.12816566166085433</v>
      </c>
      <c r="H190" s="23">
        <f t="shared" si="13"/>
        <v>0.3190030295779771</v>
      </c>
      <c r="I190" s="23">
        <f t="shared" si="13"/>
        <v>0.14834892327625196</v>
      </c>
      <c r="J190" s="23">
        <f t="shared" si="13"/>
        <v>7.3270033098930237E-2</v>
      </c>
      <c r="K190" s="23">
        <f t="shared" si="13"/>
        <v>0.71177971943969387</v>
      </c>
      <c r="L190" s="23">
        <f t="shared" si="13"/>
        <v>0.14876854095263922</v>
      </c>
      <c r="M190" s="23">
        <f t="shared" si="13"/>
        <v>0</v>
      </c>
      <c r="N190" s="23">
        <f t="shared" si="13"/>
        <v>1</v>
      </c>
      <c r="O190" s="23">
        <f t="shared" si="13"/>
        <v>0.97833740399933233</v>
      </c>
      <c r="P190" s="23">
        <f t="shared" si="13"/>
        <v>0.16637499528196831</v>
      </c>
      <c r="Q190" s="23">
        <f t="shared" si="13"/>
        <v>0</v>
      </c>
      <c r="R190" s="23">
        <f t="shared" si="13"/>
        <v>1.0192309370421597</v>
      </c>
      <c r="S190" s="23">
        <f t="shared" si="13"/>
        <v>0</v>
      </c>
      <c r="T190" s="23">
        <f t="shared" si="13"/>
        <v>0.13711716333363355</v>
      </c>
      <c r="U190" s="23">
        <f t="shared" si="13"/>
        <v>0</v>
      </c>
      <c r="V190" s="23">
        <f t="shared" si="13"/>
        <v>0.21145731825122832</v>
      </c>
      <c r="W190" s="23">
        <f t="shared" si="13"/>
        <v>0.12034923892611225</v>
      </c>
      <c r="X190" s="23">
        <f t="shared" si="13"/>
        <v>1</v>
      </c>
      <c r="Y190" s="23">
        <f t="shared" si="13"/>
        <v>0.1396294597391067</v>
      </c>
      <c r="Z190" s="23">
        <f t="shared" si="13"/>
        <v>0</v>
      </c>
      <c r="AA190" s="23">
        <f t="shared" si="13"/>
        <v>0.17304612308351716</v>
      </c>
      <c r="AB190" s="23">
        <f t="shared" si="13"/>
        <v>0.72659266049171023</v>
      </c>
      <c r="AC190" s="23">
        <f t="shared" si="13"/>
        <v>0.2364526636767296</v>
      </c>
      <c r="AD190" s="23">
        <f t="shared" si="13"/>
        <v>0.11046828049985975</v>
      </c>
      <c r="AE190" s="23">
        <f t="shared" si="13"/>
        <v>0.48466447224926307</v>
      </c>
      <c r="AF190" s="23">
        <f t="shared" si="13"/>
        <v>1.224226452250762</v>
      </c>
      <c r="AG190" s="23">
        <f t="shared" si="13"/>
        <v>0.68891700486784091</v>
      </c>
      <c r="AH190" s="23">
        <f t="shared" si="13"/>
        <v>0</v>
      </c>
      <c r="AI190" s="23">
        <f t="shared" si="13"/>
        <v>0.54356061122228894</v>
      </c>
      <c r="AJ190" s="23">
        <f t="shared" si="13"/>
        <v>0.29638386283401114</v>
      </c>
      <c r="AK190" s="23">
        <f t="shared" si="13"/>
        <v>0.10134864143620757</v>
      </c>
      <c r="AL190" s="23">
        <f t="shared" si="13"/>
        <v>0.16134887262872447</v>
      </c>
      <c r="AM190" s="23">
        <f t="shared" si="13"/>
        <v>0</v>
      </c>
      <c r="AN190" s="23">
        <f t="shared" si="13"/>
        <v>0.65233791908500582</v>
      </c>
      <c r="AO190" s="23">
        <f t="shared" si="13"/>
        <v>1</v>
      </c>
      <c r="AP190" s="23">
        <f t="shared" si="13"/>
        <v>0.17704001423221932</v>
      </c>
      <c r="AQ190" s="23">
        <f t="shared" si="13"/>
        <v>0.10562777414885763</v>
      </c>
      <c r="AR190" s="23">
        <f t="shared" si="13"/>
        <v>1.0192309370421597</v>
      </c>
      <c r="AS190" s="23">
        <f t="shared" si="13"/>
        <v>0.94505992392979898</v>
      </c>
      <c r="AT190" s="23">
        <f t="shared" si="13"/>
        <v>0.1196425386161394</v>
      </c>
      <c r="AU190" s="23">
        <f t="shared" si="13"/>
        <v>0.1288214264716408</v>
      </c>
      <c r="AV190" s="23">
        <f t="shared" si="13"/>
        <v>0.40918244601308551</v>
      </c>
      <c r="AW190" s="23">
        <f t="shared" si="13"/>
        <v>0.12839410378851987</v>
      </c>
      <c r="AX190" s="23">
        <f t="shared" si="13"/>
        <v>0.16748840156567724</v>
      </c>
      <c r="AY190" s="23">
        <f t="shared" si="13"/>
        <v>0</v>
      </c>
      <c r="AZ190" s="23">
        <f t="shared" si="13"/>
        <v>0.11629299961863862</v>
      </c>
      <c r="BA190" s="23">
        <f t="shared" si="13"/>
        <v>0.63724579868429421</v>
      </c>
      <c r="BB190" s="23">
        <f t="shared" si="13"/>
        <v>0.14206874337861888</v>
      </c>
      <c r="BC190" s="23">
        <f t="shared" si="13"/>
        <v>0.29638386283401114</v>
      </c>
      <c r="BD190" s="23">
        <f t="shared" si="13"/>
        <v>0.15985436565702871</v>
      </c>
      <c r="BE190" s="23">
        <f t="shared" si="13"/>
        <v>1.6839214767836834</v>
      </c>
      <c r="BF190" s="23">
        <f t="shared" si="13"/>
        <v>0.19409672075285167</v>
      </c>
      <c r="BG190" s="23">
        <f t="shared" si="13"/>
        <v>0.26955011705058801</v>
      </c>
      <c r="BH190" s="23">
        <f t="shared" si="13"/>
        <v>0.13541680759161473</v>
      </c>
      <c r="BI190" s="23">
        <f t="shared" si="13"/>
        <v>0.56242859559769143</v>
      </c>
      <c r="BJ190" s="23">
        <f t="shared" si="13"/>
        <v>2.5636035823572834</v>
      </c>
      <c r="BK190" s="23">
        <f t="shared" si="13"/>
        <v>0.37429534832429034</v>
      </c>
      <c r="BL190" s="23">
        <f t="shared" si="13"/>
        <v>0</v>
      </c>
      <c r="BM190" s="23">
        <f t="shared" si="13"/>
        <v>0</v>
      </c>
      <c r="BN190" s="23">
        <f t="shared" si="13"/>
        <v>1.0192309370421597</v>
      </c>
      <c r="BO190" s="23">
        <f t="shared" si="12"/>
        <v>0.11306587740852253</v>
      </c>
      <c r="BP190" s="23">
        <f t="shared" si="12"/>
        <v>0.692984182861764</v>
      </c>
      <c r="BQ190" s="23">
        <f t="shared" si="12"/>
        <v>0</v>
      </c>
      <c r="BR190" s="23">
        <f t="shared" si="12"/>
        <v>0.21145731825122832</v>
      </c>
      <c r="BS190" s="23">
        <f t="shared" si="12"/>
        <v>0.1396294597391067</v>
      </c>
      <c r="BT190" s="23">
        <f t="shared" si="12"/>
        <v>1</v>
      </c>
      <c r="BU190" s="23">
        <f t="shared" si="12"/>
        <v>0.12645926407627725</v>
      </c>
      <c r="BV190" s="23">
        <f t="shared" si="12"/>
        <v>0.41753648693328216</v>
      </c>
      <c r="BW190" s="23">
        <f t="shared" si="12"/>
        <v>0.44989913963888356</v>
      </c>
      <c r="BX190" s="23">
        <f t="shared" si="12"/>
        <v>0.21668017175593829</v>
      </c>
      <c r="BY190" s="23">
        <f t="shared" si="12"/>
        <v>0</v>
      </c>
      <c r="BZ190" s="23">
        <f t="shared" si="12"/>
        <v>0</v>
      </c>
      <c r="CA190" s="23">
        <f t="shared" si="12"/>
        <v>0.12823901314066111</v>
      </c>
    </row>
    <row r="191" spans="1:79" ht="15.75" customHeight="1" x14ac:dyDescent="0.2">
      <c r="A191" s="30" t="s">
        <v>66</v>
      </c>
      <c r="B191" s="23">
        <f t="shared" si="2"/>
        <v>0.30833577107048654</v>
      </c>
      <c r="C191" s="23">
        <f t="shared" si="13"/>
        <v>0.12939440260230908</v>
      </c>
      <c r="D191" s="23">
        <f t="shared" si="13"/>
        <v>0.11551758364352958</v>
      </c>
      <c r="E191" s="23">
        <f t="shared" si="13"/>
        <v>0.11551758364352958</v>
      </c>
      <c r="F191" s="23">
        <f t="shared" si="13"/>
        <v>0.19299399928061201</v>
      </c>
      <c r="G191" s="23">
        <f t="shared" si="13"/>
        <v>6.6827476225462118E-2</v>
      </c>
      <c r="H191" s="23">
        <f t="shared" si="13"/>
        <v>0.21680422691399701</v>
      </c>
      <c r="I191" s="23">
        <f t="shared" si="13"/>
        <v>0.83447440234032333</v>
      </c>
      <c r="J191" s="23">
        <f t="shared" si="13"/>
        <v>0.14292735900007095</v>
      </c>
      <c r="K191" s="23">
        <f t="shared" si="13"/>
        <v>0.1725982914967672</v>
      </c>
      <c r="L191" s="23">
        <f t="shared" si="13"/>
        <v>0.42541464108209637</v>
      </c>
      <c r="M191" s="23">
        <f t="shared" si="13"/>
        <v>0</v>
      </c>
      <c r="N191" s="23">
        <f t="shared" si="13"/>
        <v>0.1396294597391067</v>
      </c>
      <c r="O191" s="23">
        <f t="shared" si="13"/>
        <v>0.1617314850301344</v>
      </c>
      <c r="P191" s="23">
        <f t="shared" si="13"/>
        <v>7.6041014568033125E-2</v>
      </c>
      <c r="Q191" s="23">
        <f t="shared" si="13"/>
        <v>0</v>
      </c>
      <c r="R191" s="23">
        <f t="shared" si="13"/>
        <v>0.15817268011337288</v>
      </c>
      <c r="S191" s="23">
        <f t="shared" si="13"/>
        <v>0</v>
      </c>
      <c r="T191" s="23">
        <f t="shared" si="13"/>
        <v>0.43503398726787434</v>
      </c>
      <c r="U191" s="23">
        <f t="shared" si="13"/>
        <v>0</v>
      </c>
      <c r="V191" s="23">
        <f t="shared" si="13"/>
        <v>0.11551758364352958</v>
      </c>
      <c r="W191" s="23">
        <f t="shared" si="13"/>
        <v>0.3845092056692635</v>
      </c>
      <c r="X191" s="23">
        <f t="shared" si="13"/>
        <v>0.1396294597391067</v>
      </c>
      <c r="Y191" s="23">
        <f t="shared" si="13"/>
        <v>1</v>
      </c>
      <c r="Z191" s="23">
        <f t="shared" si="13"/>
        <v>0</v>
      </c>
      <c r="AA191" s="23">
        <f t="shared" si="13"/>
        <v>0.101065183123869</v>
      </c>
      <c r="AB191" s="23">
        <f t="shared" si="13"/>
        <v>0.17270147733189167</v>
      </c>
      <c r="AC191" s="23">
        <f t="shared" si="13"/>
        <v>0.15485347863863413</v>
      </c>
      <c r="AD191" s="23">
        <f t="shared" si="13"/>
        <v>0.45185279230788689</v>
      </c>
      <c r="AE191" s="23">
        <f t="shared" si="13"/>
        <v>0.18910140827478458</v>
      </c>
      <c r="AF191" s="23">
        <f t="shared" si="13"/>
        <v>0.15669743253631088</v>
      </c>
      <c r="AG191" s="23">
        <f t="shared" si="13"/>
        <v>0.17502333416316768</v>
      </c>
      <c r="AH191" s="23">
        <f t="shared" si="13"/>
        <v>0</v>
      </c>
      <c r="AI191" s="23">
        <f t="shared" si="13"/>
        <v>0.1690455910405225</v>
      </c>
      <c r="AJ191" s="23">
        <f t="shared" si="13"/>
        <v>0.19299399928061201</v>
      </c>
      <c r="AK191" s="23">
        <f t="shared" si="13"/>
        <v>0.15252027676526139</v>
      </c>
      <c r="AL191" s="23">
        <f t="shared" si="13"/>
        <v>0.40812610532409033</v>
      </c>
      <c r="AM191" s="23">
        <f t="shared" si="13"/>
        <v>0</v>
      </c>
      <c r="AN191" s="23">
        <f t="shared" si="13"/>
        <v>0.17542481791067474</v>
      </c>
      <c r="AO191" s="23">
        <f t="shared" si="13"/>
        <v>0.1396294597391067</v>
      </c>
      <c r="AP191" s="23">
        <f t="shared" si="13"/>
        <v>0.34089059462599647</v>
      </c>
      <c r="AQ191" s="23">
        <f t="shared" si="13"/>
        <v>0.24660390381992309</v>
      </c>
      <c r="AR191" s="23">
        <f t="shared" si="13"/>
        <v>0.15817268011337288</v>
      </c>
      <c r="AS191" s="23">
        <f t="shared" si="13"/>
        <v>0.15844200149498069</v>
      </c>
      <c r="AT191" s="23">
        <f t="shared" si="13"/>
        <v>0.61518596931698744</v>
      </c>
      <c r="AU191" s="23">
        <f t="shared" si="13"/>
        <v>1.3508621851140366</v>
      </c>
      <c r="AV191" s="23">
        <f t="shared" si="13"/>
        <v>0.17920904903936261</v>
      </c>
      <c r="AW191" s="23">
        <f t="shared" si="13"/>
        <v>0.46368327952636174</v>
      </c>
      <c r="AX191" s="23">
        <f t="shared" si="13"/>
        <v>8.0147342952046063E-2</v>
      </c>
      <c r="AY191" s="23">
        <f t="shared" si="13"/>
        <v>0</v>
      </c>
      <c r="AZ191" s="23">
        <f t="shared" si="13"/>
        <v>0.29606835883482496</v>
      </c>
      <c r="BA191" s="23">
        <f t="shared" si="13"/>
        <v>0.15603292557970988</v>
      </c>
      <c r="BB191" s="23">
        <f t="shared" si="13"/>
        <v>0.10334758329213112</v>
      </c>
      <c r="BC191" s="23">
        <f t="shared" si="13"/>
        <v>0.19299399928061201</v>
      </c>
      <c r="BD191" s="23">
        <f t="shared" si="13"/>
        <v>1.1005394427804798</v>
      </c>
      <c r="BE191" s="23">
        <f t="shared" si="13"/>
        <v>0.12951583888167695</v>
      </c>
      <c r="BF191" s="23">
        <f t="shared" si="13"/>
        <v>0.33166257760683754</v>
      </c>
      <c r="BG191" s="23">
        <f t="shared" si="13"/>
        <v>0.22986590394422643</v>
      </c>
      <c r="BH191" s="23">
        <f t="shared" si="13"/>
        <v>7.7342777239015795E-2</v>
      </c>
      <c r="BI191" s="23">
        <f t="shared" si="13"/>
        <v>0.18551029025197371</v>
      </c>
      <c r="BJ191" s="23">
        <f t="shared" si="13"/>
        <v>0.13319844303076547</v>
      </c>
      <c r="BK191" s="23">
        <f t="shared" si="13"/>
        <v>0.22226004807586155</v>
      </c>
      <c r="BL191" s="23">
        <f t="shared" si="13"/>
        <v>0</v>
      </c>
      <c r="BM191" s="23">
        <f t="shared" si="13"/>
        <v>0</v>
      </c>
      <c r="BN191" s="23">
        <f t="shared" si="13"/>
        <v>0.15817268011337288</v>
      </c>
      <c r="BO191" s="23">
        <f t="shared" si="12"/>
        <v>0.28751954814576003</v>
      </c>
      <c r="BP191" s="23">
        <f t="shared" si="12"/>
        <v>0.17355932238654817</v>
      </c>
      <c r="BQ191" s="23">
        <f t="shared" si="12"/>
        <v>0</v>
      </c>
      <c r="BR191" s="23">
        <f t="shared" si="12"/>
        <v>0.11551758364352958</v>
      </c>
      <c r="BS191" s="23">
        <f t="shared" si="12"/>
        <v>1</v>
      </c>
      <c r="BT191" s="23">
        <f t="shared" si="12"/>
        <v>0.1396294597391067</v>
      </c>
      <c r="BU191" s="23">
        <f t="shared" si="12"/>
        <v>0.39052214064418023</v>
      </c>
      <c r="BV191" s="23">
        <f t="shared" si="12"/>
        <v>0.18840632729966453</v>
      </c>
      <c r="BW191" s="23">
        <f t="shared" si="12"/>
        <v>0.19961105606300988</v>
      </c>
      <c r="BX191" s="23">
        <f t="shared" si="12"/>
        <v>0.32700554119041925</v>
      </c>
      <c r="BY191" s="23">
        <f t="shared" si="12"/>
        <v>0</v>
      </c>
      <c r="BZ191" s="23">
        <f t="shared" si="12"/>
        <v>0</v>
      </c>
      <c r="CA191" s="23">
        <f t="shared" si="12"/>
        <v>0.55321980444730512</v>
      </c>
    </row>
    <row r="192" spans="1:79" ht="15.75" customHeight="1" x14ac:dyDescent="0.2">
      <c r="A192" s="30" t="s">
        <v>69</v>
      </c>
      <c r="B192" s="23">
        <f t="shared" si="2"/>
        <v>0</v>
      </c>
      <c r="C192" s="23">
        <f t="shared" si="13"/>
        <v>0</v>
      </c>
      <c r="D192" s="23">
        <f t="shared" si="13"/>
        <v>0</v>
      </c>
      <c r="E192" s="23">
        <f t="shared" si="13"/>
        <v>0</v>
      </c>
      <c r="F192" s="23">
        <f t="shared" si="13"/>
        <v>0</v>
      </c>
      <c r="G192" s="23">
        <f t="shared" si="13"/>
        <v>0</v>
      </c>
      <c r="H192" s="23">
        <f t="shared" si="13"/>
        <v>0</v>
      </c>
      <c r="I192" s="23">
        <f t="shared" si="13"/>
        <v>0</v>
      </c>
      <c r="J192" s="23">
        <f t="shared" si="13"/>
        <v>0</v>
      </c>
      <c r="K192" s="23">
        <f t="shared" si="13"/>
        <v>0</v>
      </c>
      <c r="L192" s="23">
        <f t="shared" si="13"/>
        <v>0</v>
      </c>
      <c r="M192" s="23">
        <f t="shared" si="13"/>
        <v>0</v>
      </c>
      <c r="N192" s="23">
        <f t="shared" si="13"/>
        <v>0</v>
      </c>
      <c r="O192" s="23">
        <f t="shared" si="13"/>
        <v>0</v>
      </c>
      <c r="P192" s="23">
        <f t="shared" si="13"/>
        <v>0</v>
      </c>
      <c r="Q192" s="23">
        <f t="shared" si="13"/>
        <v>0</v>
      </c>
      <c r="R192" s="23">
        <f t="shared" si="13"/>
        <v>0</v>
      </c>
      <c r="S192" s="23">
        <f t="shared" si="13"/>
        <v>0</v>
      </c>
      <c r="T192" s="23">
        <f t="shared" si="13"/>
        <v>0</v>
      </c>
      <c r="U192" s="23">
        <f t="shared" si="13"/>
        <v>0</v>
      </c>
      <c r="V192" s="23">
        <f t="shared" si="13"/>
        <v>0</v>
      </c>
      <c r="W192" s="23">
        <f t="shared" si="13"/>
        <v>0</v>
      </c>
      <c r="X192" s="23">
        <f t="shared" si="13"/>
        <v>0</v>
      </c>
      <c r="Y192" s="23">
        <f t="shared" si="13"/>
        <v>0</v>
      </c>
      <c r="Z192" s="23">
        <f t="shared" si="13"/>
        <v>1</v>
      </c>
      <c r="AA192" s="23">
        <f t="shared" si="13"/>
        <v>0</v>
      </c>
      <c r="AB192" s="23">
        <f t="shared" si="13"/>
        <v>0</v>
      </c>
      <c r="AC192" s="23">
        <f t="shared" si="13"/>
        <v>0</v>
      </c>
      <c r="AD192" s="23">
        <f t="shared" si="13"/>
        <v>0</v>
      </c>
      <c r="AE192" s="23">
        <f t="shared" si="13"/>
        <v>0</v>
      </c>
      <c r="AF192" s="23">
        <f t="shared" si="13"/>
        <v>0</v>
      </c>
      <c r="AG192" s="23">
        <f t="shared" si="13"/>
        <v>0</v>
      </c>
      <c r="AH192" s="23">
        <f t="shared" si="13"/>
        <v>0</v>
      </c>
      <c r="AI192" s="23">
        <f t="shared" si="13"/>
        <v>0</v>
      </c>
      <c r="AJ192" s="23">
        <f t="shared" si="13"/>
        <v>0</v>
      </c>
      <c r="AK192" s="23">
        <f t="shared" si="13"/>
        <v>0</v>
      </c>
      <c r="AL192" s="23">
        <f t="shared" si="13"/>
        <v>0</v>
      </c>
      <c r="AM192" s="23">
        <f t="shared" si="13"/>
        <v>0</v>
      </c>
      <c r="AN192" s="23">
        <f t="shared" si="13"/>
        <v>0</v>
      </c>
      <c r="AO192" s="23">
        <f t="shared" si="13"/>
        <v>0</v>
      </c>
      <c r="AP192" s="23">
        <f t="shared" si="13"/>
        <v>0</v>
      </c>
      <c r="AQ192" s="23">
        <f t="shared" si="13"/>
        <v>0</v>
      </c>
      <c r="AR192" s="23">
        <f t="shared" si="13"/>
        <v>0</v>
      </c>
      <c r="AS192" s="23">
        <f t="shared" si="13"/>
        <v>0</v>
      </c>
      <c r="AT192" s="23">
        <f t="shared" si="13"/>
        <v>0</v>
      </c>
      <c r="AU192" s="23">
        <f t="shared" si="13"/>
        <v>0</v>
      </c>
      <c r="AV192" s="23">
        <f t="shared" si="13"/>
        <v>0</v>
      </c>
      <c r="AW192" s="23">
        <f t="shared" si="13"/>
        <v>0</v>
      </c>
      <c r="AX192" s="23">
        <f t="shared" si="13"/>
        <v>0</v>
      </c>
      <c r="AY192" s="23">
        <f t="shared" si="13"/>
        <v>0</v>
      </c>
      <c r="AZ192" s="23">
        <f t="shared" si="13"/>
        <v>0</v>
      </c>
      <c r="BA192" s="23">
        <f t="shared" si="13"/>
        <v>0</v>
      </c>
      <c r="BB192" s="23">
        <f t="shared" si="13"/>
        <v>0</v>
      </c>
      <c r="BC192" s="23">
        <f t="shared" si="13"/>
        <v>0</v>
      </c>
      <c r="BD192" s="23">
        <f t="shared" si="13"/>
        <v>0</v>
      </c>
      <c r="BE192" s="23">
        <f t="shared" si="13"/>
        <v>0</v>
      </c>
      <c r="BF192" s="23">
        <f t="shared" si="13"/>
        <v>0</v>
      </c>
      <c r="BG192" s="23">
        <f t="shared" si="13"/>
        <v>0</v>
      </c>
      <c r="BH192" s="23">
        <f t="shared" si="13"/>
        <v>0</v>
      </c>
      <c r="BI192" s="23">
        <f t="shared" si="13"/>
        <v>0</v>
      </c>
      <c r="BJ192" s="23">
        <f t="shared" si="13"/>
        <v>0</v>
      </c>
      <c r="BK192" s="23">
        <f t="shared" si="13"/>
        <v>0</v>
      </c>
      <c r="BL192" s="23">
        <f t="shared" si="13"/>
        <v>0</v>
      </c>
      <c r="BM192" s="23">
        <f t="shared" si="13"/>
        <v>0</v>
      </c>
      <c r="BN192" s="23">
        <f t="shared" si="13"/>
        <v>0</v>
      </c>
      <c r="BO192" s="23">
        <f t="shared" si="12"/>
        <v>0</v>
      </c>
      <c r="BP192" s="23">
        <f t="shared" si="12"/>
        <v>0</v>
      </c>
      <c r="BQ192" s="23">
        <f t="shared" si="12"/>
        <v>0</v>
      </c>
      <c r="BR192" s="23">
        <f t="shared" si="12"/>
        <v>0</v>
      </c>
      <c r="BS192" s="23">
        <f t="shared" si="12"/>
        <v>0</v>
      </c>
      <c r="BT192" s="23">
        <f t="shared" si="12"/>
        <v>0</v>
      </c>
      <c r="BU192" s="23">
        <f t="shared" si="12"/>
        <v>0</v>
      </c>
      <c r="BV192" s="23">
        <f t="shared" si="12"/>
        <v>0</v>
      </c>
      <c r="BW192" s="23">
        <f t="shared" si="12"/>
        <v>0</v>
      </c>
      <c r="BX192" s="23">
        <f t="shared" si="12"/>
        <v>0</v>
      </c>
      <c r="BY192" s="23">
        <f t="shared" si="12"/>
        <v>0</v>
      </c>
      <c r="BZ192" s="23">
        <f t="shared" si="12"/>
        <v>0</v>
      </c>
      <c r="CA192" s="23">
        <f t="shared" si="12"/>
        <v>0</v>
      </c>
    </row>
    <row r="193" spans="1:79" ht="15.75" customHeight="1" x14ac:dyDescent="0.2">
      <c r="A193" s="30" t="s">
        <v>72</v>
      </c>
      <c r="B193" s="23">
        <f t="shared" si="2"/>
        <v>9.9541691179511102E-2</v>
      </c>
      <c r="C193" s="23">
        <f t="shared" si="13"/>
        <v>9.8045163685954645E-2</v>
      </c>
      <c r="D193" s="23">
        <f t="shared" si="13"/>
        <v>0.70552217948976259</v>
      </c>
      <c r="E193" s="23">
        <f t="shared" si="13"/>
        <v>0.70552217948976259</v>
      </c>
      <c r="F193" s="23">
        <f t="shared" si="13"/>
        <v>0.10977074356082758</v>
      </c>
      <c r="G193" s="23">
        <f t="shared" si="13"/>
        <v>0.18653620432270726</v>
      </c>
      <c r="H193" s="23">
        <f t="shared" si="13"/>
        <v>0.11615103515319465</v>
      </c>
      <c r="I193" s="23">
        <f t="shared" si="13"/>
        <v>9.4329996234222752E-2</v>
      </c>
      <c r="J193" s="23">
        <f t="shared" si="13"/>
        <v>8.6439248633377416E-2</v>
      </c>
      <c r="K193" s="23">
        <f t="shared" si="13"/>
        <v>0.14753613067557006</v>
      </c>
      <c r="L193" s="23">
        <f t="shared" si="13"/>
        <v>8.729767904124261E-2</v>
      </c>
      <c r="M193" s="23">
        <f t="shared" si="13"/>
        <v>0</v>
      </c>
      <c r="N193" s="23">
        <f t="shared" si="13"/>
        <v>0.17304612308351716</v>
      </c>
      <c r="O193" s="23">
        <f t="shared" si="13"/>
        <v>0.16480287732739957</v>
      </c>
      <c r="P193" s="23">
        <f t="shared" si="13"/>
        <v>0.22496965143937567</v>
      </c>
      <c r="Q193" s="23">
        <f t="shared" si="13"/>
        <v>0</v>
      </c>
      <c r="R193" s="23">
        <f t="shared" si="13"/>
        <v>0.17185247157856298</v>
      </c>
      <c r="S193" s="23">
        <f t="shared" si="13"/>
        <v>0</v>
      </c>
      <c r="T193" s="23">
        <f t="shared" si="13"/>
        <v>8.4460184275403138E-2</v>
      </c>
      <c r="U193" s="23">
        <f t="shared" si="13"/>
        <v>0</v>
      </c>
      <c r="V193" s="23">
        <f t="shared" si="13"/>
        <v>0.70552217948976259</v>
      </c>
      <c r="W193" s="23">
        <f t="shared" si="13"/>
        <v>8.0087014600696976E-2</v>
      </c>
      <c r="X193" s="23">
        <f t="shared" si="13"/>
        <v>0.17304612308351716</v>
      </c>
      <c r="Y193" s="23">
        <f t="shared" si="13"/>
        <v>0.101065183123869</v>
      </c>
      <c r="Z193" s="23">
        <f t="shared" si="13"/>
        <v>0</v>
      </c>
      <c r="AA193" s="23">
        <f t="shared" si="13"/>
        <v>1</v>
      </c>
      <c r="AB193" s="23">
        <f t="shared" si="13"/>
        <v>0.15112894177538644</v>
      </c>
      <c r="AC193" s="23">
        <f t="shared" si="13"/>
        <v>0.1015027446799836</v>
      </c>
      <c r="AD193" s="23">
        <f t="shared" si="13"/>
        <v>8.5211780505900045E-2</v>
      </c>
      <c r="AE193" s="23">
        <f t="shared" si="13"/>
        <v>0.16129514606101381</v>
      </c>
      <c r="AF193" s="23">
        <f t="shared" si="13"/>
        <v>0.16677640330774016</v>
      </c>
      <c r="AG193" s="23">
        <f t="shared" si="13"/>
        <v>0.15395683737886731</v>
      </c>
      <c r="AH193" s="23">
        <f t="shared" si="13"/>
        <v>0</v>
      </c>
      <c r="AI193" s="23">
        <f t="shared" si="13"/>
        <v>0.13208154931066701</v>
      </c>
      <c r="AJ193" s="23">
        <f t="shared" si="13"/>
        <v>0.10977074356082758</v>
      </c>
      <c r="AK193" s="23">
        <f t="shared" si="13"/>
        <v>0.17168342272345433</v>
      </c>
      <c r="AL193" s="23">
        <f t="shared" si="13"/>
        <v>9.060192698796167E-2</v>
      </c>
      <c r="AM193" s="23">
        <f t="shared" si="13"/>
        <v>0</v>
      </c>
      <c r="AN193" s="23">
        <f t="shared" si="13"/>
        <v>0.14400134867697476</v>
      </c>
      <c r="AO193" s="23">
        <f t="shared" si="13"/>
        <v>0.17304612308351716</v>
      </c>
      <c r="AP193" s="23">
        <f t="shared" si="13"/>
        <v>9.2911675154908849E-2</v>
      </c>
      <c r="AQ193" s="23">
        <f t="shared" si="13"/>
        <v>7.1970350614301681E-2</v>
      </c>
      <c r="AR193" s="23">
        <f t="shared" si="13"/>
        <v>0.17185247157856298</v>
      </c>
      <c r="AS193" s="23">
        <f t="shared" si="13"/>
        <v>0.14804714972420793</v>
      </c>
      <c r="AT193" s="23">
        <f t="shared" si="13"/>
        <v>0.106247727815777</v>
      </c>
      <c r="AU193" s="23">
        <f t="shared" si="13"/>
        <v>0.10218649495384305</v>
      </c>
      <c r="AV193" s="23">
        <f t="shared" si="13"/>
        <v>0.12236134840364236</v>
      </c>
      <c r="AW193" s="23">
        <f t="shared" si="13"/>
        <v>8.3535445201732603E-2</v>
      </c>
      <c r="AX193" s="23">
        <f t="shared" si="13"/>
        <v>0.33671482827354177</v>
      </c>
      <c r="AY193" s="23">
        <f t="shared" si="13"/>
        <v>0</v>
      </c>
      <c r="AZ193" s="23">
        <f t="shared" si="13"/>
        <v>7.5467406270429471E-2</v>
      </c>
      <c r="BA193" s="23">
        <f t="shared" si="13"/>
        <v>0.13609124180329019</v>
      </c>
      <c r="BB193" s="23">
        <f t="shared" si="13"/>
        <v>0.72236231779699167</v>
      </c>
      <c r="BC193" s="23">
        <f t="shared" si="13"/>
        <v>0.10977074356082758</v>
      </c>
      <c r="BD193" s="23">
        <f t="shared" si="13"/>
        <v>0.10674534860784105</v>
      </c>
      <c r="BE193" s="23">
        <f t="shared" si="13"/>
        <v>0.17597707971198234</v>
      </c>
      <c r="BF193" s="23">
        <f t="shared" si="13"/>
        <v>9.7694578604373236E-2</v>
      </c>
      <c r="BG193" s="23">
        <f t="shared" si="13"/>
        <v>0.10849398834730906</v>
      </c>
      <c r="BH193" s="23">
        <f t="shared" si="13"/>
        <v>0.32564101641113713</v>
      </c>
      <c r="BI193" s="23">
        <f t="shared" si="13"/>
        <v>0.14541884612312003</v>
      </c>
      <c r="BJ193" s="23">
        <f t="shared" si="13"/>
        <v>0.18351494604725027</v>
      </c>
      <c r="BK193" s="23">
        <f t="shared" si="13"/>
        <v>0.13429643743172862</v>
      </c>
      <c r="BL193" s="23">
        <f t="shared" si="13"/>
        <v>0</v>
      </c>
      <c r="BM193" s="23">
        <f t="shared" si="13"/>
        <v>0</v>
      </c>
      <c r="BN193" s="23">
        <f t="shared" ref="BN193:CA196" si="14">IF(BN109&gt;=0, IF(BN109 = 0,  1, 1/BN109*$B$165), 0)</f>
        <v>0.17185247157856298</v>
      </c>
      <c r="BO193" s="23">
        <f t="shared" si="14"/>
        <v>7.4781992983169232E-2</v>
      </c>
      <c r="BP193" s="23">
        <f t="shared" si="14"/>
        <v>0.14664018865464543</v>
      </c>
      <c r="BQ193" s="23">
        <f t="shared" si="14"/>
        <v>0</v>
      </c>
      <c r="BR193" s="23">
        <f t="shared" si="14"/>
        <v>0.70552217948976259</v>
      </c>
      <c r="BS193" s="23">
        <f t="shared" si="14"/>
        <v>0.101065183123869</v>
      </c>
      <c r="BT193" s="23">
        <f t="shared" si="14"/>
        <v>0.17304612308351716</v>
      </c>
      <c r="BU193" s="23">
        <f t="shared" si="14"/>
        <v>8.0965692088541472E-2</v>
      </c>
      <c r="BV193" s="23">
        <f t="shared" si="14"/>
        <v>0.12479759971333634</v>
      </c>
      <c r="BW193" s="23">
        <f t="shared" si="14"/>
        <v>0.13511687441489381</v>
      </c>
      <c r="BX193" s="23">
        <f t="shared" si="14"/>
        <v>0.10485572030266048</v>
      </c>
      <c r="BY193" s="23">
        <f t="shared" si="14"/>
        <v>0</v>
      </c>
      <c r="BZ193" s="23">
        <f t="shared" si="14"/>
        <v>0</v>
      </c>
      <c r="CA193" s="23">
        <f t="shared" si="14"/>
        <v>8.5689093128585025E-2</v>
      </c>
    </row>
    <row r="194" spans="1:79" ht="15.75" customHeight="1" x14ac:dyDescent="0.2">
      <c r="A194" s="30" t="s">
        <v>74</v>
      </c>
      <c r="B194" s="23">
        <f t="shared" si="2"/>
        <v>0.27385708068235387</v>
      </c>
      <c r="C194" s="23">
        <f t="shared" ref="C194:BN197" si="15">IF(C110&gt;=0, IF(C110 = 0,  1, 1/C110*$B$165), 0)</f>
        <v>0.18851812298671505</v>
      </c>
      <c r="D194" s="23">
        <f t="shared" si="15"/>
        <v>0.18665958518412357</v>
      </c>
      <c r="E194" s="23">
        <f t="shared" si="15"/>
        <v>0.18665958518412357</v>
      </c>
      <c r="F194" s="23">
        <f t="shared" si="15"/>
        <v>0.39010076486385148</v>
      </c>
      <c r="G194" s="23">
        <f t="shared" si="15"/>
        <v>0.10899814407641828</v>
      </c>
      <c r="H194" s="23">
        <f t="shared" si="15"/>
        <v>0.49874380718528893</v>
      </c>
      <c r="I194" s="23">
        <f t="shared" si="15"/>
        <v>0.18583207273049385</v>
      </c>
      <c r="J194" s="23">
        <f t="shared" si="15"/>
        <v>8.0275267480804699E-2</v>
      </c>
      <c r="K194" s="23">
        <f t="shared" si="15"/>
        <v>5.0972310285657514</v>
      </c>
      <c r="L194" s="23">
        <f t="shared" si="15"/>
        <v>0.18317114734853474</v>
      </c>
      <c r="M194" s="23">
        <f t="shared" si="15"/>
        <v>0</v>
      </c>
      <c r="N194" s="23">
        <f t="shared" si="15"/>
        <v>0.72659266049171023</v>
      </c>
      <c r="O194" s="23">
        <f t="shared" si="15"/>
        <v>1.7954468440297311</v>
      </c>
      <c r="P194" s="23">
        <f t="shared" si="15"/>
        <v>0.13537923470294586</v>
      </c>
      <c r="Q194" s="23">
        <f t="shared" si="15"/>
        <v>0</v>
      </c>
      <c r="R194" s="23">
        <f t="shared" si="15"/>
        <v>1.2465339222043326</v>
      </c>
      <c r="S194" s="23">
        <f t="shared" si="15"/>
        <v>0</v>
      </c>
      <c r="T194" s="23">
        <f t="shared" si="15"/>
        <v>0.16603000221525119</v>
      </c>
      <c r="U194" s="23">
        <f t="shared" si="15"/>
        <v>0</v>
      </c>
      <c r="V194" s="23">
        <f t="shared" si="15"/>
        <v>0.18665958518412357</v>
      </c>
      <c r="W194" s="23">
        <f t="shared" si="15"/>
        <v>0.14211709252888041</v>
      </c>
      <c r="X194" s="23">
        <f t="shared" si="15"/>
        <v>0.72659266049171023</v>
      </c>
      <c r="Y194" s="23">
        <f t="shared" si="15"/>
        <v>0.17270147733189167</v>
      </c>
      <c r="Z194" s="23">
        <f t="shared" si="15"/>
        <v>0</v>
      </c>
      <c r="AA194" s="23">
        <f t="shared" si="15"/>
        <v>0.15112894177538644</v>
      </c>
      <c r="AB194" s="23">
        <f t="shared" si="15"/>
        <v>1</v>
      </c>
      <c r="AC194" s="23">
        <f t="shared" si="15"/>
        <v>0.25302481148874673</v>
      </c>
      <c r="AD194" s="23">
        <f t="shared" si="15"/>
        <v>0.13001345642920195</v>
      </c>
      <c r="AE194" s="23">
        <f t="shared" si="15"/>
        <v>0.94585899874557822</v>
      </c>
      <c r="AF194" s="23">
        <f t="shared" si="15"/>
        <v>1.4597970765921686</v>
      </c>
      <c r="AG194" s="23">
        <f t="shared" si="15"/>
        <v>4.6120329644542748</v>
      </c>
      <c r="AH194" s="23">
        <f t="shared" si="15"/>
        <v>0</v>
      </c>
      <c r="AI194" s="23">
        <f t="shared" si="15"/>
        <v>0.83855635557449415</v>
      </c>
      <c r="AJ194" s="23">
        <f t="shared" si="15"/>
        <v>0.39010076486385148</v>
      </c>
      <c r="AK194" s="23">
        <f t="shared" si="15"/>
        <v>0.10578805554357375</v>
      </c>
      <c r="AL194" s="23">
        <f t="shared" si="15"/>
        <v>0.20260757902199855</v>
      </c>
      <c r="AM194" s="23">
        <f t="shared" si="15"/>
        <v>0</v>
      </c>
      <c r="AN194" s="23">
        <f t="shared" si="15"/>
        <v>2.8983921265466184</v>
      </c>
      <c r="AO194" s="23">
        <f t="shared" si="15"/>
        <v>0.72659266049171023</v>
      </c>
      <c r="AP194" s="23">
        <f t="shared" si="15"/>
        <v>0.22564707598840619</v>
      </c>
      <c r="AQ194" s="23">
        <f t="shared" si="15"/>
        <v>0.12021952336337552</v>
      </c>
      <c r="AR194" s="23">
        <f t="shared" si="15"/>
        <v>1.2465339222043326</v>
      </c>
      <c r="AS194" s="23">
        <f t="shared" si="15"/>
        <v>1.393519546632926</v>
      </c>
      <c r="AT194" s="23">
        <f t="shared" si="15"/>
        <v>0.14195366185797814</v>
      </c>
      <c r="AU194" s="23">
        <f t="shared" si="15"/>
        <v>0.15609256169408312</v>
      </c>
      <c r="AV194" s="23">
        <f t="shared" si="15"/>
        <v>0.59416111726669463</v>
      </c>
      <c r="AW194" s="23">
        <f t="shared" si="15"/>
        <v>0.15404867834882294</v>
      </c>
      <c r="AX194" s="23">
        <f t="shared" si="15"/>
        <v>0.13723955463323842</v>
      </c>
      <c r="AY194" s="23">
        <f t="shared" si="15"/>
        <v>0</v>
      </c>
      <c r="AZ194" s="23">
        <f t="shared" si="15"/>
        <v>0.13489043820804958</v>
      </c>
      <c r="BA194" s="23">
        <f t="shared" si="15"/>
        <v>0.73463039866664603</v>
      </c>
      <c r="BB194" s="23">
        <f t="shared" si="15"/>
        <v>0.12976525718648943</v>
      </c>
      <c r="BC194" s="23">
        <f t="shared" si="15"/>
        <v>0.39010076486385148</v>
      </c>
      <c r="BD194" s="23">
        <f t="shared" si="15"/>
        <v>0.20464853852097392</v>
      </c>
      <c r="BE194" s="23">
        <f t="shared" si="15"/>
        <v>0.51751258168476633</v>
      </c>
      <c r="BF194" s="23">
        <f t="shared" si="15"/>
        <v>0.25574478769187337</v>
      </c>
      <c r="BG194" s="23">
        <f t="shared" si="15"/>
        <v>0.3825209194506749</v>
      </c>
      <c r="BH194" s="23">
        <f t="shared" si="15"/>
        <v>0.11564074745468787</v>
      </c>
      <c r="BI194" s="23">
        <f t="shared" si="15"/>
        <v>2.4892430858002865</v>
      </c>
      <c r="BJ194" s="23">
        <f t="shared" si="15"/>
        <v>0.57411857964216473</v>
      </c>
      <c r="BK194" s="23">
        <f t="shared" si="15"/>
        <v>0.77193671237668549</v>
      </c>
      <c r="BL194" s="23">
        <f t="shared" si="15"/>
        <v>0</v>
      </c>
      <c r="BM194" s="23">
        <f t="shared" si="15"/>
        <v>0</v>
      </c>
      <c r="BN194" s="23">
        <f t="shared" si="15"/>
        <v>1.2465339222043326</v>
      </c>
      <c r="BO194" s="23">
        <f t="shared" si="14"/>
        <v>0.13062348352765679</v>
      </c>
      <c r="BP194" s="23">
        <f t="shared" si="14"/>
        <v>4.4205006373462838</v>
      </c>
      <c r="BQ194" s="23">
        <f t="shared" si="14"/>
        <v>0</v>
      </c>
      <c r="BR194" s="23">
        <f t="shared" si="14"/>
        <v>0.18665958518412357</v>
      </c>
      <c r="BS194" s="23">
        <f t="shared" si="14"/>
        <v>0.17270147733189167</v>
      </c>
      <c r="BT194" s="23">
        <f t="shared" si="14"/>
        <v>0.72659266049171023</v>
      </c>
      <c r="BU194" s="23">
        <f t="shared" si="14"/>
        <v>0.15037454533966113</v>
      </c>
      <c r="BV194" s="23">
        <f t="shared" si="14"/>
        <v>0.70375537789908083</v>
      </c>
      <c r="BW194" s="23">
        <f t="shared" si="14"/>
        <v>1.1267238509278987</v>
      </c>
      <c r="BX194" s="23">
        <f t="shared" si="14"/>
        <v>0.30166259248490535</v>
      </c>
      <c r="BY194" s="23">
        <f t="shared" si="14"/>
        <v>0</v>
      </c>
      <c r="BZ194" s="23">
        <f t="shared" si="14"/>
        <v>0</v>
      </c>
      <c r="CA194" s="23">
        <f t="shared" si="14"/>
        <v>0.15456859490439209</v>
      </c>
    </row>
    <row r="195" spans="1:79" ht="15.75" customHeight="1" x14ac:dyDescent="0.2">
      <c r="A195" s="30" t="s">
        <v>76</v>
      </c>
      <c r="B195" s="23">
        <f t="shared" si="2"/>
        <v>0.30658838542914318</v>
      </c>
      <c r="C195" s="23">
        <f t="shared" si="15"/>
        <v>0.6328238545801893</v>
      </c>
      <c r="D195" s="23">
        <f t="shared" si="15"/>
        <v>0.11171571901604463</v>
      </c>
      <c r="E195" s="23">
        <f t="shared" si="15"/>
        <v>0.11171571901604463</v>
      </c>
      <c r="F195" s="23">
        <f t="shared" si="15"/>
        <v>0.56238020833701519</v>
      </c>
      <c r="G195" s="23">
        <f t="shared" si="15"/>
        <v>0.11470204558473641</v>
      </c>
      <c r="H195" s="23">
        <f t="shared" si="15"/>
        <v>0.36666700288610604</v>
      </c>
      <c r="I195" s="23">
        <f t="shared" si="15"/>
        <v>0.187571234491685</v>
      </c>
      <c r="J195" s="23">
        <f t="shared" si="15"/>
        <v>0.10357239841377372</v>
      </c>
      <c r="K195" s="23">
        <f t="shared" si="15"/>
        <v>0.26624073491805728</v>
      </c>
      <c r="L195" s="23">
        <f t="shared" si="15"/>
        <v>0.22530816831341846</v>
      </c>
      <c r="M195" s="23">
        <f t="shared" si="15"/>
        <v>0</v>
      </c>
      <c r="N195" s="23">
        <f t="shared" si="15"/>
        <v>0.2364526636767296</v>
      </c>
      <c r="O195" s="23">
        <f t="shared" si="15"/>
        <v>0.22928877601687048</v>
      </c>
      <c r="P195" s="23">
        <f t="shared" si="15"/>
        <v>0.12968086074933008</v>
      </c>
      <c r="Q195" s="23">
        <f t="shared" si="15"/>
        <v>0</v>
      </c>
      <c r="R195" s="23">
        <f t="shared" si="15"/>
        <v>0.21829783677975381</v>
      </c>
      <c r="S195" s="23">
        <f t="shared" si="15"/>
        <v>0</v>
      </c>
      <c r="T195" s="23">
        <f t="shared" si="15"/>
        <v>0.20547051943079453</v>
      </c>
      <c r="U195" s="23">
        <f t="shared" si="15"/>
        <v>0</v>
      </c>
      <c r="V195" s="23">
        <f t="shared" si="15"/>
        <v>0.11171571901604463</v>
      </c>
      <c r="W195" s="23">
        <f t="shared" si="15"/>
        <v>0.17809379292361718</v>
      </c>
      <c r="X195" s="23">
        <f t="shared" si="15"/>
        <v>0.2364526636767296</v>
      </c>
      <c r="Y195" s="23">
        <f t="shared" si="15"/>
        <v>0.15485347863863413</v>
      </c>
      <c r="Z195" s="23">
        <f t="shared" si="15"/>
        <v>0</v>
      </c>
      <c r="AA195" s="23">
        <f t="shared" si="15"/>
        <v>0.1015027446799836</v>
      </c>
      <c r="AB195" s="23">
        <f t="shared" si="15"/>
        <v>0.25302481148874673</v>
      </c>
      <c r="AC195" s="23">
        <f t="shared" si="15"/>
        <v>1</v>
      </c>
      <c r="AD195" s="23">
        <f t="shared" si="15"/>
        <v>0.14422338821277722</v>
      </c>
      <c r="AE195" s="23">
        <f t="shared" si="15"/>
        <v>0.20452214249236333</v>
      </c>
      <c r="AF195" s="23">
        <f t="shared" si="15"/>
        <v>0.23101647470943451</v>
      </c>
      <c r="AG195" s="23">
        <f t="shared" si="15"/>
        <v>0.24062186392371543</v>
      </c>
      <c r="AH195" s="23">
        <f t="shared" si="15"/>
        <v>0</v>
      </c>
      <c r="AI195" s="23">
        <f t="shared" si="15"/>
        <v>0.36218753133199649</v>
      </c>
      <c r="AJ195" s="23">
        <f t="shared" si="15"/>
        <v>0.56238020833701519</v>
      </c>
      <c r="AK195" s="23">
        <f t="shared" si="15"/>
        <v>7.8330256676364535E-2</v>
      </c>
      <c r="AL195" s="23">
        <f t="shared" si="15"/>
        <v>0.2431504963697278</v>
      </c>
      <c r="AM195" s="23">
        <f t="shared" si="15"/>
        <v>0</v>
      </c>
      <c r="AN195" s="23">
        <f t="shared" si="15"/>
        <v>0.27602411759117579</v>
      </c>
      <c r="AO195" s="23">
        <f t="shared" si="15"/>
        <v>0.2364526636767296</v>
      </c>
      <c r="AP195" s="23">
        <f t="shared" si="15"/>
        <v>0.28186450928910867</v>
      </c>
      <c r="AQ195" s="23">
        <f t="shared" si="15"/>
        <v>0.16646616064774439</v>
      </c>
      <c r="AR195" s="23">
        <f t="shared" si="15"/>
        <v>0.21829783677975381</v>
      </c>
      <c r="AS195" s="23">
        <f t="shared" si="15"/>
        <v>0.28814747653628903</v>
      </c>
      <c r="AT195" s="23">
        <f t="shared" si="15"/>
        <v>0.12386210337857362</v>
      </c>
      <c r="AU195" s="23">
        <f t="shared" si="15"/>
        <v>0.13930404327620882</v>
      </c>
      <c r="AV195" s="23">
        <f t="shared" si="15"/>
        <v>0.42924839748116389</v>
      </c>
      <c r="AW195" s="23">
        <f t="shared" si="15"/>
        <v>0.18539206490335733</v>
      </c>
      <c r="AX195" s="23">
        <f t="shared" si="15"/>
        <v>0.11506855746022907</v>
      </c>
      <c r="AY195" s="23">
        <f t="shared" si="15"/>
        <v>0</v>
      </c>
      <c r="AZ195" s="23">
        <f t="shared" si="15"/>
        <v>0.18440191326502259</v>
      </c>
      <c r="BA195" s="23">
        <f t="shared" si="15"/>
        <v>0.36402643198482915</v>
      </c>
      <c r="BB195" s="23">
        <f t="shared" si="15"/>
        <v>8.9279755333788166E-2</v>
      </c>
      <c r="BC195" s="23">
        <f t="shared" si="15"/>
        <v>0.56238020833701519</v>
      </c>
      <c r="BD195" s="23">
        <f t="shared" si="15"/>
        <v>0.16849950861380733</v>
      </c>
      <c r="BE195" s="23">
        <f t="shared" si="15"/>
        <v>0.23802551934215063</v>
      </c>
      <c r="BF195" s="23">
        <f t="shared" si="15"/>
        <v>0.28927687182811934</v>
      </c>
      <c r="BG195" s="23">
        <f t="shared" si="15"/>
        <v>0.39839420848830503</v>
      </c>
      <c r="BH195" s="23">
        <f t="shared" si="15"/>
        <v>9.9031827881787923E-2</v>
      </c>
      <c r="BI195" s="23">
        <f t="shared" si="15"/>
        <v>0.25411595394967856</v>
      </c>
      <c r="BJ195" s="23">
        <f t="shared" si="15"/>
        <v>0.22243009831445487</v>
      </c>
      <c r="BK195" s="23">
        <f t="shared" si="15"/>
        <v>0.24774218992848354</v>
      </c>
      <c r="BL195" s="23">
        <f t="shared" si="15"/>
        <v>0</v>
      </c>
      <c r="BM195" s="23">
        <f t="shared" si="15"/>
        <v>0</v>
      </c>
      <c r="BN195" s="23">
        <f t="shared" si="15"/>
        <v>0.21829783677975381</v>
      </c>
      <c r="BO195" s="23">
        <f t="shared" si="14"/>
        <v>0.17755938857554895</v>
      </c>
      <c r="BP195" s="23">
        <f t="shared" si="14"/>
        <v>0.26819345792594618</v>
      </c>
      <c r="BQ195" s="23">
        <f t="shared" si="14"/>
        <v>0</v>
      </c>
      <c r="BR195" s="23">
        <f t="shared" si="14"/>
        <v>0.11171571901604463</v>
      </c>
      <c r="BS195" s="23">
        <f t="shared" si="14"/>
        <v>0.15485347863863413</v>
      </c>
      <c r="BT195" s="23">
        <f t="shared" si="14"/>
        <v>0.2364526636767296</v>
      </c>
      <c r="BU195" s="23">
        <f t="shared" si="14"/>
        <v>0.19116352985509402</v>
      </c>
      <c r="BV195" s="23">
        <f t="shared" si="14"/>
        <v>0.36941076107989534</v>
      </c>
      <c r="BW195" s="23">
        <f t="shared" si="14"/>
        <v>0.27577344770147738</v>
      </c>
      <c r="BX195" s="23">
        <f t="shared" si="14"/>
        <v>0.27577317570928056</v>
      </c>
      <c r="BY195" s="23">
        <f t="shared" si="14"/>
        <v>0</v>
      </c>
      <c r="BZ195" s="23">
        <f t="shared" si="14"/>
        <v>0</v>
      </c>
      <c r="CA195" s="23">
        <f t="shared" si="14"/>
        <v>0.17685303854140375</v>
      </c>
    </row>
    <row r="196" spans="1:79" ht="15.75" customHeight="1" x14ac:dyDescent="0.2">
      <c r="A196" s="30" t="s">
        <v>78</v>
      </c>
      <c r="B196" s="23">
        <f t="shared" si="2"/>
        <v>0.22919035670211918</v>
      </c>
      <c r="C196" s="23">
        <f t="shared" si="15"/>
        <v>0.13034708681947538</v>
      </c>
      <c r="D196" s="23">
        <f t="shared" si="15"/>
        <v>9.3448100502909082E-2</v>
      </c>
      <c r="E196" s="23">
        <f t="shared" si="15"/>
        <v>9.3448100502909082E-2</v>
      </c>
      <c r="F196" s="23">
        <f t="shared" si="15"/>
        <v>0.15865120807389224</v>
      </c>
      <c r="G196" s="23">
        <f t="shared" si="15"/>
        <v>7.2377659634093455E-2</v>
      </c>
      <c r="H196" s="23">
        <f t="shared" si="15"/>
        <v>0.16449796859419494</v>
      </c>
      <c r="I196" s="23">
        <f t="shared" si="15"/>
        <v>0.432598360593762</v>
      </c>
      <c r="J196" s="23">
        <f t="shared" si="15"/>
        <v>0.20469381034675846</v>
      </c>
      <c r="K196" s="23">
        <f t="shared" si="15"/>
        <v>0.13076104409456452</v>
      </c>
      <c r="L196" s="23">
        <f t="shared" si="15"/>
        <v>0.38335763834878889</v>
      </c>
      <c r="M196" s="23">
        <f t="shared" si="15"/>
        <v>0</v>
      </c>
      <c r="N196" s="23">
        <f t="shared" si="15"/>
        <v>0.11046828049985975</v>
      </c>
      <c r="O196" s="23">
        <f t="shared" si="15"/>
        <v>0.12253658553368132</v>
      </c>
      <c r="P196" s="23">
        <f t="shared" si="15"/>
        <v>6.8420654748203427E-2</v>
      </c>
      <c r="Q196" s="23">
        <f t="shared" si="15"/>
        <v>0</v>
      </c>
      <c r="R196" s="23">
        <f t="shared" si="15"/>
        <v>0.11994149670471894</v>
      </c>
      <c r="S196" s="23">
        <f t="shared" si="15"/>
        <v>0</v>
      </c>
      <c r="T196" s="23">
        <f t="shared" si="15"/>
        <v>0.47713883528121559</v>
      </c>
      <c r="U196" s="23">
        <f t="shared" si="15"/>
        <v>0</v>
      </c>
      <c r="V196" s="23">
        <f t="shared" si="15"/>
        <v>9.3448100502909082E-2</v>
      </c>
      <c r="W196" s="23">
        <f t="shared" si="15"/>
        <v>0.72681539063064082</v>
      </c>
      <c r="X196" s="23">
        <f t="shared" si="15"/>
        <v>0.11046828049985975</v>
      </c>
      <c r="Y196" s="23">
        <f t="shared" si="15"/>
        <v>0.45185279230788689</v>
      </c>
      <c r="Z196" s="23">
        <f t="shared" si="15"/>
        <v>0</v>
      </c>
      <c r="AA196" s="23">
        <f t="shared" si="15"/>
        <v>8.5211780505900045E-2</v>
      </c>
      <c r="AB196" s="23">
        <f t="shared" si="15"/>
        <v>0.13001345642920195</v>
      </c>
      <c r="AC196" s="23">
        <f t="shared" si="15"/>
        <v>0.14422338821277722</v>
      </c>
      <c r="AD196" s="23">
        <f t="shared" si="15"/>
        <v>1</v>
      </c>
      <c r="AE196" s="23">
        <f t="shared" si="15"/>
        <v>0.13550106137437015</v>
      </c>
      <c r="AF196" s="23">
        <f t="shared" si="15"/>
        <v>0.1198397390229516</v>
      </c>
      <c r="AG196" s="23">
        <f t="shared" si="15"/>
        <v>0.13050803215315276</v>
      </c>
      <c r="AH196" s="23">
        <f t="shared" si="15"/>
        <v>0</v>
      </c>
      <c r="AI196" s="23">
        <f t="shared" si="15"/>
        <v>0.13365650827940295</v>
      </c>
      <c r="AJ196" s="23">
        <f t="shared" si="15"/>
        <v>0.15865120807389224</v>
      </c>
      <c r="AK196" s="23">
        <f t="shared" si="15"/>
        <v>0.14646009435600235</v>
      </c>
      <c r="AL196" s="23">
        <f t="shared" si="15"/>
        <v>0.32545054806276386</v>
      </c>
      <c r="AM196" s="23">
        <f t="shared" si="15"/>
        <v>0</v>
      </c>
      <c r="AN196" s="23">
        <f t="shared" si="15"/>
        <v>0.13293980480705431</v>
      </c>
      <c r="AO196" s="23">
        <f t="shared" si="15"/>
        <v>0.11046828049985975</v>
      </c>
      <c r="AP196" s="23">
        <f t="shared" si="15"/>
        <v>0.27080422327616421</v>
      </c>
      <c r="AQ196" s="23">
        <f t="shared" si="15"/>
        <v>0.46153731240731916</v>
      </c>
      <c r="AR196" s="23">
        <f t="shared" si="15"/>
        <v>0.11994149670471894</v>
      </c>
      <c r="AS196" s="23">
        <f t="shared" si="15"/>
        <v>0.12389942488385738</v>
      </c>
      <c r="AT196" s="23">
        <f t="shared" si="15"/>
        <v>0.42981136195353387</v>
      </c>
      <c r="AU196" s="23">
        <f t="shared" si="15"/>
        <v>0.4910711904458554</v>
      </c>
      <c r="AV196" s="23">
        <f t="shared" si="15"/>
        <v>0.14293884509613111</v>
      </c>
      <c r="AW196" s="23">
        <f t="shared" si="15"/>
        <v>0.64498521041176626</v>
      </c>
      <c r="AX196" s="23">
        <f t="shared" si="15"/>
        <v>6.8276581156975852E-2</v>
      </c>
      <c r="AY196" s="23">
        <f t="shared" si="15"/>
        <v>0</v>
      </c>
      <c r="AZ196" s="23">
        <f t="shared" si="15"/>
        <v>0.52138916127301194</v>
      </c>
      <c r="BA196" s="23">
        <f t="shared" si="15"/>
        <v>0.12582060289257443</v>
      </c>
      <c r="BB196" s="23">
        <f t="shared" si="15"/>
        <v>9.0541445414273683E-2</v>
      </c>
      <c r="BC196" s="23">
        <f t="shared" si="15"/>
        <v>0.15865120807389224</v>
      </c>
      <c r="BD196" s="23">
        <f t="shared" si="15"/>
        <v>0.32804869985346558</v>
      </c>
      <c r="BE196" s="23">
        <f t="shared" si="15"/>
        <v>0.10475524819828257</v>
      </c>
      <c r="BF196" s="23">
        <f t="shared" si="15"/>
        <v>0.24519901876839481</v>
      </c>
      <c r="BG196" s="23">
        <f t="shared" si="15"/>
        <v>0.17795252071274834</v>
      </c>
      <c r="BH196" s="23">
        <f t="shared" si="15"/>
        <v>7.1346433317230118E-2</v>
      </c>
      <c r="BI196" s="23">
        <f t="shared" si="15"/>
        <v>0.13710461481814892</v>
      </c>
      <c r="BJ196" s="23">
        <f t="shared" si="15"/>
        <v>0.10604241807221748</v>
      </c>
      <c r="BK196" s="23">
        <f t="shared" si="15"/>
        <v>0.15593416622169123</v>
      </c>
      <c r="BL196" s="23">
        <f t="shared" si="15"/>
        <v>0</v>
      </c>
      <c r="BM196" s="23">
        <f t="shared" si="15"/>
        <v>0</v>
      </c>
      <c r="BN196" s="23">
        <f t="shared" si="15"/>
        <v>0.11994149670471894</v>
      </c>
      <c r="BO196" s="23">
        <f t="shared" si="14"/>
        <v>0.53779450659253414</v>
      </c>
      <c r="BP196" s="23">
        <f t="shared" si="14"/>
        <v>0.13141742043575214</v>
      </c>
      <c r="BQ196" s="23">
        <f t="shared" si="14"/>
        <v>0</v>
      </c>
      <c r="BR196" s="23">
        <f t="shared" si="14"/>
        <v>9.3448100502909082E-2</v>
      </c>
      <c r="BS196" s="23">
        <f t="shared" si="14"/>
        <v>0.45185279230788689</v>
      </c>
      <c r="BT196" s="23">
        <f t="shared" si="14"/>
        <v>0.11046828049985975</v>
      </c>
      <c r="BU196" s="23">
        <f t="shared" si="14"/>
        <v>0.5828018072563439</v>
      </c>
      <c r="BV196" s="23">
        <f t="shared" si="14"/>
        <v>0.14604960268498934</v>
      </c>
      <c r="BW196" s="23">
        <f t="shared" si="14"/>
        <v>0.14642019527959926</v>
      </c>
      <c r="BX196" s="23">
        <f t="shared" si="14"/>
        <v>0.22293483194887831</v>
      </c>
      <c r="BY196" s="23">
        <f t="shared" si="14"/>
        <v>0</v>
      </c>
      <c r="BZ196" s="23">
        <f t="shared" si="14"/>
        <v>0</v>
      </c>
      <c r="CA196" s="23">
        <f t="shared" si="14"/>
        <v>0.73439580767764145</v>
      </c>
    </row>
    <row r="197" spans="1:79" ht="15.75" customHeight="1" x14ac:dyDescent="0.2">
      <c r="A197" s="30" t="s">
        <v>79</v>
      </c>
      <c r="B197" s="23">
        <f t="shared" si="2"/>
        <v>0.25934678202334699</v>
      </c>
      <c r="C197" s="23">
        <f t="shared" si="15"/>
        <v>0.15838298299018053</v>
      </c>
      <c r="D197" s="23">
        <f t="shared" si="15"/>
        <v>0.20692520021600544</v>
      </c>
      <c r="E197" s="23">
        <f t="shared" si="15"/>
        <v>0.20692520021600544</v>
      </c>
      <c r="F197" s="23">
        <f t="shared" si="15"/>
        <v>0.30158838486755069</v>
      </c>
      <c r="G197" s="23">
        <f t="shared" si="15"/>
        <v>0.10328357721696307</v>
      </c>
      <c r="H197" s="23">
        <f t="shared" si="15"/>
        <v>0.39504082827999465</v>
      </c>
      <c r="I197" s="23">
        <f t="shared" si="15"/>
        <v>0.19453178403587379</v>
      </c>
      <c r="J197" s="23">
        <f t="shared" si="15"/>
        <v>8.1540850960537412E-2</v>
      </c>
      <c r="K197" s="23">
        <f t="shared" si="15"/>
        <v>0.81267250183758144</v>
      </c>
      <c r="L197" s="23">
        <f t="shared" si="15"/>
        <v>0.18194460024572995</v>
      </c>
      <c r="M197" s="23">
        <f t="shared" si="15"/>
        <v>0</v>
      </c>
      <c r="N197" s="23">
        <f t="shared" si="15"/>
        <v>0.48466447224926307</v>
      </c>
      <c r="O197" s="23">
        <f t="shared" si="15"/>
        <v>0.94711299342394129</v>
      </c>
      <c r="P197" s="23">
        <f t="shared" si="15"/>
        <v>0.12713971352588341</v>
      </c>
      <c r="Q197" s="23">
        <f t="shared" si="15"/>
        <v>0</v>
      </c>
      <c r="R197" s="23">
        <f t="shared" si="15"/>
        <v>0.91220952832256874</v>
      </c>
      <c r="S197" s="23">
        <f t="shared" si="15"/>
        <v>0</v>
      </c>
      <c r="T197" s="23">
        <f t="shared" si="15"/>
        <v>0.16606298325571356</v>
      </c>
      <c r="U197" s="23">
        <f t="shared" si="15"/>
        <v>0</v>
      </c>
      <c r="V197" s="23">
        <f t="shared" si="15"/>
        <v>0.20692520021600544</v>
      </c>
      <c r="W197" s="23">
        <f t="shared" si="15"/>
        <v>0.14299743353885899</v>
      </c>
      <c r="X197" s="23">
        <f t="shared" si="15"/>
        <v>0.48466447224926307</v>
      </c>
      <c r="Y197" s="23">
        <f t="shared" si="15"/>
        <v>0.18910140827478458</v>
      </c>
      <c r="Z197" s="23">
        <f t="shared" si="15"/>
        <v>0</v>
      </c>
      <c r="AA197" s="23">
        <f t="shared" si="15"/>
        <v>0.16129514606101381</v>
      </c>
      <c r="AB197" s="23">
        <f t="shared" si="15"/>
        <v>0.94585899874557822</v>
      </c>
      <c r="AC197" s="23">
        <f t="shared" si="15"/>
        <v>0.20452214249236333</v>
      </c>
      <c r="AD197" s="23">
        <f t="shared" si="15"/>
        <v>0.13550106137437015</v>
      </c>
      <c r="AE197" s="23">
        <f t="shared" si="15"/>
        <v>1</v>
      </c>
      <c r="AF197" s="23">
        <f t="shared" si="15"/>
        <v>0.79693820504112856</v>
      </c>
      <c r="AG197" s="23">
        <f t="shared" si="15"/>
        <v>1.1845247543348936</v>
      </c>
      <c r="AH197" s="23">
        <f t="shared" si="15"/>
        <v>0</v>
      </c>
      <c r="AI197" s="23">
        <f t="shared" si="15"/>
        <v>0.4579684547821653</v>
      </c>
      <c r="AJ197" s="23">
        <f t="shared" si="15"/>
        <v>0.30158838486755069</v>
      </c>
      <c r="AK197" s="23">
        <f t="shared" si="15"/>
        <v>0.1190468596171535</v>
      </c>
      <c r="AL197" s="23">
        <f t="shared" si="15"/>
        <v>0.20013504645650237</v>
      </c>
      <c r="AM197" s="23">
        <f t="shared" si="15"/>
        <v>0</v>
      </c>
      <c r="AN197" s="23">
        <f t="shared" si="15"/>
        <v>0.75912337811874186</v>
      </c>
      <c r="AO197" s="23">
        <f t="shared" si="15"/>
        <v>0.48466447224926307</v>
      </c>
      <c r="AP197" s="23">
        <f t="shared" si="15"/>
        <v>0.21723744757360888</v>
      </c>
      <c r="AQ197" s="23">
        <f t="shared" si="15"/>
        <v>0.11864799087058921</v>
      </c>
      <c r="AR197" s="23">
        <f t="shared" si="15"/>
        <v>0.91220952832256874</v>
      </c>
      <c r="AS197" s="23">
        <f t="shared" si="15"/>
        <v>0.5679142338974571</v>
      </c>
      <c r="AT197" s="23">
        <f t="shared" si="15"/>
        <v>0.15795177122310261</v>
      </c>
      <c r="AU197" s="23">
        <f t="shared" si="15"/>
        <v>0.17207170030540853</v>
      </c>
      <c r="AV197" s="23">
        <f t="shared" si="15"/>
        <v>0.39040048753934653</v>
      </c>
      <c r="AW197" s="23">
        <f t="shared" si="15"/>
        <v>0.15590500379583877</v>
      </c>
      <c r="AX197" s="23">
        <f t="shared" si="15"/>
        <v>0.13393468132880723</v>
      </c>
      <c r="AY197" s="23">
        <f t="shared" si="15"/>
        <v>0</v>
      </c>
      <c r="AZ197" s="23">
        <f t="shared" si="15"/>
        <v>0.13321815239875279</v>
      </c>
      <c r="BA197" s="23">
        <f t="shared" si="15"/>
        <v>0.41415236503713293</v>
      </c>
      <c r="BB197" s="23">
        <f t="shared" si="15"/>
        <v>0.14068614847883665</v>
      </c>
      <c r="BC197" s="23">
        <f t="shared" si="15"/>
        <v>0.30158838486755069</v>
      </c>
      <c r="BD197" s="23">
        <f t="shared" si="15"/>
        <v>0.22800356021236845</v>
      </c>
      <c r="BE197" s="23">
        <f t="shared" si="15"/>
        <v>0.37648440517977927</v>
      </c>
      <c r="BF197" s="23">
        <f t="shared" si="15"/>
        <v>0.24585893076152165</v>
      </c>
      <c r="BG197" s="23">
        <f t="shared" si="15"/>
        <v>0.32225192802276581</v>
      </c>
      <c r="BH197" s="23">
        <f t="shared" si="15"/>
        <v>0.11538777852952412</v>
      </c>
      <c r="BI197" s="23">
        <f t="shared" si="15"/>
        <v>1.0462999725099638</v>
      </c>
      <c r="BJ197" s="23">
        <f t="shared" si="15"/>
        <v>0.42978130161413142</v>
      </c>
      <c r="BK197" s="23">
        <f t="shared" si="15"/>
        <v>0.80230966219324906</v>
      </c>
      <c r="BL197" s="23">
        <f t="shared" si="15"/>
        <v>0</v>
      </c>
      <c r="BM197" s="23">
        <f t="shared" si="15"/>
        <v>0</v>
      </c>
      <c r="BN197" s="23">
        <f t="shared" ref="BN197:CA200" si="16">IF(BN113&gt;=0, IF(BN113 = 0,  1, 1/BN113*$B$165), 0)</f>
        <v>0.91220952832256874</v>
      </c>
      <c r="BO197" s="23">
        <f t="shared" si="16"/>
        <v>0.12928841162886198</v>
      </c>
      <c r="BP197" s="23">
        <f t="shared" si="16"/>
        <v>0.80529162885369721</v>
      </c>
      <c r="BQ197" s="23">
        <f t="shared" si="16"/>
        <v>0</v>
      </c>
      <c r="BR197" s="23">
        <f t="shared" si="16"/>
        <v>0.20692520021600544</v>
      </c>
      <c r="BS197" s="23">
        <f t="shared" si="16"/>
        <v>0.18910140827478458</v>
      </c>
      <c r="BT197" s="23">
        <f t="shared" si="16"/>
        <v>0.48466447224926307</v>
      </c>
      <c r="BU197" s="23">
        <f t="shared" si="16"/>
        <v>0.15037362779263752</v>
      </c>
      <c r="BV197" s="23">
        <f t="shared" si="16"/>
        <v>0.45318744552711254</v>
      </c>
      <c r="BW197" s="23">
        <f t="shared" si="16"/>
        <v>0.75066998529312368</v>
      </c>
      <c r="BX197" s="23">
        <f t="shared" si="16"/>
        <v>0.29531876970189752</v>
      </c>
      <c r="BY197" s="23">
        <f t="shared" si="16"/>
        <v>0</v>
      </c>
      <c r="BZ197" s="23">
        <f t="shared" si="16"/>
        <v>0</v>
      </c>
      <c r="CA197" s="23">
        <f t="shared" si="16"/>
        <v>0.15844155107289287</v>
      </c>
    </row>
    <row r="198" spans="1:79" ht="15.75" customHeight="1" x14ac:dyDescent="0.2">
      <c r="A198" s="30" t="s">
        <v>80</v>
      </c>
      <c r="B198" s="23">
        <f t="shared" si="2"/>
        <v>0.23069283376699581</v>
      </c>
      <c r="C198" s="23">
        <f t="shared" ref="C198:BN201" si="17">IF(C114&gt;=0, IF(C114 = 0,  1, 1/C114*$B$165), 0)</f>
        <v>0.18041956751367552</v>
      </c>
      <c r="D198" s="23">
        <f t="shared" si="17"/>
        <v>0.20882458998772274</v>
      </c>
      <c r="E198" s="23">
        <f t="shared" si="17"/>
        <v>0.20882458998772274</v>
      </c>
      <c r="F198" s="23">
        <f t="shared" si="17"/>
        <v>0.31971630754042518</v>
      </c>
      <c r="G198" s="23">
        <f t="shared" si="17"/>
        <v>0.1165193781026798</v>
      </c>
      <c r="H198" s="23">
        <f t="shared" si="17"/>
        <v>0.37531532693963288</v>
      </c>
      <c r="I198" s="23">
        <f t="shared" si="17"/>
        <v>0.16558104515054645</v>
      </c>
      <c r="J198" s="23">
        <f t="shared" si="17"/>
        <v>7.6095758567627653E-2</v>
      </c>
      <c r="K198" s="23">
        <f t="shared" si="17"/>
        <v>1.2459714818278258</v>
      </c>
      <c r="L198" s="23">
        <f t="shared" si="17"/>
        <v>0.16275415535807988</v>
      </c>
      <c r="M198" s="23">
        <f t="shared" si="17"/>
        <v>0</v>
      </c>
      <c r="N198" s="23">
        <f t="shared" si="17"/>
        <v>1.224226452250762</v>
      </c>
      <c r="O198" s="23">
        <f t="shared" si="17"/>
        <v>4.8661810084456993</v>
      </c>
      <c r="P198" s="23">
        <f t="shared" si="17"/>
        <v>0.14756160499830176</v>
      </c>
      <c r="Q198" s="23">
        <f t="shared" si="17"/>
        <v>0</v>
      </c>
      <c r="R198" s="23">
        <f t="shared" si="17"/>
        <v>3.7380849493138268</v>
      </c>
      <c r="S198" s="23">
        <f t="shared" si="17"/>
        <v>0</v>
      </c>
      <c r="T198" s="23">
        <f t="shared" si="17"/>
        <v>0.14908932856138443</v>
      </c>
      <c r="U198" s="23">
        <f t="shared" si="17"/>
        <v>0</v>
      </c>
      <c r="V198" s="23">
        <f t="shared" si="17"/>
        <v>0.20882458998772274</v>
      </c>
      <c r="W198" s="23">
        <f t="shared" si="17"/>
        <v>0.12952997920699114</v>
      </c>
      <c r="X198" s="23">
        <f t="shared" si="17"/>
        <v>1.224226452250762</v>
      </c>
      <c r="Y198" s="23">
        <f t="shared" si="17"/>
        <v>0.15669743253631088</v>
      </c>
      <c r="Z198" s="23">
        <f t="shared" si="17"/>
        <v>0</v>
      </c>
      <c r="AA198" s="23">
        <f t="shared" si="17"/>
        <v>0.16677640330774016</v>
      </c>
      <c r="AB198" s="23">
        <f t="shared" si="17"/>
        <v>1.4597970765921686</v>
      </c>
      <c r="AC198" s="23">
        <f t="shared" si="17"/>
        <v>0.23101647470943451</v>
      </c>
      <c r="AD198" s="23">
        <f t="shared" si="17"/>
        <v>0.1198397390229516</v>
      </c>
      <c r="AE198" s="23">
        <f t="shared" si="17"/>
        <v>0.79693820504112856</v>
      </c>
      <c r="AF198" s="23">
        <f t="shared" si="17"/>
        <v>1</v>
      </c>
      <c r="AG198" s="23">
        <f t="shared" si="17"/>
        <v>1.4659456807968512</v>
      </c>
      <c r="AH198" s="23">
        <f t="shared" si="17"/>
        <v>0</v>
      </c>
      <c r="AI198" s="23">
        <f t="shared" si="17"/>
        <v>0.61444410153928908</v>
      </c>
      <c r="AJ198" s="23">
        <f t="shared" si="17"/>
        <v>0.31971630754042518</v>
      </c>
      <c r="AK198" s="23">
        <f t="shared" si="17"/>
        <v>0.10672822462263826</v>
      </c>
      <c r="AL198" s="23">
        <f t="shared" si="17"/>
        <v>0.17791665959799036</v>
      </c>
      <c r="AM198" s="23">
        <f t="shared" si="17"/>
        <v>0</v>
      </c>
      <c r="AN198" s="23">
        <f t="shared" si="17"/>
        <v>1.0349149560126527</v>
      </c>
      <c r="AO198" s="23">
        <f t="shared" si="17"/>
        <v>1.224226452250762</v>
      </c>
      <c r="AP198" s="23">
        <f t="shared" si="17"/>
        <v>0.19550641752029718</v>
      </c>
      <c r="AQ198" s="23">
        <f t="shared" si="17"/>
        <v>0.11112776482714902</v>
      </c>
      <c r="AR198" s="23">
        <f t="shared" si="17"/>
        <v>3.7380849493138268</v>
      </c>
      <c r="AS198" s="23">
        <f t="shared" si="17"/>
        <v>1.1651191076155318</v>
      </c>
      <c r="AT198" s="23">
        <f t="shared" si="17"/>
        <v>0.1325628550608052</v>
      </c>
      <c r="AU198" s="23">
        <f t="shared" si="17"/>
        <v>0.14359958868674103</v>
      </c>
      <c r="AV198" s="23">
        <f t="shared" si="17"/>
        <v>0.45402942446773004</v>
      </c>
      <c r="AW198" s="23">
        <f t="shared" si="17"/>
        <v>0.13941623349920415</v>
      </c>
      <c r="AX198" s="23">
        <f t="shared" si="17"/>
        <v>0.15126202381118234</v>
      </c>
      <c r="AY198" s="23">
        <f t="shared" si="17"/>
        <v>0</v>
      </c>
      <c r="AZ198" s="23">
        <f t="shared" si="17"/>
        <v>0.12351154925229239</v>
      </c>
      <c r="BA198" s="23">
        <f t="shared" si="17"/>
        <v>0.62891967090860579</v>
      </c>
      <c r="BB198" s="23">
        <f t="shared" si="17"/>
        <v>0.14000490939757942</v>
      </c>
      <c r="BC198" s="23">
        <f t="shared" si="17"/>
        <v>0.31971630754042518</v>
      </c>
      <c r="BD198" s="23">
        <f t="shared" si="17"/>
        <v>0.18270368805232334</v>
      </c>
      <c r="BE198" s="23">
        <f t="shared" si="17"/>
        <v>0.70907138029483507</v>
      </c>
      <c r="BF198" s="23">
        <f t="shared" si="17"/>
        <v>0.21764526556549624</v>
      </c>
      <c r="BG198" s="23">
        <f t="shared" si="17"/>
        <v>0.30577580886334821</v>
      </c>
      <c r="BH198" s="23">
        <f t="shared" si="17"/>
        <v>0.12558070358620421</v>
      </c>
      <c r="BI198" s="23">
        <f t="shared" si="17"/>
        <v>0.94197983965481502</v>
      </c>
      <c r="BJ198" s="23">
        <f t="shared" si="17"/>
        <v>0.88671472047678523</v>
      </c>
      <c r="BK198" s="23">
        <f t="shared" si="17"/>
        <v>0.51772737537211611</v>
      </c>
      <c r="BL198" s="23">
        <f t="shared" si="17"/>
        <v>0</v>
      </c>
      <c r="BM198" s="23">
        <f t="shared" si="17"/>
        <v>0</v>
      </c>
      <c r="BN198" s="23">
        <f t="shared" si="17"/>
        <v>3.7380849493138268</v>
      </c>
      <c r="BO198" s="23">
        <f t="shared" si="16"/>
        <v>0.11991884763168574</v>
      </c>
      <c r="BP198" s="23">
        <f t="shared" si="16"/>
        <v>1.1827683444441479</v>
      </c>
      <c r="BQ198" s="23">
        <f t="shared" si="16"/>
        <v>0</v>
      </c>
      <c r="BR198" s="23">
        <f t="shared" si="16"/>
        <v>0.20882458998772274</v>
      </c>
      <c r="BS198" s="23">
        <f t="shared" si="16"/>
        <v>0.15669743253631088</v>
      </c>
      <c r="BT198" s="23">
        <f t="shared" si="16"/>
        <v>1.224226452250762</v>
      </c>
      <c r="BU198" s="23">
        <f t="shared" si="16"/>
        <v>0.13633601168347345</v>
      </c>
      <c r="BV198" s="23">
        <f t="shared" si="16"/>
        <v>0.49572703401407381</v>
      </c>
      <c r="BW198" s="23">
        <f t="shared" si="16"/>
        <v>0.63626210409034345</v>
      </c>
      <c r="BX198" s="23">
        <f t="shared" si="16"/>
        <v>0.25009208542412387</v>
      </c>
      <c r="BY198" s="23">
        <f t="shared" si="16"/>
        <v>0</v>
      </c>
      <c r="BZ198" s="23">
        <f t="shared" si="16"/>
        <v>0</v>
      </c>
      <c r="CA198" s="23">
        <f t="shared" si="16"/>
        <v>0.13998786326261034</v>
      </c>
    </row>
    <row r="199" spans="1:79" ht="15.75" customHeight="1" x14ac:dyDescent="0.2">
      <c r="A199" s="30" t="s">
        <v>81</v>
      </c>
      <c r="B199" s="23">
        <f t="shared" si="2"/>
        <v>0.26955747091628368</v>
      </c>
      <c r="C199" s="23">
        <f t="shared" si="17"/>
        <v>0.18119257999815022</v>
      </c>
      <c r="D199" s="23">
        <f t="shared" si="17"/>
        <v>0.19184698763037078</v>
      </c>
      <c r="E199" s="23">
        <f t="shared" si="17"/>
        <v>0.19184698763037078</v>
      </c>
      <c r="F199" s="23">
        <f t="shared" si="17"/>
        <v>0.3665456472990673</v>
      </c>
      <c r="G199" s="23">
        <f t="shared" si="17"/>
        <v>0.10810316466748969</v>
      </c>
      <c r="H199" s="23">
        <f t="shared" si="17"/>
        <v>0.47292208845515199</v>
      </c>
      <c r="I199" s="23">
        <f t="shared" si="17"/>
        <v>0.18663812653669851</v>
      </c>
      <c r="J199" s="23">
        <f t="shared" si="17"/>
        <v>8.0140200365447486E-2</v>
      </c>
      <c r="K199" s="23">
        <f t="shared" si="17"/>
        <v>2.4613121683152386</v>
      </c>
      <c r="L199" s="23">
        <f t="shared" si="17"/>
        <v>0.18202273085038323</v>
      </c>
      <c r="M199" s="23">
        <f t="shared" si="17"/>
        <v>0</v>
      </c>
      <c r="N199" s="23">
        <f t="shared" si="17"/>
        <v>0.68891700486784091</v>
      </c>
      <c r="O199" s="23">
        <f t="shared" si="17"/>
        <v>1.9774762979846567</v>
      </c>
      <c r="P199" s="23">
        <f t="shared" si="17"/>
        <v>0.13421724338240282</v>
      </c>
      <c r="Q199" s="23">
        <f t="shared" si="17"/>
        <v>0</v>
      </c>
      <c r="R199" s="23">
        <f t="shared" si="17"/>
        <v>1.3814848283133536</v>
      </c>
      <c r="S199" s="23">
        <f t="shared" si="17"/>
        <v>0</v>
      </c>
      <c r="T199" s="23">
        <f t="shared" si="17"/>
        <v>0.16523002051790972</v>
      </c>
      <c r="U199" s="23">
        <f t="shared" si="17"/>
        <v>0</v>
      </c>
      <c r="V199" s="23">
        <f t="shared" si="17"/>
        <v>0.19184698763037078</v>
      </c>
      <c r="W199" s="23">
        <f t="shared" si="17"/>
        <v>0.14162271392912734</v>
      </c>
      <c r="X199" s="23">
        <f t="shared" si="17"/>
        <v>0.68891700486784091</v>
      </c>
      <c r="Y199" s="23">
        <f t="shared" si="17"/>
        <v>0.17502333416316768</v>
      </c>
      <c r="Z199" s="23">
        <f t="shared" si="17"/>
        <v>0</v>
      </c>
      <c r="AA199" s="23">
        <f t="shared" si="17"/>
        <v>0.15395683737886731</v>
      </c>
      <c r="AB199" s="23">
        <f t="shared" si="17"/>
        <v>4.6120329644542748</v>
      </c>
      <c r="AC199" s="23">
        <f t="shared" si="17"/>
        <v>0.24062186392371543</v>
      </c>
      <c r="AD199" s="23">
        <f t="shared" si="17"/>
        <v>0.13050803215315276</v>
      </c>
      <c r="AE199" s="23">
        <f t="shared" si="17"/>
        <v>1.1845247543348936</v>
      </c>
      <c r="AF199" s="23">
        <f t="shared" si="17"/>
        <v>1.4659456807968512</v>
      </c>
      <c r="AG199" s="23">
        <f t="shared" si="17"/>
        <v>1</v>
      </c>
      <c r="AH199" s="23">
        <f t="shared" si="17"/>
        <v>0</v>
      </c>
      <c r="AI199" s="23">
        <f t="shared" si="17"/>
        <v>0.71416953967093599</v>
      </c>
      <c r="AJ199" s="23">
        <f t="shared" si="17"/>
        <v>0.3665456472990673</v>
      </c>
      <c r="AK199" s="23">
        <f t="shared" si="17"/>
        <v>0.10826478536905516</v>
      </c>
      <c r="AL199" s="23">
        <f t="shared" si="17"/>
        <v>0.20110730373286101</v>
      </c>
      <c r="AM199" s="23">
        <f t="shared" si="17"/>
        <v>0</v>
      </c>
      <c r="AN199" s="23">
        <f t="shared" si="17"/>
        <v>1.8724481341962314</v>
      </c>
      <c r="AO199" s="23">
        <f t="shared" si="17"/>
        <v>0.68891700486784091</v>
      </c>
      <c r="AP199" s="23">
        <f t="shared" si="17"/>
        <v>0.22279791712264152</v>
      </c>
      <c r="AQ199" s="23">
        <f t="shared" si="17"/>
        <v>0.11935300169441865</v>
      </c>
      <c r="AR199" s="23">
        <f t="shared" si="17"/>
        <v>1.3814848283133536</v>
      </c>
      <c r="AS199" s="23">
        <f t="shared" si="17"/>
        <v>1.0873907621129377</v>
      </c>
      <c r="AT199" s="23">
        <f t="shared" si="17"/>
        <v>0.14441143263982253</v>
      </c>
      <c r="AU199" s="23">
        <f t="shared" si="17"/>
        <v>0.15844051640803647</v>
      </c>
      <c r="AV199" s="23">
        <f t="shared" si="17"/>
        <v>0.53504921842559239</v>
      </c>
      <c r="AW199" s="23">
        <f t="shared" si="17"/>
        <v>0.15368278753702888</v>
      </c>
      <c r="AX199" s="23">
        <f t="shared" si="17"/>
        <v>0.13725481799820863</v>
      </c>
      <c r="AY199" s="23">
        <f t="shared" si="17"/>
        <v>0</v>
      </c>
      <c r="AZ199" s="23">
        <f t="shared" si="17"/>
        <v>0.1339207332486633</v>
      </c>
      <c r="BA199" s="23">
        <f t="shared" si="17"/>
        <v>0.6338035654368801</v>
      </c>
      <c r="BB199" s="23">
        <f t="shared" si="17"/>
        <v>0.13236716315127134</v>
      </c>
      <c r="BC199" s="23">
        <f t="shared" si="17"/>
        <v>0.3665456472990673</v>
      </c>
      <c r="BD199" s="23">
        <f t="shared" si="17"/>
        <v>0.20806133940478028</v>
      </c>
      <c r="BE199" s="23">
        <f t="shared" si="17"/>
        <v>0.49291616822038736</v>
      </c>
      <c r="BF199" s="23">
        <f t="shared" si="17"/>
        <v>0.25248967844779097</v>
      </c>
      <c r="BG199" s="23">
        <f t="shared" si="17"/>
        <v>0.36721890277630559</v>
      </c>
      <c r="BH199" s="23">
        <f t="shared" si="17"/>
        <v>0.11603021150799145</v>
      </c>
      <c r="BI199" s="23">
        <f t="shared" si="17"/>
        <v>2.4919383067801131</v>
      </c>
      <c r="BJ199" s="23">
        <f t="shared" si="17"/>
        <v>0.55687630069952032</v>
      </c>
      <c r="BK199" s="23">
        <f t="shared" si="17"/>
        <v>0.80038055177775214</v>
      </c>
      <c r="BL199" s="23">
        <f t="shared" si="17"/>
        <v>0</v>
      </c>
      <c r="BM199" s="23">
        <f t="shared" si="17"/>
        <v>0</v>
      </c>
      <c r="BN199" s="23">
        <f t="shared" si="17"/>
        <v>1.3814848283133536</v>
      </c>
      <c r="BO199" s="23">
        <f t="shared" si="16"/>
        <v>0.12974649472640282</v>
      </c>
      <c r="BP199" s="23">
        <f t="shared" si="16"/>
        <v>2.3317830035105866</v>
      </c>
      <c r="BQ199" s="23">
        <f t="shared" si="16"/>
        <v>0</v>
      </c>
      <c r="BR199" s="23">
        <f t="shared" si="16"/>
        <v>0.19184698763037078</v>
      </c>
      <c r="BS199" s="23">
        <f t="shared" si="16"/>
        <v>0.17502333416316768</v>
      </c>
      <c r="BT199" s="23">
        <f t="shared" si="16"/>
        <v>0.68891700486784091</v>
      </c>
      <c r="BU199" s="23">
        <f t="shared" si="16"/>
        <v>0.14965548526925471</v>
      </c>
      <c r="BV199" s="23">
        <f t="shared" si="16"/>
        <v>0.63202326453454782</v>
      </c>
      <c r="BW199" s="23">
        <f t="shared" si="16"/>
        <v>1.0694824099752829</v>
      </c>
      <c r="BX199" s="23">
        <f t="shared" si="16"/>
        <v>0.29916336567912244</v>
      </c>
      <c r="BY199" s="23">
        <f t="shared" si="16"/>
        <v>0</v>
      </c>
      <c r="BZ199" s="23">
        <f t="shared" si="16"/>
        <v>0</v>
      </c>
      <c r="CA199" s="23">
        <f t="shared" si="16"/>
        <v>0.15460152190820478</v>
      </c>
    </row>
    <row r="200" spans="1:79" ht="15.75" customHeight="1" x14ac:dyDescent="0.2">
      <c r="A200" s="30" t="s">
        <v>82</v>
      </c>
      <c r="B200" s="23">
        <f t="shared" si="2"/>
        <v>0</v>
      </c>
      <c r="C200" s="23">
        <f t="shared" si="17"/>
        <v>0</v>
      </c>
      <c r="D200" s="23">
        <f t="shared" si="17"/>
        <v>0</v>
      </c>
      <c r="E200" s="23">
        <f t="shared" si="17"/>
        <v>0</v>
      </c>
      <c r="F200" s="23">
        <f t="shared" si="17"/>
        <v>0</v>
      </c>
      <c r="G200" s="23">
        <f t="shared" si="17"/>
        <v>0</v>
      </c>
      <c r="H200" s="23">
        <f t="shared" si="17"/>
        <v>0</v>
      </c>
      <c r="I200" s="23">
        <f t="shared" si="17"/>
        <v>0</v>
      </c>
      <c r="J200" s="23">
        <f t="shared" si="17"/>
        <v>0</v>
      </c>
      <c r="K200" s="23">
        <f t="shared" si="17"/>
        <v>0</v>
      </c>
      <c r="L200" s="23">
        <f t="shared" si="17"/>
        <v>0</v>
      </c>
      <c r="M200" s="23">
        <f t="shared" si="17"/>
        <v>0</v>
      </c>
      <c r="N200" s="23">
        <f t="shared" si="17"/>
        <v>0</v>
      </c>
      <c r="O200" s="23">
        <f t="shared" si="17"/>
        <v>0</v>
      </c>
      <c r="P200" s="23">
        <f t="shared" si="17"/>
        <v>0</v>
      </c>
      <c r="Q200" s="23">
        <f t="shared" si="17"/>
        <v>0</v>
      </c>
      <c r="R200" s="23">
        <f t="shared" si="17"/>
        <v>0</v>
      </c>
      <c r="S200" s="23">
        <f t="shared" si="17"/>
        <v>0</v>
      </c>
      <c r="T200" s="23">
        <f t="shared" si="17"/>
        <v>0</v>
      </c>
      <c r="U200" s="23">
        <f t="shared" si="17"/>
        <v>0</v>
      </c>
      <c r="V200" s="23">
        <f t="shared" si="17"/>
        <v>0</v>
      </c>
      <c r="W200" s="23">
        <f t="shared" si="17"/>
        <v>0</v>
      </c>
      <c r="X200" s="23">
        <f t="shared" si="17"/>
        <v>0</v>
      </c>
      <c r="Y200" s="23">
        <f t="shared" si="17"/>
        <v>0</v>
      </c>
      <c r="Z200" s="23">
        <f t="shared" si="17"/>
        <v>0</v>
      </c>
      <c r="AA200" s="23">
        <f t="shared" si="17"/>
        <v>0</v>
      </c>
      <c r="AB200" s="23">
        <f t="shared" si="17"/>
        <v>0</v>
      </c>
      <c r="AC200" s="23">
        <f t="shared" si="17"/>
        <v>0</v>
      </c>
      <c r="AD200" s="23">
        <f t="shared" si="17"/>
        <v>0</v>
      </c>
      <c r="AE200" s="23">
        <f t="shared" si="17"/>
        <v>0</v>
      </c>
      <c r="AF200" s="23">
        <f t="shared" si="17"/>
        <v>0</v>
      </c>
      <c r="AG200" s="23">
        <f t="shared" si="17"/>
        <v>0</v>
      </c>
      <c r="AH200" s="23">
        <f t="shared" si="17"/>
        <v>1</v>
      </c>
      <c r="AI200" s="23">
        <f t="shared" si="17"/>
        <v>0</v>
      </c>
      <c r="AJ200" s="23">
        <f t="shared" si="17"/>
        <v>0</v>
      </c>
      <c r="AK200" s="23">
        <f t="shared" si="17"/>
        <v>0</v>
      </c>
      <c r="AL200" s="23">
        <f t="shared" si="17"/>
        <v>0</v>
      </c>
      <c r="AM200" s="23">
        <f t="shared" si="17"/>
        <v>0</v>
      </c>
      <c r="AN200" s="23">
        <f t="shared" si="17"/>
        <v>0</v>
      </c>
      <c r="AO200" s="23">
        <f t="shared" si="17"/>
        <v>0</v>
      </c>
      <c r="AP200" s="23">
        <f t="shared" si="17"/>
        <v>0</v>
      </c>
      <c r="AQ200" s="23">
        <f t="shared" si="17"/>
        <v>0</v>
      </c>
      <c r="AR200" s="23">
        <f t="shared" si="17"/>
        <v>0</v>
      </c>
      <c r="AS200" s="23">
        <f t="shared" si="17"/>
        <v>0</v>
      </c>
      <c r="AT200" s="23">
        <f t="shared" si="17"/>
        <v>0</v>
      </c>
      <c r="AU200" s="23">
        <f t="shared" si="17"/>
        <v>0</v>
      </c>
      <c r="AV200" s="23">
        <f t="shared" si="17"/>
        <v>0</v>
      </c>
      <c r="AW200" s="23">
        <f t="shared" si="17"/>
        <v>0</v>
      </c>
      <c r="AX200" s="23">
        <f t="shared" si="17"/>
        <v>0</v>
      </c>
      <c r="AY200" s="23">
        <f t="shared" si="17"/>
        <v>0</v>
      </c>
      <c r="AZ200" s="23">
        <f t="shared" si="17"/>
        <v>0</v>
      </c>
      <c r="BA200" s="23">
        <f t="shared" si="17"/>
        <v>0</v>
      </c>
      <c r="BB200" s="23">
        <f t="shared" si="17"/>
        <v>0</v>
      </c>
      <c r="BC200" s="23">
        <f t="shared" si="17"/>
        <v>0</v>
      </c>
      <c r="BD200" s="23">
        <f t="shared" si="17"/>
        <v>0</v>
      </c>
      <c r="BE200" s="23">
        <f t="shared" si="17"/>
        <v>0</v>
      </c>
      <c r="BF200" s="23">
        <f t="shared" si="17"/>
        <v>0</v>
      </c>
      <c r="BG200" s="23">
        <f t="shared" si="17"/>
        <v>0</v>
      </c>
      <c r="BH200" s="23">
        <f t="shared" si="17"/>
        <v>0</v>
      </c>
      <c r="BI200" s="23">
        <f t="shared" si="17"/>
        <v>0</v>
      </c>
      <c r="BJ200" s="23">
        <f t="shared" si="17"/>
        <v>0</v>
      </c>
      <c r="BK200" s="23">
        <f t="shared" si="17"/>
        <v>0</v>
      </c>
      <c r="BL200" s="23">
        <f t="shared" si="17"/>
        <v>0</v>
      </c>
      <c r="BM200" s="23">
        <f t="shared" si="17"/>
        <v>0</v>
      </c>
      <c r="BN200" s="23">
        <f t="shared" si="17"/>
        <v>0</v>
      </c>
      <c r="BO200" s="23">
        <f t="shared" si="16"/>
        <v>0</v>
      </c>
      <c r="BP200" s="23">
        <f t="shared" si="16"/>
        <v>0</v>
      </c>
      <c r="BQ200" s="23">
        <f t="shared" si="16"/>
        <v>0</v>
      </c>
      <c r="BR200" s="23">
        <f t="shared" si="16"/>
        <v>0</v>
      </c>
      <c r="BS200" s="23">
        <f t="shared" si="16"/>
        <v>0</v>
      </c>
      <c r="BT200" s="23">
        <f t="shared" si="16"/>
        <v>0</v>
      </c>
      <c r="BU200" s="23">
        <f t="shared" si="16"/>
        <v>0</v>
      </c>
      <c r="BV200" s="23">
        <f t="shared" si="16"/>
        <v>0</v>
      </c>
      <c r="BW200" s="23">
        <f t="shared" si="16"/>
        <v>0</v>
      </c>
      <c r="BX200" s="23">
        <f t="shared" si="16"/>
        <v>0</v>
      </c>
      <c r="BY200" s="23">
        <f t="shared" si="16"/>
        <v>0</v>
      </c>
      <c r="BZ200" s="23">
        <f t="shared" si="16"/>
        <v>0</v>
      </c>
      <c r="CA200" s="23">
        <f t="shared" si="16"/>
        <v>0</v>
      </c>
    </row>
    <row r="201" spans="1:79" ht="15.75" customHeight="1" x14ac:dyDescent="0.2">
      <c r="A201" s="30" t="s">
        <v>83</v>
      </c>
      <c r="B201" s="23">
        <f t="shared" si="2"/>
        <v>0.31766863537475759</v>
      </c>
      <c r="C201" s="23">
        <f t="shared" si="17"/>
        <v>0.24205496834766418</v>
      </c>
      <c r="D201" s="23">
        <f t="shared" si="17"/>
        <v>0.15600684004032911</v>
      </c>
      <c r="E201" s="23">
        <f t="shared" si="17"/>
        <v>0.15600684004032911</v>
      </c>
      <c r="F201" s="23">
        <f t="shared" si="17"/>
        <v>0.64792541697968975</v>
      </c>
      <c r="G201" s="23">
        <f t="shared" si="17"/>
        <v>0.11018082741855821</v>
      </c>
      <c r="H201" s="23">
        <f t="shared" si="17"/>
        <v>0.71256915755625772</v>
      </c>
      <c r="I201" s="23">
        <f t="shared" si="17"/>
        <v>0.19142164453479033</v>
      </c>
      <c r="J201" s="23">
        <f t="shared" si="17"/>
        <v>8.4678930727093885E-2</v>
      </c>
      <c r="K201" s="23">
        <f t="shared" si="17"/>
        <v>1.0034224987091169</v>
      </c>
      <c r="L201" s="23">
        <f t="shared" si="17"/>
        <v>0.20036647939989491</v>
      </c>
      <c r="M201" s="23">
        <f t="shared" si="17"/>
        <v>0</v>
      </c>
      <c r="N201" s="23">
        <f t="shared" si="17"/>
        <v>0.54356061122228894</v>
      </c>
      <c r="O201" s="23">
        <f t="shared" si="17"/>
        <v>0.61625947293927807</v>
      </c>
      <c r="P201" s="23">
        <f t="shared" si="17"/>
        <v>0.13479288802791792</v>
      </c>
      <c r="Q201" s="23">
        <f t="shared" si="17"/>
        <v>0</v>
      </c>
      <c r="R201" s="23">
        <f t="shared" si="17"/>
        <v>0.53832192112616273</v>
      </c>
      <c r="S201" s="23">
        <f t="shared" si="17"/>
        <v>0</v>
      </c>
      <c r="T201" s="23">
        <f t="shared" si="17"/>
        <v>0.17980962069494363</v>
      </c>
      <c r="U201" s="23">
        <f t="shared" si="17"/>
        <v>0</v>
      </c>
      <c r="V201" s="23">
        <f t="shared" si="17"/>
        <v>0.15600684004032911</v>
      </c>
      <c r="W201" s="23">
        <f t="shared" si="17"/>
        <v>0.15230204151970128</v>
      </c>
      <c r="X201" s="23">
        <f t="shared" si="17"/>
        <v>0.54356061122228894</v>
      </c>
      <c r="Y201" s="23">
        <f t="shared" si="17"/>
        <v>0.1690455910405225</v>
      </c>
      <c r="Z201" s="23">
        <f t="shared" si="17"/>
        <v>0</v>
      </c>
      <c r="AA201" s="23">
        <f t="shared" si="17"/>
        <v>0.13208154931066701</v>
      </c>
      <c r="AB201" s="23">
        <f t="shared" si="17"/>
        <v>0.83855635557449415</v>
      </c>
      <c r="AC201" s="23">
        <f t="shared" si="17"/>
        <v>0.36218753133199649</v>
      </c>
      <c r="AD201" s="23">
        <f t="shared" si="17"/>
        <v>0.13365650827940295</v>
      </c>
      <c r="AE201" s="23">
        <f t="shared" si="17"/>
        <v>0.4579684547821653</v>
      </c>
      <c r="AF201" s="23">
        <f t="shared" si="17"/>
        <v>0.61444410153928908</v>
      </c>
      <c r="AG201" s="23">
        <f t="shared" si="17"/>
        <v>0.71416953967093599</v>
      </c>
      <c r="AH201" s="23">
        <f t="shared" si="17"/>
        <v>0</v>
      </c>
      <c r="AI201" s="23">
        <f t="shared" si="17"/>
        <v>1</v>
      </c>
      <c r="AJ201" s="23">
        <f t="shared" si="17"/>
        <v>0.64792541697968975</v>
      </c>
      <c r="AK201" s="23">
        <f t="shared" si="17"/>
        <v>9.4817761924941429E-2</v>
      </c>
      <c r="AL201" s="23">
        <f t="shared" si="17"/>
        <v>0.22340346402815528</v>
      </c>
      <c r="AM201" s="23">
        <f t="shared" si="17"/>
        <v>0</v>
      </c>
      <c r="AN201" s="23">
        <f t="shared" si="17"/>
        <v>1.144569765744857</v>
      </c>
      <c r="AO201" s="23">
        <f t="shared" si="17"/>
        <v>0.54356061122228894</v>
      </c>
      <c r="AP201" s="23">
        <f t="shared" si="17"/>
        <v>0.2570081854884263</v>
      </c>
      <c r="AQ201" s="23">
        <f t="shared" si="17"/>
        <v>0.13092096259162747</v>
      </c>
      <c r="AR201" s="23">
        <f t="shared" si="17"/>
        <v>0.53832192112616273</v>
      </c>
      <c r="AS201" s="23">
        <f t="shared" si="17"/>
        <v>1.224774549586271</v>
      </c>
      <c r="AT201" s="23">
        <f t="shared" si="17"/>
        <v>0.13544805519718073</v>
      </c>
      <c r="AU201" s="23">
        <f t="shared" si="17"/>
        <v>0.15118313189147434</v>
      </c>
      <c r="AV201" s="23">
        <f t="shared" si="17"/>
        <v>1.6494915531112015</v>
      </c>
      <c r="AW201" s="23">
        <f t="shared" si="17"/>
        <v>0.16433556168250676</v>
      </c>
      <c r="AX201" s="23">
        <f t="shared" si="17"/>
        <v>0.13033196390538204</v>
      </c>
      <c r="AY201" s="23">
        <f t="shared" si="17"/>
        <v>0</v>
      </c>
      <c r="AZ201" s="23">
        <f t="shared" si="17"/>
        <v>0.14732657981901345</v>
      </c>
      <c r="BA201" s="23">
        <f t="shared" si="17"/>
        <v>2.0269001210859012</v>
      </c>
      <c r="BB201" s="23">
        <f t="shared" si="17"/>
        <v>0.11413656571473425</v>
      </c>
      <c r="BC201" s="23">
        <f t="shared" si="17"/>
        <v>0.64792541697968975</v>
      </c>
      <c r="BD201" s="23">
        <f t="shared" si="17"/>
        <v>0.19727677397983973</v>
      </c>
      <c r="BE201" s="23">
        <f t="shared" si="17"/>
        <v>0.46465969591569006</v>
      </c>
      <c r="BF201" s="23">
        <f t="shared" si="17"/>
        <v>0.29138509796996553</v>
      </c>
      <c r="BG201" s="23">
        <f t="shared" si="17"/>
        <v>0.52144389595670437</v>
      </c>
      <c r="BH201" s="23">
        <f t="shared" si="17"/>
        <v>0.10945099784944387</v>
      </c>
      <c r="BI201" s="23">
        <f t="shared" si="17"/>
        <v>0.80549487450763368</v>
      </c>
      <c r="BJ201" s="23">
        <f t="shared" si="17"/>
        <v>0.45171066791617909</v>
      </c>
      <c r="BK201" s="23">
        <f t="shared" si="17"/>
        <v>0.57705375031253137</v>
      </c>
      <c r="BL201" s="23">
        <f t="shared" si="17"/>
        <v>0</v>
      </c>
      <c r="BM201" s="23">
        <f t="shared" si="17"/>
        <v>0</v>
      </c>
      <c r="BN201" s="23">
        <f t="shared" ref="BN201:CA204" si="18">IF(BN117&gt;=0, IF(BN117 = 0,  1, 1/BN117*$B$165), 0)</f>
        <v>0.53832192112616273</v>
      </c>
      <c r="BO201" s="23">
        <f t="shared" si="18"/>
        <v>0.14218833284185878</v>
      </c>
      <c r="BP201" s="23">
        <f t="shared" si="18"/>
        <v>1.0294456557241074</v>
      </c>
      <c r="BQ201" s="23">
        <f t="shared" si="18"/>
        <v>0</v>
      </c>
      <c r="BR201" s="23">
        <f t="shared" si="18"/>
        <v>0.15600684004032911</v>
      </c>
      <c r="BS201" s="23">
        <f t="shared" si="18"/>
        <v>0.1690455910405225</v>
      </c>
      <c r="BT201" s="23">
        <f t="shared" si="18"/>
        <v>0.54356061122228894</v>
      </c>
      <c r="BU201" s="23">
        <f t="shared" si="18"/>
        <v>0.16250307996879365</v>
      </c>
      <c r="BV201" s="23">
        <f t="shared" si="18"/>
        <v>1.5739366356594759</v>
      </c>
      <c r="BW201" s="23">
        <f t="shared" si="18"/>
        <v>0.86575367182136864</v>
      </c>
      <c r="BX201" s="23">
        <f t="shared" si="18"/>
        <v>0.3327258422093281</v>
      </c>
      <c r="BY201" s="23">
        <f t="shared" si="18"/>
        <v>0</v>
      </c>
      <c r="BZ201" s="23">
        <f t="shared" si="18"/>
        <v>0</v>
      </c>
      <c r="CA201" s="23">
        <f t="shared" si="18"/>
        <v>0.16253706997608591</v>
      </c>
    </row>
    <row r="202" spans="1:79" ht="15.75" customHeight="1" x14ac:dyDescent="0.2">
      <c r="A202" s="30" t="s">
        <v>84</v>
      </c>
      <c r="B202" s="23">
        <f t="shared" si="2"/>
        <v>0.50082205971814708</v>
      </c>
      <c r="C202" s="23">
        <f t="shared" ref="C202:BN205" si="19">IF(C118&gt;=0, IF(C118 = 0,  1, 1/C118*$B$165), 0)</f>
        <v>0.29795126873273758</v>
      </c>
      <c r="D202" s="23">
        <f t="shared" si="19"/>
        <v>0.12641572300628837</v>
      </c>
      <c r="E202" s="23">
        <f t="shared" si="19"/>
        <v>0.12641572300628837</v>
      </c>
      <c r="F202" s="23">
        <f t="shared" si="19"/>
        <v>1</v>
      </c>
      <c r="G202" s="23">
        <f t="shared" si="19"/>
        <v>0.10116295225428885</v>
      </c>
      <c r="H202" s="23">
        <f t="shared" si="19"/>
        <v>1.052737692173233</v>
      </c>
      <c r="I202" s="23">
        <f t="shared" si="19"/>
        <v>0.23634514567570028</v>
      </c>
      <c r="J202" s="23">
        <f t="shared" si="19"/>
        <v>9.7251570461669531E-2</v>
      </c>
      <c r="K202" s="23">
        <f t="shared" si="19"/>
        <v>0.41989568694265761</v>
      </c>
      <c r="L202" s="23">
        <f t="shared" si="19"/>
        <v>0.26989471648809343</v>
      </c>
      <c r="M202" s="23">
        <f t="shared" si="19"/>
        <v>0</v>
      </c>
      <c r="N202" s="23">
        <f t="shared" si="19"/>
        <v>0.29638386283401114</v>
      </c>
      <c r="O202" s="23">
        <f t="shared" si="19"/>
        <v>0.32442764671986912</v>
      </c>
      <c r="P202" s="23">
        <f t="shared" si="19"/>
        <v>0.11808778856071192</v>
      </c>
      <c r="Q202" s="23">
        <f t="shared" si="19"/>
        <v>0</v>
      </c>
      <c r="R202" s="23">
        <f t="shared" si="19"/>
        <v>0.3003466765224802</v>
      </c>
      <c r="S202" s="23">
        <f t="shared" si="19"/>
        <v>0</v>
      </c>
      <c r="T202" s="23">
        <f t="shared" si="19"/>
        <v>0.23507726922061223</v>
      </c>
      <c r="U202" s="23">
        <f t="shared" si="19"/>
        <v>0</v>
      </c>
      <c r="V202" s="23">
        <f t="shared" si="19"/>
        <v>0.12641572300628837</v>
      </c>
      <c r="W202" s="23">
        <f t="shared" si="19"/>
        <v>0.19178416278202914</v>
      </c>
      <c r="X202" s="23">
        <f t="shared" si="19"/>
        <v>0.29638386283401114</v>
      </c>
      <c r="Y202" s="23">
        <f t="shared" si="19"/>
        <v>0.19299399928061201</v>
      </c>
      <c r="Z202" s="23">
        <f t="shared" si="19"/>
        <v>0</v>
      </c>
      <c r="AA202" s="23">
        <f t="shared" si="19"/>
        <v>0.10977074356082758</v>
      </c>
      <c r="AB202" s="23">
        <f t="shared" si="19"/>
        <v>0.39010076486385148</v>
      </c>
      <c r="AC202" s="23">
        <f t="shared" si="19"/>
        <v>0.56238020833701519</v>
      </c>
      <c r="AD202" s="23">
        <f t="shared" si="19"/>
        <v>0.15865120807389224</v>
      </c>
      <c r="AE202" s="23">
        <f t="shared" si="19"/>
        <v>0.30158838486755069</v>
      </c>
      <c r="AF202" s="23">
        <f t="shared" si="19"/>
        <v>0.31971630754042518</v>
      </c>
      <c r="AG202" s="23">
        <f t="shared" si="19"/>
        <v>0.3665456472990673</v>
      </c>
      <c r="AH202" s="23">
        <f t="shared" si="19"/>
        <v>0</v>
      </c>
      <c r="AI202" s="23">
        <f t="shared" si="19"/>
        <v>0.64792541697968975</v>
      </c>
      <c r="AJ202" s="23">
        <f t="shared" si="19"/>
        <v>1</v>
      </c>
      <c r="AK202" s="23">
        <f t="shared" si="19"/>
        <v>9.0611147367924902E-2</v>
      </c>
      <c r="AL202" s="23">
        <f t="shared" si="19"/>
        <v>0.30951050119459478</v>
      </c>
      <c r="AM202" s="23">
        <f t="shared" si="19"/>
        <v>0</v>
      </c>
      <c r="AN202" s="23">
        <f t="shared" si="19"/>
        <v>0.45049346444385618</v>
      </c>
      <c r="AO202" s="23">
        <f t="shared" si="19"/>
        <v>0.29638386283401114</v>
      </c>
      <c r="AP202" s="23">
        <f t="shared" si="19"/>
        <v>0.38307761912237837</v>
      </c>
      <c r="AQ202" s="23">
        <f t="shared" si="19"/>
        <v>0.16273565562206488</v>
      </c>
      <c r="AR202" s="23">
        <f t="shared" si="19"/>
        <v>0.3003466765224802</v>
      </c>
      <c r="AS202" s="23">
        <f t="shared" si="19"/>
        <v>0.42405109205621205</v>
      </c>
      <c r="AT202" s="23">
        <f t="shared" si="19"/>
        <v>0.14729605596127371</v>
      </c>
      <c r="AU202" s="23">
        <f t="shared" si="19"/>
        <v>0.16888304008851918</v>
      </c>
      <c r="AV202" s="23">
        <f t="shared" si="19"/>
        <v>1.0656842983027901</v>
      </c>
      <c r="AW202" s="23">
        <f t="shared" si="19"/>
        <v>0.20830021508167884</v>
      </c>
      <c r="AX202" s="23">
        <f t="shared" si="19"/>
        <v>0.11105218223281556</v>
      </c>
      <c r="AY202" s="23">
        <f t="shared" si="19"/>
        <v>0</v>
      </c>
      <c r="AZ202" s="23">
        <f t="shared" si="19"/>
        <v>0.18754629087750962</v>
      </c>
      <c r="BA202" s="23">
        <f t="shared" si="19"/>
        <v>0.5413025419677987</v>
      </c>
      <c r="BB202" s="23">
        <f t="shared" si="19"/>
        <v>9.7429544186708142E-2</v>
      </c>
      <c r="BC202" s="23">
        <f t="shared" si="19"/>
        <v>1</v>
      </c>
      <c r="BD202" s="23">
        <f t="shared" si="19"/>
        <v>0.2228993546940593</v>
      </c>
      <c r="BE202" s="23">
        <f t="shared" si="19"/>
        <v>0.27637055990436959</v>
      </c>
      <c r="BF202" s="23">
        <f t="shared" si="19"/>
        <v>0.44078835996137183</v>
      </c>
      <c r="BG202" s="23">
        <f t="shared" si="19"/>
        <v>1.1778187212551612</v>
      </c>
      <c r="BH202" s="23">
        <f t="shared" si="19"/>
        <v>9.5268803117948386E-2</v>
      </c>
      <c r="BI202" s="23">
        <f t="shared" si="19"/>
        <v>0.41483697148473914</v>
      </c>
      <c r="BJ202" s="23">
        <f t="shared" si="19"/>
        <v>0.26752383968193705</v>
      </c>
      <c r="BK202" s="23">
        <f t="shared" si="19"/>
        <v>0.43393128689181187</v>
      </c>
      <c r="BL202" s="23">
        <f t="shared" si="19"/>
        <v>0</v>
      </c>
      <c r="BM202" s="23">
        <f t="shared" si="19"/>
        <v>0</v>
      </c>
      <c r="BN202" s="23">
        <f t="shared" si="19"/>
        <v>0.3003466765224802</v>
      </c>
      <c r="BO202" s="23">
        <f t="shared" si="18"/>
        <v>0.17938098990472362</v>
      </c>
      <c r="BP202" s="23">
        <f t="shared" si="18"/>
        <v>0.42672803135419918</v>
      </c>
      <c r="BQ202" s="23">
        <f t="shared" si="18"/>
        <v>0</v>
      </c>
      <c r="BR202" s="23">
        <f t="shared" si="18"/>
        <v>0.12641572300628837</v>
      </c>
      <c r="BS202" s="23">
        <f t="shared" si="18"/>
        <v>0.19299399928061201</v>
      </c>
      <c r="BT202" s="23">
        <f t="shared" si="18"/>
        <v>0.29638386283401114</v>
      </c>
      <c r="BU202" s="23">
        <f t="shared" si="18"/>
        <v>0.20848521759064798</v>
      </c>
      <c r="BV202" s="23">
        <f t="shared" si="18"/>
        <v>0.87262902079050919</v>
      </c>
      <c r="BW202" s="23">
        <f t="shared" si="18"/>
        <v>0.50320731820979836</v>
      </c>
      <c r="BX202" s="23">
        <f t="shared" si="18"/>
        <v>0.46888384859472565</v>
      </c>
      <c r="BY202" s="23">
        <f t="shared" si="18"/>
        <v>0</v>
      </c>
      <c r="BZ202" s="23">
        <f t="shared" si="18"/>
        <v>0</v>
      </c>
      <c r="CA202" s="23">
        <f t="shared" si="18"/>
        <v>0.20236663263737709</v>
      </c>
    </row>
    <row r="203" spans="1:79" ht="15.75" customHeight="1" x14ac:dyDescent="0.2">
      <c r="A203" s="30" t="s">
        <v>85</v>
      </c>
      <c r="B203" s="23">
        <f t="shared" si="2"/>
        <v>0.10438297910103682</v>
      </c>
      <c r="C203" s="23">
        <f t="shared" si="19"/>
        <v>7.0086883484686044E-2</v>
      </c>
      <c r="D203" s="23">
        <f t="shared" si="19"/>
        <v>0.16791820484547781</v>
      </c>
      <c r="E203" s="23">
        <f t="shared" si="19"/>
        <v>0.16791820484547781</v>
      </c>
      <c r="F203" s="23">
        <f t="shared" si="19"/>
        <v>9.0611147367924902E-2</v>
      </c>
      <c r="G203" s="23">
        <f t="shared" si="19"/>
        <v>0.10833941022711964</v>
      </c>
      <c r="H203" s="23">
        <f t="shared" si="19"/>
        <v>9.8905531413966352E-2</v>
      </c>
      <c r="I203" s="23">
        <f t="shared" si="19"/>
        <v>0.12904546263682756</v>
      </c>
      <c r="J203" s="23">
        <f t="shared" si="19"/>
        <v>0.15219579664149369</v>
      </c>
      <c r="K203" s="23">
        <f t="shared" si="19"/>
        <v>0.10383657630012276</v>
      </c>
      <c r="L203" s="23">
        <f t="shared" si="19"/>
        <v>0.11316199283349945</v>
      </c>
      <c r="M203" s="23">
        <f t="shared" si="19"/>
        <v>0</v>
      </c>
      <c r="N203" s="23">
        <f t="shared" si="19"/>
        <v>0.10134864143620757</v>
      </c>
      <c r="O203" s="23">
        <f t="shared" si="19"/>
        <v>0.10813526377662201</v>
      </c>
      <c r="P203" s="23">
        <f t="shared" si="19"/>
        <v>0.10382270749941833</v>
      </c>
      <c r="Q203" s="23">
        <f t="shared" si="19"/>
        <v>0</v>
      </c>
      <c r="R203" s="23">
        <f t="shared" si="19"/>
        <v>0.10983398035863605</v>
      </c>
      <c r="S203" s="23">
        <f t="shared" si="19"/>
        <v>0</v>
      </c>
      <c r="T203" s="23">
        <f t="shared" si="19"/>
        <v>0.11653308451662371</v>
      </c>
      <c r="U203" s="23">
        <f t="shared" si="19"/>
        <v>0</v>
      </c>
      <c r="V203" s="23">
        <f t="shared" si="19"/>
        <v>0.16791820484547781</v>
      </c>
      <c r="W203" s="23">
        <f t="shared" si="19"/>
        <v>0.12213306486166894</v>
      </c>
      <c r="X203" s="23">
        <f t="shared" si="19"/>
        <v>0.10134864143620757</v>
      </c>
      <c r="Y203" s="23">
        <f t="shared" si="19"/>
        <v>0.15252027676526139</v>
      </c>
      <c r="Z203" s="23">
        <f t="shared" si="19"/>
        <v>0</v>
      </c>
      <c r="AA203" s="23">
        <f t="shared" si="19"/>
        <v>0.17168342272345433</v>
      </c>
      <c r="AB203" s="23">
        <f t="shared" si="19"/>
        <v>0.10578805554357375</v>
      </c>
      <c r="AC203" s="23">
        <f t="shared" si="19"/>
        <v>7.8330256676364535E-2</v>
      </c>
      <c r="AD203" s="23">
        <f t="shared" si="19"/>
        <v>0.14646009435600235</v>
      </c>
      <c r="AE203" s="23">
        <f t="shared" si="19"/>
        <v>0.1190468596171535</v>
      </c>
      <c r="AF203" s="23">
        <f t="shared" si="19"/>
        <v>0.10672822462263826</v>
      </c>
      <c r="AG203" s="23">
        <f t="shared" si="19"/>
        <v>0.10826478536905516</v>
      </c>
      <c r="AH203" s="23">
        <f t="shared" si="19"/>
        <v>0</v>
      </c>
      <c r="AI203" s="23">
        <f t="shared" si="19"/>
        <v>9.4817761924941429E-2</v>
      </c>
      <c r="AJ203" s="23">
        <f t="shared" si="19"/>
        <v>9.0611147367924902E-2</v>
      </c>
      <c r="AK203" s="23">
        <f t="shared" si="19"/>
        <v>1</v>
      </c>
      <c r="AL203" s="23">
        <f t="shared" si="19"/>
        <v>0.11103851181949406</v>
      </c>
      <c r="AM203" s="23">
        <f t="shared" si="19"/>
        <v>0</v>
      </c>
      <c r="AN203" s="23">
        <f t="shared" si="19"/>
        <v>0.10298955965952448</v>
      </c>
      <c r="AO203" s="23">
        <f t="shared" si="19"/>
        <v>0.10134864143620757</v>
      </c>
      <c r="AP203" s="23">
        <f t="shared" si="19"/>
        <v>0.10562834775145022</v>
      </c>
      <c r="AQ203" s="23">
        <f t="shared" si="19"/>
        <v>0.11672242921433353</v>
      </c>
      <c r="AR203" s="23">
        <f t="shared" si="19"/>
        <v>0.10983398035863605</v>
      </c>
      <c r="AS203" s="23">
        <f t="shared" si="19"/>
        <v>9.8769601115124853E-2</v>
      </c>
      <c r="AT203" s="23">
        <f t="shared" si="19"/>
        <v>0.19841105861327987</v>
      </c>
      <c r="AU203" s="23">
        <f t="shared" si="19"/>
        <v>0.16951294887460475</v>
      </c>
      <c r="AV203" s="23">
        <f t="shared" si="19"/>
        <v>9.3054658069503832E-2</v>
      </c>
      <c r="AW203" s="23">
        <f t="shared" si="19"/>
        <v>0.12255134149860689</v>
      </c>
      <c r="AX203" s="23">
        <f t="shared" si="19"/>
        <v>0.12124091452186207</v>
      </c>
      <c r="AY203" s="23">
        <f t="shared" si="19"/>
        <v>0</v>
      </c>
      <c r="AZ203" s="23">
        <f t="shared" si="19"/>
        <v>0.11481722252711399</v>
      </c>
      <c r="BA203" s="23">
        <f t="shared" si="19"/>
        <v>9.2474344255260771E-2</v>
      </c>
      <c r="BB203" s="23">
        <f t="shared" si="19"/>
        <v>0.21890015768901883</v>
      </c>
      <c r="BC203" s="23">
        <f t="shared" si="19"/>
        <v>9.0611147367924902E-2</v>
      </c>
      <c r="BD203" s="23">
        <f t="shared" si="19"/>
        <v>0.14434323850816522</v>
      </c>
      <c r="BE203" s="23">
        <f t="shared" si="19"/>
        <v>9.7774598219962011E-2</v>
      </c>
      <c r="BF203" s="23">
        <f t="shared" si="19"/>
        <v>0.1060833356386133</v>
      </c>
      <c r="BG203" s="23">
        <f t="shared" si="19"/>
        <v>9.7459213266617051E-2</v>
      </c>
      <c r="BH203" s="23">
        <f t="shared" si="19"/>
        <v>0.1385111221623628</v>
      </c>
      <c r="BI203" s="23">
        <f t="shared" si="19"/>
        <v>0.10740088630100232</v>
      </c>
      <c r="BJ203" s="23">
        <f t="shared" si="19"/>
        <v>0.10202922668485057</v>
      </c>
      <c r="BK203" s="23">
        <f t="shared" si="19"/>
        <v>0.11184570466354576</v>
      </c>
      <c r="BL203" s="23">
        <f t="shared" si="19"/>
        <v>0</v>
      </c>
      <c r="BM203" s="23">
        <f t="shared" si="19"/>
        <v>0</v>
      </c>
      <c r="BN203" s="23">
        <f t="shared" si="19"/>
        <v>0.10983398035863605</v>
      </c>
      <c r="BO203" s="23">
        <f t="shared" si="18"/>
        <v>0.11639400012755913</v>
      </c>
      <c r="BP203" s="23">
        <f t="shared" si="18"/>
        <v>0.10371928762419232</v>
      </c>
      <c r="BQ203" s="23">
        <f t="shared" si="18"/>
        <v>0</v>
      </c>
      <c r="BR203" s="23">
        <f t="shared" si="18"/>
        <v>0.16791820484547781</v>
      </c>
      <c r="BS203" s="23">
        <f t="shared" si="18"/>
        <v>0.15252027676526139</v>
      </c>
      <c r="BT203" s="23">
        <f t="shared" si="18"/>
        <v>0.10134864143620757</v>
      </c>
      <c r="BU203" s="23">
        <f t="shared" si="18"/>
        <v>0.11818078551925851</v>
      </c>
      <c r="BV203" s="23">
        <f t="shared" si="18"/>
        <v>9.676037145392212E-2</v>
      </c>
      <c r="BW203" s="23">
        <f t="shared" si="18"/>
        <v>0.10579648390179347</v>
      </c>
      <c r="BX203" s="23">
        <f t="shared" si="18"/>
        <v>0.10914700088401098</v>
      </c>
      <c r="BY203" s="23">
        <f t="shared" si="18"/>
        <v>0</v>
      </c>
      <c r="BZ203" s="23">
        <f t="shared" si="18"/>
        <v>0</v>
      </c>
      <c r="CA203" s="23">
        <f t="shared" si="18"/>
        <v>0.12793712518531308</v>
      </c>
    </row>
    <row r="204" spans="1:79" ht="15.75" customHeight="1" x14ac:dyDescent="0.2">
      <c r="A204" s="30" t="s">
        <v>86</v>
      </c>
      <c r="B204" s="23">
        <f t="shared" si="2"/>
        <v>0.75213172548960383</v>
      </c>
      <c r="C204" s="23">
        <f t="shared" si="19"/>
        <v>0.1892340203268601</v>
      </c>
      <c r="D204" s="23">
        <f t="shared" si="19"/>
        <v>0.10394903070331557</v>
      </c>
      <c r="E204" s="23">
        <f t="shared" si="19"/>
        <v>0.10394903070331557</v>
      </c>
      <c r="F204" s="23">
        <f t="shared" si="19"/>
        <v>0.30951050119459478</v>
      </c>
      <c r="G204" s="23">
        <f t="shared" si="19"/>
        <v>7.8050012073800606E-2</v>
      </c>
      <c r="H204" s="23">
        <f t="shared" si="19"/>
        <v>0.32419102001012973</v>
      </c>
      <c r="I204" s="23">
        <f t="shared" si="19"/>
        <v>0.79506852853518295</v>
      </c>
      <c r="J204" s="23">
        <f t="shared" si="19"/>
        <v>0.13293382329789755</v>
      </c>
      <c r="K204" s="23">
        <f t="shared" si="19"/>
        <v>0.2065957074077327</v>
      </c>
      <c r="L204" s="23">
        <f t="shared" si="19"/>
        <v>1.9052115789921129</v>
      </c>
      <c r="M204" s="23">
        <f t="shared" si="19"/>
        <v>0</v>
      </c>
      <c r="N204" s="23">
        <f t="shared" si="19"/>
        <v>0.16134887262872447</v>
      </c>
      <c r="O204" s="23">
        <f t="shared" si="19"/>
        <v>0.18272045851846877</v>
      </c>
      <c r="P204" s="23">
        <f t="shared" si="19"/>
        <v>8.5611569744477048E-2</v>
      </c>
      <c r="Q204" s="23">
        <f t="shared" si="19"/>
        <v>0</v>
      </c>
      <c r="R204" s="23">
        <f t="shared" si="19"/>
        <v>0.17557728974200384</v>
      </c>
      <c r="S204" s="23">
        <f t="shared" si="19"/>
        <v>0</v>
      </c>
      <c r="T204" s="23">
        <f t="shared" si="19"/>
        <v>0.91299816787627308</v>
      </c>
      <c r="U204" s="23">
        <f t="shared" si="19"/>
        <v>0</v>
      </c>
      <c r="V204" s="23">
        <f t="shared" si="19"/>
        <v>0.10394903070331557</v>
      </c>
      <c r="W204" s="23">
        <f t="shared" si="19"/>
        <v>0.47358598488971776</v>
      </c>
      <c r="X204" s="23">
        <f t="shared" si="19"/>
        <v>0.16134887262872447</v>
      </c>
      <c r="Y204" s="23">
        <f t="shared" si="19"/>
        <v>0.40812610532409033</v>
      </c>
      <c r="Z204" s="23">
        <f t="shared" si="19"/>
        <v>0</v>
      </c>
      <c r="AA204" s="23">
        <f t="shared" si="19"/>
        <v>9.060192698796167E-2</v>
      </c>
      <c r="AB204" s="23">
        <f t="shared" si="19"/>
        <v>0.20260757902199855</v>
      </c>
      <c r="AC204" s="23">
        <f t="shared" si="19"/>
        <v>0.2431504963697278</v>
      </c>
      <c r="AD204" s="23">
        <f t="shared" si="19"/>
        <v>0.32545054806276386</v>
      </c>
      <c r="AE204" s="23">
        <f t="shared" si="19"/>
        <v>0.20013504645650237</v>
      </c>
      <c r="AF204" s="23">
        <f t="shared" si="19"/>
        <v>0.17791665959799036</v>
      </c>
      <c r="AG204" s="23">
        <f t="shared" si="19"/>
        <v>0.20110730373286101</v>
      </c>
      <c r="AH204" s="23">
        <f t="shared" si="19"/>
        <v>0</v>
      </c>
      <c r="AI204" s="23">
        <f t="shared" si="19"/>
        <v>0.22340346402815528</v>
      </c>
      <c r="AJ204" s="23">
        <f t="shared" si="19"/>
        <v>0.30951050119459478</v>
      </c>
      <c r="AK204" s="23">
        <f t="shared" si="19"/>
        <v>0.11103851181949406</v>
      </c>
      <c r="AL204" s="23">
        <f t="shared" si="19"/>
        <v>1</v>
      </c>
      <c r="AM204" s="23">
        <f t="shared" si="19"/>
        <v>0</v>
      </c>
      <c r="AN204" s="23">
        <f t="shared" si="19"/>
        <v>0.21318710126683643</v>
      </c>
      <c r="AO204" s="23">
        <f t="shared" si="19"/>
        <v>0.16134887262872447</v>
      </c>
      <c r="AP204" s="23">
        <f t="shared" si="19"/>
        <v>1.6080511501245227</v>
      </c>
      <c r="AQ204" s="23">
        <f t="shared" si="19"/>
        <v>0.29107361210843996</v>
      </c>
      <c r="AR204" s="23">
        <f t="shared" si="19"/>
        <v>0.17557728974200384</v>
      </c>
      <c r="AS204" s="23">
        <f t="shared" si="19"/>
        <v>0.19402243486283474</v>
      </c>
      <c r="AT204" s="23">
        <f t="shared" si="19"/>
        <v>0.24975487917270373</v>
      </c>
      <c r="AU204" s="23">
        <f t="shared" si="19"/>
        <v>0.32052035888696501</v>
      </c>
      <c r="AV204" s="23">
        <f t="shared" si="19"/>
        <v>0.25311414572989832</v>
      </c>
      <c r="AW204" s="23">
        <f t="shared" si="19"/>
        <v>0.62153363906229964</v>
      </c>
      <c r="AX204" s="23">
        <f t="shared" si="19"/>
        <v>8.2322409652747383E-2</v>
      </c>
      <c r="AY204" s="23">
        <f t="shared" si="19"/>
        <v>0</v>
      </c>
      <c r="AZ204" s="23">
        <f t="shared" si="19"/>
        <v>0.39777162850304854</v>
      </c>
      <c r="BA204" s="23">
        <f t="shared" si="19"/>
        <v>0.20332277537585142</v>
      </c>
      <c r="BB204" s="23">
        <f t="shared" si="19"/>
        <v>8.7275127905024744E-2</v>
      </c>
      <c r="BC204" s="23">
        <f t="shared" si="19"/>
        <v>0.30951050119459478</v>
      </c>
      <c r="BD204" s="23">
        <f t="shared" si="19"/>
        <v>0.44118774183186332</v>
      </c>
      <c r="BE204" s="23">
        <f t="shared" si="19"/>
        <v>0.15124709372782247</v>
      </c>
      <c r="BF204" s="23">
        <f t="shared" si="19"/>
        <v>0.95377505047928146</v>
      </c>
      <c r="BG204" s="23">
        <f t="shared" si="19"/>
        <v>0.38899416592521169</v>
      </c>
      <c r="BH204" s="23">
        <f t="shared" si="19"/>
        <v>7.3640686065329405E-2</v>
      </c>
      <c r="BI204" s="23">
        <f t="shared" si="19"/>
        <v>0.2186863039307439</v>
      </c>
      <c r="BJ204" s="23">
        <f t="shared" si="19"/>
        <v>0.1517961813989048</v>
      </c>
      <c r="BK204" s="23">
        <f t="shared" si="19"/>
        <v>0.26328902736540843</v>
      </c>
      <c r="BL204" s="23">
        <f t="shared" si="19"/>
        <v>0</v>
      </c>
      <c r="BM204" s="23">
        <f t="shared" si="19"/>
        <v>0</v>
      </c>
      <c r="BN204" s="23">
        <f t="shared" si="19"/>
        <v>0.17557728974200384</v>
      </c>
      <c r="BO204" s="23">
        <f t="shared" si="18"/>
        <v>0.36393846142548675</v>
      </c>
      <c r="BP204" s="23">
        <f t="shared" si="18"/>
        <v>0.20840545906661329</v>
      </c>
      <c r="BQ204" s="23">
        <f t="shared" si="18"/>
        <v>0</v>
      </c>
      <c r="BR204" s="23">
        <f t="shared" si="18"/>
        <v>0.10394903070331557</v>
      </c>
      <c r="BS204" s="23">
        <f t="shared" si="18"/>
        <v>0.40812610532409033</v>
      </c>
      <c r="BT204" s="23">
        <f t="shared" si="18"/>
        <v>0.16134887262872447</v>
      </c>
      <c r="BU204" s="23">
        <f t="shared" si="18"/>
        <v>0.58290303883545092</v>
      </c>
      <c r="BV204" s="23">
        <f t="shared" si="18"/>
        <v>0.25958759061074277</v>
      </c>
      <c r="BW204" s="23">
        <f t="shared" si="18"/>
        <v>0.24694286915984709</v>
      </c>
      <c r="BX204" s="23">
        <f t="shared" si="18"/>
        <v>0.61227989398772942</v>
      </c>
      <c r="BY204" s="23">
        <f t="shared" si="18"/>
        <v>0</v>
      </c>
      <c r="BZ204" s="23">
        <f t="shared" si="18"/>
        <v>0</v>
      </c>
      <c r="CA204" s="23">
        <f t="shared" si="18"/>
        <v>0.58425718923137637</v>
      </c>
    </row>
    <row r="205" spans="1:79" ht="15.75" customHeight="1" x14ac:dyDescent="0.2">
      <c r="A205" s="30" t="s">
        <v>87</v>
      </c>
      <c r="B205" s="23">
        <f t="shared" si="2"/>
        <v>0</v>
      </c>
      <c r="C205" s="23">
        <f t="shared" si="19"/>
        <v>0</v>
      </c>
      <c r="D205" s="23">
        <f t="shared" si="19"/>
        <v>0</v>
      </c>
      <c r="E205" s="23">
        <f t="shared" si="19"/>
        <v>0</v>
      </c>
      <c r="F205" s="23">
        <f t="shared" si="19"/>
        <v>0</v>
      </c>
      <c r="G205" s="23">
        <f t="shared" si="19"/>
        <v>0</v>
      </c>
      <c r="H205" s="23">
        <f t="shared" si="19"/>
        <v>0</v>
      </c>
      <c r="I205" s="23">
        <f t="shared" si="19"/>
        <v>0</v>
      </c>
      <c r="J205" s="23">
        <f t="shared" si="19"/>
        <v>0</v>
      </c>
      <c r="K205" s="23">
        <f t="shared" si="19"/>
        <v>0</v>
      </c>
      <c r="L205" s="23">
        <f t="shared" si="19"/>
        <v>0</v>
      </c>
      <c r="M205" s="23">
        <f t="shared" si="19"/>
        <v>0</v>
      </c>
      <c r="N205" s="23">
        <f t="shared" si="19"/>
        <v>0</v>
      </c>
      <c r="O205" s="23">
        <f t="shared" si="19"/>
        <v>0</v>
      </c>
      <c r="P205" s="23">
        <f t="shared" si="19"/>
        <v>0</v>
      </c>
      <c r="Q205" s="23">
        <f t="shared" si="19"/>
        <v>0</v>
      </c>
      <c r="R205" s="23">
        <f t="shared" si="19"/>
        <v>0</v>
      </c>
      <c r="S205" s="23">
        <f t="shared" si="19"/>
        <v>0</v>
      </c>
      <c r="T205" s="23">
        <f t="shared" si="19"/>
        <v>0</v>
      </c>
      <c r="U205" s="23">
        <f t="shared" si="19"/>
        <v>0</v>
      </c>
      <c r="V205" s="23">
        <f t="shared" si="19"/>
        <v>0</v>
      </c>
      <c r="W205" s="23">
        <f t="shared" si="19"/>
        <v>0</v>
      </c>
      <c r="X205" s="23">
        <f t="shared" si="19"/>
        <v>0</v>
      </c>
      <c r="Y205" s="23">
        <f t="shared" si="19"/>
        <v>0</v>
      </c>
      <c r="Z205" s="23">
        <f t="shared" si="19"/>
        <v>0</v>
      </c>
      <c r="AA205" s="23">
        <f t="shared" si="19"/>
        <v>0</v>
      </c>
      <c r="AB205" s="23">
        <f t="shared" si="19"/>
        <v>0</v>
      </c>
      <c r="AC205" s="23">
        <f t="shared" si="19"/>
        <v>0</v>
      </c>
      <c r="AD205" s="23">
        <f t="shared" si="19"/>
        <v>0</v>
      </c>
      <c r="AE205" s="23">
        <f t="shared" si="19"/>
        <v>0</v>
      </c>
      <c r="AF205" s="23">
        <f t="shared" si="19"/>
        <v>0</v>
      </c>
      <c r="AG205" s="23">
        <f t="shared" si="19"/>
        <v>0</v>
      </c>
      <c r="AH205" s="23">
        <f t="shared" si="19"/>
        <v>0</v>
      </c>
      <c r="AI205" s="23">
        <f t="shared" si="19"/>
        <v>0</v>
      </c>
      <c r="AJ205" s="23">
        <f t="shared" si="19"/>
        <v>0</v>
      </c>
      <c r="AK205" s="23">
        <f t="shared" si="19"/>
        <v>0</v>
      </c>
      <c r="AL205" s="23">
        <f t="shared" si="19"/>
        <v>0</v>
      </c>
      <c r="AM205" s="23">
        <f t="shared" si="19"/>
        <v>1</v>
      </c>
      <c r="AN205" s="23">
        <f t="shared" si="19"/>
        <v>0</v>
      </c>
      <c r="AO205" s="23">
        <f t="shared" si="19"/>
        <v>0</v>
      </c>
      <c r="AP205" s="23">
        <f t="shared" si="19"/>
        <v>0</v>
      </c>
      <c r="AQ205" s="23">
        <f t="shared" si="19"/>
        <v>0</v>
      </c>
      <c r="AR205" s="23">
        <f t="shared" si="19"/>
        <v>0</v>
      </c>
      <c r="AS205" s="23">
        <f t="shared" si="19"/>
        <v>0</v>
      </c>
      <c r="AT205" s="23">
        <f t="shared" si="19"/>
        <v>0</v>
      </c>
      <c r="AU205" s="23">
        <f t="shared" si="19"/>
        <v>0</v>
      </c>
      <c r="AV205" s="23">
        <f t="shared" si="19"/>
        <v>0</v>
      </c>
      <c r="AW205" s="23">
        <f t="shared" si="19"/>
        <v>0</v>
      </c>
      <c r="AX205" s="23">
        <f t="shared" si="19"/>
        <v>0</v>
      </c>
      <c r="AY205" s="23">
        <f t="shared" si="19"/>
        <v>0</v>
      </c>
      <c r="AZ205" s="23">
        <f t="shared" si="19"/>
        <v>0</v>
      </c>
      <c r="BA205" s="23">
        <f t="shared" si="19"/>
        <v>0</v>
      </c>
      <c r="BB205" s="23">
        <f t="shared" si="19"/>
        <v>0</v>
      </c>
      <c r="BC205" s="23">
        <f t="shared" si="19"/>
        <v>0</v>
      </c>
      <c r="BD205" s="23">
        <f t="shared" si="19"/>
        <v>0</v>
      </c>
      <c r="BE205" s="23">
        <f t="shared" si="19"/>
        <v>0</v>
      </c>
      <c r="BF205" s="23">
        <f t="shared" si="19"/>
        <v>0</v>
      </c>
      <c r="BG205" s="23">
        <f t="shared" si="19"/>
        <v>0</v>
      </c>
      <c r="BH205" s="23">
        <f t="shared" si="19"/>
        <v>0</v>
      </c>
      <c r="BI205" s="23">
        <f t="shared" si="19"/>
        <v>0</v>
      </c>
      <c r="BJ205" s="23">
        <f t="shared" si="19"/>
        <v>0</v>
      </c>
      <c r="BK205" s="23">
        <f t="shared" si="19"/>
        <v>0</v>
      </c>
      <c r="BL205" s="23">
        <f t="shared" si="19"/>
        <v>0</v>
      </c>
      <c r="BM205" s="23">
        <f t="shared" si="19"/>
        <v>0</v>
      </c>
      <c r="BN205" s="23">
        <f t="shared" ref="BN205:CA208" si="20">IF(BN121&gt;=0, IF(BN121 = 0,  1, 1/BN121*$B$165), 0)</f>
        <v>0</v>
      </c>
      <c r="BO205" s="23">
        <f t="shared" si="20"/>
        <v>0</v>
      </c>
      <c r="BP205" s="23">
        <f t="shared" si="20"/>
        <v>0</v>
      </c>
      <c r="BQ205" s="23">
        <f t="shared" si="20"/>
        <v>0</v>
      </c>
      <c r="BR205" s="23">
        <f t="shared" si="20"/>
        <v>0</v>
      </c>
      <c r="BS205" s="23">
        <f t="shared" si="20"/>
        <v>0</v>
      </c>
      <c r="BT205" s="23">
        <f t="shared" si="20"/>
        <v>0</v>
      </c>
      <c r="BU205" s="23">
        <f t="shared" si="20"/>
        <v>0</v>
      </c>
      <c r="BV205" s="23">
        <f t="shared" si="20"/>
        <v>0</v>
      </c>
      <c r="BW205" s="23">
        <f t="shared" si="20"/>
        <v>0</v>
      </c>
      <c r="BX205" s="23">
        <f t="shared" si="20"/>
        <v>0</v>
      </c>
      <c r="BY205" s="23">
        <f t="shared" si="20"/>
        <v>0</v>
      </c>
      <c r="BZ205" s="23">
        <f t="shared" si="20"/>
        <v>0</v>
      </c>
      <c r="CA205" s="23">
        <f t="shared" si="20"/>
        <v>0</v>
      </c>
    </row>
    <row r="206" spans="1:79" ht="15.75" customHeight="1" x14ac:dyDescent="0.2">
      <c r="A206" s="30" t="s">
        <v>88</v>
      </c>
      <c r="B206" s="23">
        <f t="shared" si="2"/>
        <v>0.29522194035927857</v>
      </c>
      <c r="C206" s="23">
        <f t="shared" ref="C206:BN209" si="21">IF(C122&gt;=0, IF(C122 = 0,  1, 1/C122*$B$165), 0)</f>
        <v>0.19986889980224401</v>
      </c>
      <c r="D206" s="23">
        <f t="shared" si="21"/>
        <v>0.17553398726133765</v>
      </c>
      <c r="E206" s="23">
        <f t="shared" si="21"/>
        <v>0.17553398726133765</v>
      </c>
      <c r="F206" s="23">
        <f t="shared" si="21"/>
        <v>0.45049346444385618</v>
      </c>
      <c r="G206" s="23">
        <f t="shared" si="21"/>
        <v>0.10789622735807326</v>
      </c>
      <c r="H206" s="23">
        <f t="shared" si="21"/>
        <v>0.58885811780740371</v>
      </c>
      <c r="I206" s="23">
        <f t="shared" si="21"/>
        <v>0.19187833799125545</v>
      </c>
      <c r="J206" s="23">
        <f t="shared" si="21"/>
        <v>8.1916707639625122E-2</v>
      </c>
      <c r="K206" s="23">
        <f t="shared" si="21"/>
        <v>6.0088164580164474</v>
      </c>
      <c r="L206" s="23">
        <f t="shared" si="21"/>
        <v>0.19173352247726927</v>
      </c>
      <c r="M206" s="23">
        <f t="shared" si="21"/>
        <v>0</v>
      </c>
      <c r="N206" s="23">
        <f t="shared" si="21"/>
        <v>0.65233791908500582</v>
      </c>
      <c r="O206" s="23">
        <f t="shared" si="21"/>
        <v>1.1407557643168023</v>
      </c>
      <c r="P206" s="23">
        <f t="shared" si="21"/>
        <v>0.1332253044077871</v>
      </c>
      <c r="Q206" s="23">
        <f t="shared" si="21"/>
        <v>0</v>
      </c>
      <c r="R206" s="23">
        <f t="shared" si="21"/>
        <v>0.88836955633320203</v>
      </c>
      <c r="S206" s="23">
        <f t="shared" si="21"/>
        <v>0</v>
      </c>
      <c r="T206" s="23">
        <f t="shared" si="21"/>
        <v>0.17289769478749212</v>
      </c>
      <c r="U206" s="23">
        <f t="shared" si="21"/>
        <v>0</v>
      </c>
      <c r="V206" s="23">
        <f t="shared" si="21"/>
        <v>0.17553398726133765</v>
      </c>
      <c r="W206" s="23">
        <f t="shared" si="21"/>
        <v>0.14705901440319283</v>
      </c>
      <c r="X206" s="23">
        <f t="shared" si="21"/>
        <v>0.65233791908500582</v>
      </c>
      <c r="Y206" s="23">
        <f t="shared" si="21"/>
        <v>0.17542481791067474</v>
      </c>
      <c r="Z206" s="23">
        <f t="shared" si="21"/>
        <v>0</v>
      </c>
      <c r="AA206" s="23">
        <f t="shared" si="21"/>
        <v>0.14400134867697476</v>
      </c>
      <c r="AB206" s="23">
        <f t="shared" si="21"/>
        <v>2.8983921265466184</v>
      </c>
      <c r="AC206" s="23">
        <f t="shared" si="21"/>
        <v>0.27602411759117579</v>
      </c>
      <c r="AD206" s="23">
        <f t="shared" si="21"/>
        <v>0.13293980480705431</v>
      </c>
      <c r="AE206" s="23">
        <f t="shared" si="21"/>
        <v>0.75912337811874186</v>
      </c>
      <c r="AF206" s="23">
        <f t="shared" si="21"/>
        <v>1.0349149560126527</v>
      </c>
      <c r="AG206" s="23">
        <f t="shared" si="21"/>
        <v>1.8724481341962314</v>
      </c>
      <c r="AH206" s="23">
        <f t="shared" si="21"/>
        <v>0</v>
      </c>
      <c r="AI206" s="23">
        <f t="shared" si="21"/>
        <v>1.144569765744857</v>
      </c>
      <c r="AJ206" s="23">
        <f t="shared" si="21"/>
        <v>0.45049346444385618</v>
      </c>
      <c r="AK206" s="23">
        <f t="shared" si="21"/>
        <v>0.10298955965952448</v>
      </c>
      <c r="AL206" s="23">
        <f t="shared" si="21"/>
        <v>0.21318710126683643</v>
      </c>
      <c r="AM206" s="23">
        <f t="shared" si="21"/>
        <v>0</v>
      </c>
      <c r="AN206" s="23">
        <f t="shared" si="21"/>
        <v>1</v>
      </c>
      <c r="AO206" s="23">
        <f t="shared" si="21"/>
        <v>0.65233791908500582</v>
      </c>
      <c r="AP206" s="23">
        <f t="shared" si="21"/>
        <v>0.24002834216563596</v>
      </c>
      <c r="AQ206" s="23">
        <f t="shared" si="21"/>
        <v>0.124371988091609</v>
      </c>
      <c r="AR206" s="23">
        <f t="shared" si="21"/>
        <v>0.88836955633320203</v>
      </c>
      <c r="AS206" s="23">
        <f t="shared" si="21"/>
        <v>1.5884482152643276</v>
      </c>
      <c r="AT206" s="23">
        <f t="shared" si="21"/>
        <v>0.14233718960701514</v>
      </c>
      <c r="AU206" s="23">
        <f t="shared" si="21"/>
        <v>0.15761390389571378</v>
      </c>
      <c r="AV206" s="23">
        <f t="shared" si="21"/>
        <v>0.7466426497887928</v>
      </c>
      <c r="AW206" s="23">
        <f t="shared" si="21"/>
        <v>0.15955808489104389</v>
      </c>
      <c r="AX206" s="23">
        <f t="shared" si="21"/>
        <v>0.1333811645489589</v>
      </c>
      <c r="AY206" s="23">
        <f t="shared" si="21"/>
        <v>0</v>
      </c>
      <c r="AZ206" s="23">
        <f t="shared" si="21"/>
        <v>0.13997605112038006</v>
      </c>
      <c r="BA206" s="23">
        <f t="shared" si="21"/>
        <v>0.89288543241606289</v>
      </c>
      <c r="BB206" s="23">
        <f t="shared" si="21"/>
        <v>0.12426264928522522</v>
      </c>
      <c r="BC206" s="23">
        <f t="shared" si="21"/>
        <v>0.45049346444385618</v>
      </c>
      <c r="BD206" s="23">
        <f t="shared" si="21"/>
        <v>0.20805693393564162</v>
      </c>
      <c r="BE206" s="23">
        <f t="shared" si="21"/>
        <v>0.49041951321338734</v>
      </c>
      <c r="BF206" s="23">
        <f t="shared" si="21"/>
        <v>0.27371053297489978</v>
      </c>
      <c r="BG206" s="23">
        <f t="shared" si="21"/>
        <v>0.43397463075465187</v>
      </c>
      <c r="BH206" s="23">
        <f t="shared" si="21"/>
        <v>0.11250136977911894</v>
      </c>
      <c r="BI206" s="23">
        <f t="shared" si="21"/>
        <v>2.3645332596045989</v>
      </c>
      <c r="BJ206" s="23">
        <f t="shared" si="21"/>
        <v>0.52149597428790806</v>
      </c>
      <c r="BK206" s="23">
        <f t="shared" si="21"/>
        <v>0.82069135877697874</v>
      </c>
      <c r="BL206" s="23">
        <f t="shared" si="21"/>
        <v>0</v>
      </c>
      <c r="BM206" s="23">
        <f t="shared" si="21"/>
        <v>0</v>
      </c>
      <c r="BN206" s="23">
        <f t="shared" si="21"/>
        <v>0.88836955633320203</v>
      </c>
      <c r="BO206" s="23">
        <f t="shared" si="20"/>
        <v>0.13535861633381796</v>
      </c>
      <c r="BP206" s="23">
        <f t="shared" si="20"/>
        <v>7.9876411732637616</v>
      </c>
      <c r="BQ206" s="23">
        <f t="shared" si="20"/>
        <v>0</v>
      </c>
      <c r="BR206" s="23">
        <f t="shared" si="20"/>
        <v>0.17553398726133765</v>
      </c>
      <c r="BS206" s="23">
        <f t="shared" si="20"/>
        <v>0.17542481791067474</v>
      </c>
      <c r="BT206" s="23">
        <f t="shared" si="20"/>
        <v>0.65233791908500582</v>
      </c>
      <c r="BU206" s="23">
        <f t="shared" si="20"/>
        <v>0.15610393511584381</v>
      </c>
      <c r="BV206" s="23">
        <f t="shared" si="20"/>
        <v>0.92608549982747346</v>
      </c>
      <c r="BW206" s="23">
        <f t="shared" si="20"/>
        <v>1.4327610418854801</v>
      </c>
      <c r="BX206" s="23">
        <f t="shared" si="20"/>
        <v>0.32377049050748741</v>
      </c>
      <c r="BY206" s="23">
        <f t="shared" si="20"/>
        <v>0</v>
      </c>
      <c r="BZ206" s="23">
        <f t="shared" si="20"/>
        <v>0</v>
      </c>
      <c r="CA206" s="23">
        <f t="shared" si="20"/>
        <v>0.15957342155643062</v>
      </c>
    </row>
    <row r="207" spans="1:79" ht="15.75" customHeight="1" x14ac:dyDescent="0.2">
      <c r="A207" s="30" t="s">
        <v>89</v>
      </c>
      <c r="B207" s="23">
        <f t="shared" si="2"/>
        <v>0.20502106840005727</v>
      </c>
      <c r="C207" s="23">
        <f t="shared" si="21"/>
        <v>0.19134171785558249</v>
      </c>
      <c r="D207" s="23">
        <f t="shared" si="21"/>
        <v>0.21145731825122832</v>
      </c>
      <c r="E207" s="23">
        <f t="shared" si="21"/>
        <v>0.21145731825122832</v>
      </c>
      <c r="F207" s="23">
        <f t="shared" si="21"/>
        <v>0.29638386283401114</v>
      </c>
      <c r="G207" s="23">
        <f t="shared" si="21"/>
        <v>0.12816566166085433</v>
      </c>
      <c r="H207" s="23">
        <f t="shared" si="21"/>
        <v>0.3190030295779771</v>
      </c>
      <c r="I207" s="23">
        <f t="shared" si="21"/>
        <v>0.14834892327625196</v>
      </c>
      <c r="J207" s="23">
        <f t="shared" si="21"/>
        <v>7.3270033098930237E-2</v>
      </c>
      <c r="K207" s="23">
        <f t="shared" si="21"/>
        <v>0.71177971943969387</v>
      </c>
      <c r="L207" s="23">
        <f t="shared" si="21"/>
        <v>0.14876854095263922</v>
      </c>
      <c r="M207" s="23">
        <f t="shared" si="21"/>
        <v>0</v>
      </c>
      <c r="N207" s="23">
        <f t="shared" si="21"/>
        <v>1</v>
      </c>
      <c r="O207" s="23">
        <f t="shared" si="21"/>
        <v>0.97833740399933233</v>
      </c>
      <c r="P207" s="23">
        <f t="shared" si="21"/>
        <v>0.16637499528196831</v>
      </c>
      <c r="Q207" s="23">
        <f t="shared" si="21"/>
        <v>0</v>
      </c>
      <c r="R207" s="23">
        <f t="shared" si="21"/>
        <v>1.0192309370421597</v>
      </c>
      <c r="S207" s="23">
        <f t="shared" si="21"/>
        <v>0</v>
      </c>
      <c r="T207" s="23">
        <f t="shared" si="21"/>
        <v>0.13711716333363355</v>
      </c>
      <c r="U207" s="23">
        <f t="shared" si="21"/>
        <v>0</v>
      </c>
      <c r="V207" s="23">
        <f t="shared" si="21"/>
        <v>0.21145731825122832</v>
      </c>
      <c r="W207" s="23">
        <f t="shared" si="21"/>
        <v>0.12034923892611225</v>
      </c>
      <c r="X207" s="23">
        <f t="shared" si="21"/>
        <v>1</v>
      </c>
      <c r="Y207" s="23">
        <f t="shared" si="21"/>
        <v>0.1396294597391067</v>
      </c>
      <c r="Z207" s="23">
        <f t="shared" si="21"/>
        <v>0</v>
      </c>
      <c r="AA207" s="23">
        <f t="shared" si="21"/>
        <v>0.17304612308351716</v>
      </c>
      <c r="AB207" s="23">
        <f t="shared" si="21"/>
        <v>0.72659266049171023</v>
      </c>
      <c r="AC207" s="23">
        <f t="shared" si="21"/>
        <v>0.2364526636767296</v>
      </c>
      <c r="AD207" s="23">
        <f t="shared" si="21"/>
        <v>0.11046828049985975</v>
      </c>
      <c r="AE207" s="23">
        <f t="shared" si="21"/>
        <v>0.48466447224926307</v>
      </c>
      <c r="AF207" s="23">
        <f t="shared" si="21"/>
        <v>1.224226452250762</v>
      </c>
      <c r="AG207" s="23">
        <f t="shared" si="21"/>
        <v>0.68891700486784091</v>
      </c>
      <c r="AH207" s="23">
        <f t="shared" si="21"/>
        <v>0</v>
      </c>
      <c r="AI207" s="23">
        <f t="shared" si="21"/>
        <v>0.54356061122228894</v>
      </c>
      <c r="AJ207" s="23">
        <f t="shared" si="21"/>
        <v>0.29638386283401114</v>
      </c>
      <c r="AK207" s="23">
        <f t="shared" si="21"/>
        <v>0.10134864143620757</v>
      </c>
      <c r="AL207" s="23">
        <f t="shared" si="21"/>
        <v>0.16134887262872447</v>
      </c>
      <c r="AM207" s="23">
        <f t="shared" si="21"/>
        <v>0</v>
      </c>
      <c r="AN207" s="23">
        <f t="shared" si="21"/>
        <v>0.65233791908500582</v>
      </c>
      <c r="AO207" s="23">
        <f t="shared" si="21"/>
        <v>1</v>
      </c>
      <c r="AP207" s="23">
        <f t="shared" si="21"/>
        <v>0.17704001423221932</v>
      </c>
      <c r="AQ207" s="23">
        <f t="shared" si="21"/>
        <v>0.10562777414885763</v>
      </c>
      <c r="AR207" s="23">
        <f t="shared" si="21"/>
        <v>1.0192309370421597</v>
      </c>
      <c r="AS207" s="23">
        <f t="shared" si="21"/>
        <v>0.94505992392979898</v>
      </c>
      <c r="AT207" s="23">
        <f t="shared" si="21"/>
        <v>0.1196425386161394</v>
      </c>
      <c r="AU207" s="23">
        <f t="shared" si="21"/>
        <v>0.1288214264716408</v>
      </c>
      <c r="AV207" s="23">
        <f t="shared" si="21"/>
        <v>0.40918244601308551</v>
      </c>
      <c r="AW207" s="23">
        <f t="shared" si="21"/>
        <v>0.12839410378851987</v>
      </c>
      <c r="AX207" s="23">
        <f t="shared" si="21"/>
        <v>0.16748840156567724</v>
      </c>
      <c r="AY207" s="23">
        <f t="shared" si="21"/>
        <v>0</v>
      </c>
      <c r="AZ207" s="23">
        <f t="shared" si="21"/>
        <v>0.11629299961863862</v>
      </c>
      <c r="BA207" s="23">
        <f t="shared" si="21"/>
        <v>0.63724579868429421</v>
      </c>
      <c r="BB207" s="23">
        <f t="shared" si="21"/>
        <v>0.14206874337861888</v>
      </c>
      <c r="BC207" s="23">
        <f t="shared" si="21"/>
        <v>0.29638386283401114</v>
      </c>
      <c r="BD207" s="23">
        <f t="shared" si="21"/>
        <v>0.15985436565702871</v>
      </c>
      <c r="BE207" s="23">
        <f t="shared" si="21"/>
        <v>1.6839214767836834</v>
      </c>
      <c r="BF207" s="23">
        <f t="shared" si="21"/>
        <v>0.19409672075285167</v>
      </c>
      <c r="BG207" s="23">
        <f t="shared" si="21"/>
        <v>0.26955011705058801</v>
      </c>
      <c r="BH207" s="23">
        <f t="shared" si="21"/>
        <v>0.13541680759161473</v>
      </c>
      <c r="BI207" s="23">
        <f t="shared" si="21"/>
        <v>0.56242859559769143</v>
      </c>
      <c r="BJ207" s="23">
        <f t="shared" si="21"/>
        <v>2.5636035823572834</v>
      </c>
      <c r="BK207" s="23">
        <f t="shared" si="21"/>
        <v>0.37429534832429034</v>
      </c>
      <c r="BL207" s="23">
        <f t="shared" si="21"/>
        <v>0</v>
      </c>
      <c r="BM207" s="23">
        <f t="shared" si="21"/>
        <v>0</v>
      </c>
      <c r="BN207" s="23">
        <f t="shared" si="21"/>
        <v>1.0192309370421597</v>
      </c>
      <c r="BO207" s="23">
        <f t="shared" si="20"/>
        <v>0.11306587740852253</v>
      </c>
      <c r="BP207" s="23">
        <f t="shared" si="20"/>
        <v>0.692984182861764</v>
      </c>
      <c r="BQ207" s="23">
        <f t="shared" si="20"/>
        <v>0</v>
      </c>
      <c r="BR207" s="23">
        <f t="shared" si="20"/>
        <v>0.21145731825122832</v>
      </c>
      <c r="BS207" s="23">
        <f t="shared" si="20"/>
        <v>0.1396294597391067</v>
      </c>
      <c r="BT207" s="23">
        <f t="shared" si="20"/>
        <v>1</v>
      </c>
      <c r="BU207" s="23">
        <f t="shared" si="20"/>
        <v>0.12645926407627725</v>
      </c>
      <c r="BV207" s="23">
        <f t="shared" si="20"/>
        <v>0.41753648693328216</v>
      </c>
      <c r="BW207" s="23">
        <f t="shared" si="20"/>
        <v>0.44989913963888356</v>
      </c>
      <c r="BX207" s="23">
        <f t="shared" si="20"/>
        <v>0.21668017175593829</v>
      </c>
      <c r="BY207" s="23">
        <f t="shared" si="20"/>
        <v>0</v>
      </c>
      <c r="BZ207" s="23">
        <f t="shared" si="20"/>
        <v>0</v>
      </c>
      <c r="CA207" s="23">
        <f t="shared" si="20"/>
        <v>0.12823901314066111</v>
      </c>
    </row>
    <row r="208" spans="1:79" ht="15.75" customHeight="1" x14ac:dyDescent="0.2">
      <c r="A208" s="30" t="s">
        <v>93</v>
      </c>
      <c r="B208" s="23">
        <f t="shared" si="2"/>
        <v>1.2817667414136933</v>
      </c>
      <c r="C208" s="23">
        <f t="shared" si="21"/>
        <v>0.20803908164297547</v>
      </c>
      <c r="D208" s="23">
        <f t="shared" si="21"/>
        <v>0.10690068035859937</v>
      </c>
      <c r="E208" s="23">
        <f t="shared" si="21"/>
        <v>0.10690068035859937</v>
      </c>
      <c r="F208" s="23">
        <f t="shared" si="21"/>
        <v>0.38307761912237837</v>
      </c>
      <c r="G208" s="23">
        <f t="shared" si="21"/>
        <v>8.1525924291316595E-2</v>
      </c>
      <c r="H208" s="23">
        <f t="shared" si="21"/>
        <v>0.39738644808293194</v>
      </c>
      <c r="I208" s="23">
        <f t="shared" si="21"/>
        <v>0.56068763299858937</v>
      </c>
      <c r="J208" s="23">
        <f t="shared" si="21"/>
        <v>0.12435076181506796</v>
      </c>
      <c r="K208" s="23">
        <f t="shared" si="21"/>
        <v>0.2313971016454611</v>
      </c>
      <c r="L208" s="23">
        <f t="shared" si="21"/>
        <v>0.90373997885445179</v>
      </c>
      <c r="M208" s="23">
        <f t="shared" si="21"/>
        <v>0</v>
      </c>
      <c r="N208" s="23">
        <f t="shared" si="21"/>
        <v>0.17704001423221932</v>
      </c>
      <c r="O208" s="23">
        <f t="shared" si="21"/>
        <v>0.20080815614138664</v>
      </c>
      <c r="P208" s="23">
        <f t="shared" si="21"/>
        <v>9.0414484104797119E-2</v>
      </c>
      <c r="Q208" s="23">
        <f t="shared" si="21"/>
        <v>0</v>
      </c>
      <c r="R208" s="23">
        <f t="shared" si="21"/>
        <v>0.19188270140333227</v>
      </c>
      <c r="S208" s="23">
        <f t="shared" si="21"/>
        <v>0</v>
      </c>
      <c r="T208" s="23">
        <f t="shared" si="21"/>
        <v>0.59783334908505625</v>
      </c>
      <c r="U208" s="23">
        <f t="shared" si="21"/>
        <v>0</v>
      </c>
      <c r="V208" s="23">
        <f t="shared" si="21"/>
        <v>0.10690068035859937</v>
      </c>
      <c r="W208" s="23">
        <f t="shared" si="21"/>
        <v>0.37376686661144226</v>
      </c>
      <c r="X208" s="23">
        <f t="shared" si="21"/>
        <v>0.17704001423221932</v>
      </c>
      <c r="Y208" s="23">
        <f t="shared" si="21"/>
        <v>0.34089059462599647</v>
      </c>
      <c r="Z208" s="23">
        <f t="shared" si="21"/>
        <v>0</v>
      </c>
      <c r="AA208" s="23">
        <f t="shared" si="21"/>
        <v>9.2911675154908849E-2</v>
      </c>
      <c r="AB208" s="23">
        <f t="shared" si="21"/>
        <v>0.22564707598840619</v>
      </c>
      <c r="AC208" s="23">
        <f t="shared" si="21"/>
        <v>0.28186450928910867</v>
      </c>
      <c r="AD208" s="23">
        <f t="shared" si="21"/>
        <v>0.27080422327616421</v>
      </c>
      <c r="AE208" s="23">
        <f t="shared" si="21"/>
        <v>0.21723744757360888</v>
      </c>
      <c r="AF208" s="23">
        <f t="shared" si="21"/>
        <v>0.19550641752029718</v>
      </c>
      <c r="AG208" s="23">
        <f t="shared" si="21"/>
        <v>0.22279791712264152</v>
      </c>
      <c r="AH208" s="23">
        <f t="shared" si="21"/>
        <v>0</v>
      </c>
      <c r="AI208" s="23">
        <f t="shared" si="21"/>
        <v>0.2570081854884263</v>
      </c>
      <c r="AJ208" s="23">
        <f t="shared" si="21"/>
        <v>0.38307761912237837</v>
      </c>
      <c r="AK208" s="23">
        <f t="shared" si="21"/>
        <v>0.10562834775145022</v>
      </c>
      <c r="AL208" s="23">
        <f t="shared" si="21"/>
        <v>1.6080511501245227</v>
      </c>
      <c r="AM208" s="23">
        <f t="shared" si="21"/>
        <v>0</v>
      </c>
      <c r="AN208" s="23">
        <f t="shared" si="21"/>
        <v>0.24002834216563596</v>
      </c>
      <c r="AO208" s="23">
        <f t="shared" si="21"/>
        <v>0.17704001423221932</v>
      </c>
      <c r="AP208" s="23">
        <f t="shared" si="21"/>
        <v>1</v>
      </c>
      <c r="AQ208" s="23">
        <f t="shared" si="21"/>
        <v>0.25706015340331873</v>
      </c>
      <c r="AR208" s="23">
        <f t="shared" si="21"/>
        <v>0.19188270140333227</v>
      </c>
      <c r="AS208" s="23">
        <f t="shared" si="21"/>
        <v>0.2175965389196198</v>
      </c>
      <c r="AT208" s="23">
        <f t="shared" si="21"/>
        <v>0.22065636072006573</v>
      </c>
      <c r="AU208" s="23">
        <f t="shared" si="21"/>
        <v>0.27483869797790922</v>
      </c>
      <c r="AV208" s="23">
        <f t="shared" si="21"/>
        <v>0.29848837862871064</v>
      </c>
      <c r="AW208" s="23">
        <f t="shared" si="21"/>
        <v>0.45302056424932902</v>
      </c>
      <c r="AX208" s="23">
        <f t="shared" si="21"/>
        <v>8.6499350243678955E-2</v>
      </c>
      <c r="AY208" s="23">
        <f t="shared" si="21"/>
        <v>0</v>
      </c>
      <c r="AZ208" s="23">
        <f t="shared" si="21"/>
        <v>0.33537594090101108</v>
      </c>
      <c r="BA208" s="23">
        <f t="shared" si="21"/>
        <v>0.23140347611925674</v>
      </c>
      <c r="BB208" s="23">
        <f t="shared" si="21"/>
        <v>8.7853008607069932E-2</v>
      </c>
      <c r="BC208" s="23">
        <f t="shared" si="21"/>
        <v>0.38307761912237837</v>
      </c>
      <c r="BD208" s="23">
        <f t="shared" si="21"/>
        <v>0.38725839187121697</v>
      </c>
      <c r="BE208" s="23">
        <f t="shared" si="21"/>
        <v>0.16563043188355014</v>
      </c>
      <c r="BF208" s="23">
        <f t="shared" si="21"/>
        <v>1.8642935117015629</v>
      </c>
      <c r="BG208" s="23">
        <f t="shared" si="21"/>
        <v>0.50628871332055092</v>
      </c>
      <c r="BH208" s="23">
        <f t="shared" si="21"/>
        <v>7.6774576293463959E-2</v>
      </c>
      <c r="BI208" s="23">
        <f t="shared" si="21"/>
        <v>0.24467222367175573</v>
      </c>
      <c r="BJ208" s="23">
        <f t="shared" si="21"/>
        <v>0.16561548163092696</v>
      </c>
      <c r="BK208" s="23">
        <f t="shared" si="21"/>
        <v>0.29664627926505405</v>
      </c>
      <c r="BL208" s="23">
        <f t="shared" si="21"/>
        <v>0</v>
      </c>
      <c r="BM208" s="23">
        <f t="shared" si="21"/>
        <v>0</v>
      </c>
      <c r="BN208" s="23">
        <f t="shared" si="21"/>
        <v>0.19188270140333227</v>
      </c>
      <c r="BO208" s="23">
        <f t="shared" si="20"/>
        <v>0.31016873896506886</v>
      </c>
      <c r="BP208" s="23">
        <f t="shared" si="20"/>
        <v>0.23370252206722208</v>
      </c>
      <c r="BQ208" s="23">
        <f t="shared" si="20"/>
        <v>0</v>
      </c>
      <c r="BR208" s="23">
        <f t="shared" si="20"/>
        <v>0.10690068035859937</v>
      </c>
      <c r="BS208" s="23">
        <f t="shared" si="20"/>
        <v>0.34089059462599647</v>
      </c>
      <c r="BT208" s="23">
        <f t="shared" si="20"/>
        <v>0.17704001423221932</v>
      </c>
      <c r="BU208" s="23">
        <f t="shared" si="20"/>
        <v>0.44141722085670282</v>
      </c>
      <c r="BV208" s="23">
        <f t="shared" si="20"/>
        <v>0.30525851545306021</v>
      </c>
      <c r="BW208" s="23">
        <f t="shared" si="20"/>
        <v>0.28130014916586066</v>
      </c>
      <c r="BX208" s="23">
        <f t="shared" si="20"/>
        <v>0.81508860143470629</v>
      </c>
      <c r="BY208" s="23">
        <f t="shared" si="20"/>
        <v>0</v>
      </c>
      <c r="BZ208" s="23">
        <f t="shared" si="20"/>
        <v>0</v>
      </c>
      <c r="CA208" s="23">
        <f t="shared" si="20"/>
        <v>0.42898375900418606</v>
      </c>
    </row>
    <row r="209" spans="1:79" ht="15.75" customHeight="1" x14ac:dyDescent="0.2">
      <c r="A209" s="30" t="s">
        <v>94</v>
      </c>
      <c r="B209" s="23">
        <f t="shared" si="2"/>
        <v>0.21416987912016131</v>
      </c>
      <c r="C209" s="23">
        <f t="shared" si="21"/>
        <v>0.16156880437855931</v>
      </c>
      <c r="D209" s="23">
        <f t="shared" si="21"/>
        <v>7.8704391766877213E-2</v>
      </c>
      <c r="E209" s="23">
        <f t="shared" si="21"/>
        <v>7.8704391766877213E-2</v>
      </c>
      <c r="F209" s="23">
        <f t="shared" si="21"/>
        <v>0.16273565562206488</v>
      </c>
      <c r="G209" s="23">
        <f t="shared" si="21"/>
        <v>8.4603061438601912E-2</v>
      </c>
      <c r="H209" s="23">
        <f t="shared" si="21"/>
        <v>0.15738373918044873</v>
      </c>
      <c r="I209" s="23">
        <f t="shared" si="21"/>
        <v>0.28458748949984514</v>
      </c>
      <c r="J209" s="23">
        <f t="shared" si="21"/>
        <v>0.23885555385763552</v>
      </c>
      <c r="K209" s="23">
        <f t="shared" si="21"/>
        <v>0.12195561154277609</v>
      </c>
      <c r="L209" s="23">
        <f t="shared" si="21"/>
        <v>0.34104744085767169</v>
      </c>
      <c r="M209" s="23">
        <f t="shared" si="21"/>
        <v>0</v>
      </c>
      <c r="N209" s="23">
        <f t="shared" si="21"/>
        <v>0.10562777414885763</v>
      </c>
      <c r="O209" s="23">
        <f t="shared" si="21"/>
        <v>0.11275397081528593</v>
      </c>
      <c r="P209" s="23">
        <f t="shared" si="21"/>
        <v>7.8916379332007278E-2</v>
      </c>
      <c r="Q209" s="23">
        <f t="shared" si="21"/>
        <v>0</v>
      </c>
      <c r="R209" s="23">
        <f t="shared" si="21"/>
        <v>0.10987077173466062</v>
      </c>
      <c r="S209" s="23">
        <f t="shared" si="21"/>
        <v>0</v>
      </c>
      <c r="T209" s="23">
        <f t="shared" si="21"/>
        <v>0.41322092817279393</v>
      </c>
      <c r="U209" s="23">
        <f t="shared" si="21"/>
        <v>0</v>
      </c>
      <c r="V209" s="23">
        <f t="shared" si="21"/>
        <v>7.8704391766877213E-2</v>
      </c>
      <c r="W209" s="23">
        <f t="shared" si="21"/>
        <v>0.6478385541648003</v>
      </c>
      <c r="X209" s="23">
        <f t="shared" si="21"/>
        <v>0.10562777414885763</v>
      </c>
      <c r="Y209" s="23">
        <f t="shared" si="21"/>
        <v>0.24660390381992309</v>
      </c>
      <c r="Z209" s="23">
        <f t="shared" si="21"/>
        <v>0</v>
      </c>
      <c r="AA209" s="23">
        <f t="shared" si="21"/>
        <v>7.1970350614301681E-2</v>
      </c>
      <c r="AB209" s="23">
        <f t="shared" si="21"/>
        <v>0.12021952336337552</v>
      </c>
      <c r="AC209" s="23">
        <f t="shared" si="21"/>
        <v>0.16646616064774439</v>
      </c>
      <c r="AD209" s="23">
        <f t="shared" si="21"/>
        <v>0.46153731240731916</v>
      </c>
      <c r="AE209" s="23">
        <f t="shared" si="21"/>
        <v>0.11864799087058921</v>
      </c>
      <c r="AF209" s="23">
        <f t="shared" si="21"/>
        <v>0.11112776482714902</v>
      </c>
      <c r="AG209" s="23">
        <f t="shared" si="21"/>
        <v>0.11935300169441865</v>
      </c>
      <c r="AH209" s="23">
        <f t="shared" si="21"/>
        <v>0</v>
      </c>
      <c r="AI209" s="23">
        <f t="shared" si="21"/>
        <v>0.13092096259162747</v>
      </c>
      <c r="AJ209" s="23">
        <f t="shared" si="21"/>
        <v>0.16273565562206488</v>
      </c>
      <c r="AK209" s="23">
        <f t="shared" si="21"/>
        <v>0.11672242921433353</v>
      </c>
      <c r="AL209" s="23">
        <f t="shared" si="21"/>
        <v>0.29107361210843996</v>
      </c>
      <c r="AM209" s="23">
        <f t="shared" si="21"/>
        <v>0</v>
      </c>
      <c r="AN209" s="23">
        <f t="shared" si="21"/>
        <v>0.124371988091609</v>
      </c>
      <c r="AO209" s="23">
        <f t="shared" si="21"/>
        <v>0.10562777414885763</v>
      </c>
      <c r="AP209" s="23">
        <f t="shared" si="21"/>
        <v>0.25706015340331873</v>
      </c>
      <c r="AQ209" s="23">
        <f t="shared" si="21"/>
        <v>1</v>
      </c>
      <c r="AR209" s="23">
        <f t="shared" si="21"/>
        <v>0.10987077173466062</v>
      </c>
      <c r="AS209" s="23">
        <f t="shared" si="21"/>
        <v>0.11889447933223704</v>
      </c>
      <c r="AT209" s="23">
        <f t="shared" si="21"/>
        <v>0.2225551826247133</v>
      </c>
      <c r="AU209" s="23">
        <f t="shared" si="21"/>
        <v>0.24308661208482987</v>
      </c>
      <c r="AV209" s="23">
        <f t="shared" si="21"/>
        <v>0.14196067761444695</v>
      </c>
      <c r="AW209" s="23">
        <f t="shared" si="21"/>
        <v>0.47182284400862257</v>
      </c>
      <c r="AX209" s="23">
        <f t="shared" si="21"/>
        <v>7.0561322128059378E-2</v>
      </c>
      <c r="AY209" s="23">
        <f t="shared" si="21"/>
        <v>0</v>
      </c>
      <c r="AZ209" s="23">
        <f t="shared" si="21"/>
        <v>1.0846258484308355</v>
      </c>
      <c r="BA209" s="23">
        <f t="shared" si="21"/>
        <v>0.12513178366927183</v>
      </c>
      <c r="BB209" s="23">
        <f t="shared" si="21"/>
        <v>7.6433133237646028E-2</v>
      </c>
      <c r="BC209" s="23">
        <f t="shared" si="21"/>
        <v>0.16273565562206488</v>
      </c>
      <c r="BD209" s="23">
        <f t="shared" si="21"/>
        <v>0.21395229754283315</v>
      </c>
      <c r="BE209" s="23">
        <f t="shared" si="21"/>
        <v>0.10242780936217889</v>
      </c>
      <c r="BF209" s="23">
        <f t="shared" si="21"/>
        <v>0.22628089448942479</v>
      </c>
      <c r="BG209" s="23">
        <f t="shared" si="21"/>
        <v>0.1735163854354369</v>
      </c>
      <c r="BH209" s="23">
        <f t="shared" si="21"/>
        <v>7.1765383257853144E-2</v>
      </c>
      <c r="BI209" s="23">
        <f t="shared" si="21"/>
        <v>0.12535681423231662</v>
      </c>
      <c r="BJ209" s="23">
        <f t="shared" si="21"/>
        <v>0.10153198339459238</v>
      </c>
      <c r="BK209" s="23">
        <f t="shared" si="21"/>
        <v>0.13827007513182626</v>
      </c>
      <c r="BL209" s="23">
        <f t="shared" si="21"/>
        <v>0</v>
      </c>
      <c r="BM209" s="23">
        <f t="shared" si="21"/>
        <v>0</v>
      </c>
      <c r="BN209" s="23">
        <f t="shared" ref="BN209:CA212" si="22">IF(BN125&gt;=0, IF(BN125 = 0,  1, 1/BN125*$B$165), 0)</f>
        <v>0.10987077173466062</v>
      </c>
      <c r="BO209" s="23">
        <f t="shared" si="22"/>
        <v>1.4337805662768233</v>
      </c>
      <c r="BP209" s="23">
        <f t="shared" si="22"/>
        <v>0.12259662991803964</v>
      </c>
      <c r="BQ209" s="23">
        <f t="shared" si="22"/>
        <v>0</v>
      </c>
      <c r="BR209" s="23">
        <f t="shared" si="22"/>
        <v>7.8704391766877213E-2</v>
      </c>
      <c r="BS209" s="23">
        <f t="shared" si="22"/>
        <v>0.24660390381992309</v>
      </c>
      <c r="BT209" s="23">
        <f t="shared" si="22"/>
        <v>0.10562777414885763</v>
      </c>
      <c r="BU209" s="23">
        <f t="shared" si="22"/>
        <v>0.55318408122255525</v>
      </c>
      <c r="BV209" s="23">
        <f t="shared" si="22"/>
        <v>0.14136492065075798</v>
      </c>
      <c r="BW209" s="23">
        <f t="shared" si="22"/>
        <v>0.13432091090792178</v>
      </c>
      <c r="BX209" s="23">
        <f t="shared" si="22"/>
        <v>0.19748312693691375</v>
      </c>
      <c r="BY209" s="23">
        <f t="shared" si="22"/>
        <v>0</v>
      </c>
      <c r="BZ209" s="23">
        <f t="shared" si="22"/>
        <v>0</v>
      </c>
      <c r="CA209" s="23">
        <f t="shared" si="22"/>
        <v>0.42495152939734709</v>
      </c>
    </row>
    <row r="210" spans="1:79" ht="15.75" customHeight="1" x14ac:dyDescent="0.2">
      <c r="A210" s="30" t="s">
        <v>96</v>
      </c>
      <c r="B210" s="23">
        <f t="shared" si="2"/>
        <v>0.22560661466557774</v>
      </c>
      <c r="C210" s="23">
        <f t="shared" ref="C210:BN213" si="23">IF(C126&gt;=0, IF(C126 = 0,  1, 1/C126*$B$165), 0)</f>
        <v>0.17215299993428149</v>
      </c>
      <c r="D210" s="23">
        <f t="shared" si="23"/>
        <v>0.2182966372150941</v>
      </c>
      <c r="E210" s="23">
        <f t="shared" si="23"/>
        <v>0.2182966372150941</v>
      </c>
      <c r="F210" s="23">
        <f t="shared" si="23"/>
        <v>0.3003466765224802</v>
      </c>
      <c r="G210" s="23">
        <f t="shared" si="23"/>
        <v>0.11569828800414514</v>
      </c>
      <c r="H210" s="23">
        <f t="shared" si="23"/>
        <v>0.35622481651040272</v>
      </c>
      <c r="I210" s="23">
        <f t="shared" si="23"/>
        <v>0.16541955299823979</v>
      </c>
      <c r="J210" s="23">
        <f t="shared" si="23"/>
        <v>7.5820142431356055E-2</v>
      </c>
      <c r="K210" s="23">
        <f t="shared" si="23"/>
        <v>1.0423091660645429</v>
      </c>
      <c r="L210" s="23">
        <f t="shared" si="23"/>
        <v>0.1608677796299248</v>
      </c>
      <c r="M210" s="23">
        <f t="shared" si="23"/>
        <v>0</v>
      </c>
      <c r="N210" s="23">
        <f t="shared" si="23"/>
        <v>1.0192309370421597</v>
      </c>
      <c r="O210" s="23">
        <f t="shared" si="23"/>
        <v>4.0143787599110521</v>
      </c>
      <c r="P210" s="23">
        <f t="shared" si="23"/>
        <v>0.14642422042636019</v>
      </c>
      <c r="Q210" s="23">
        <f t="shared" si="23"/>
        <v>0</v>
      </c>
      <c r="R210" s="23">
        <f t="shared" si="23"/>
        <v>1</v>
      </c>
      <c r="S210" s="23">
        <f t="shared" si="23"/>
        <v>0</v>
      </c>
      <c r="T210" s="23">
        <f t="shared" si="23"/>
        <v>0.14764225073867057</v>
      </c>
      <c r="U210" s="23">
        <f t="shared" si="23"/>
        <v>0</v>
      </c>
      <c r="V210" s="23">
        <f t="shared" si="23"/>
        <v>0.2182966372150941</v>
      </c>
      <c r="W210" s="23">
        <f t="shared" si="23"/>
        <v>0.12853572554370898</v>
      </c>
      <c r="X210" s="23">
        <f t="shared" si="23"/>
        <v>1.0192309370421597</v>
      </c>
      <c r="Y210" s="23">
        <f t="shared" si="23"/>
        <v>0.15817268011337288</v>
      </c>
      <c r="Z210" s="23">
        <f t="shared" si="23"/>
        <v>0</v>
      </c>
      <c r="AA210" s="23">
        <f t="shared" si="23"/>
        <v>0.17185247157856298</v>
      </c>
      <c r="AB210" s="23">
        <f t="shared" si="23"/>
        <v>1.2465339222043326</v>
      </c>
      <c r="AC210" s="23">
        <f t="shared" si="23"/>
        <v>0.21829783677975381</v>
      </c>
      <c r="AD210" s="23">
        <f t="shared" si="23"/>
        <v>0.11994149670471894</v>
      </c>
      <c r="AE210" s="23">
        <f t="shared" si="23"/>
        <v>0.91220952832256874</v>
      </c>
      <c r="AF210" s="23">
        <f t="shared" si="23"/>
        <v>3.7380849493138268</v>
      </c>
      <c r="AG210" s="23">
        <f t="shared" si="23"/>
        <v>1.3814848283133536</v>
      </c>
      <c r="AH210" s="23">
        <f t="shared" si="23"/>
        <v>0</v>
      </c>
      <c r="AI210" s="23">
        <f t="shared" si="23"/>
        <v>0.53832192112616273</v>
      </c>
      <c r="AJ210" s="23">
        <f t="shared" si="23"/>
        <v>0.3003466765224802</v>
      </c>
      <c r="AK210" s="23">
        <f t="shared" si="23"/>
        <v>0.10983398035863605</v>
      </c>
      <c r="AL210" s="23">
        <f t="shared" si="23"/>
        <v>0.17557728974200384</v>
      </c>
      <c r="AM210" s="23">
        <f t="shared" si="23"/>
        <v>0</v>
      </c>
      <c r="AN210" s="23">
        <f t="shared" si="23"/>
        <v>0.88836955633320203</v>
      </c>
      <c r="AO210" s="23">
        <f t="shared" si="23"/>
        <v>1.0192309370421597</v>
      </c>
      <c r="AP210" s="23">
        <f t="shared" si="23"/>
        <v>0.19188270140333227</v>
      </c>
      <c r="AQ210" s="23">
        <f t="shared" si="23"/>
        <v>0.10987077173466062</v>
      </c>
      <c r="AR210" s="23">
        <f t="shared" si="23"/>
        <v>1</v>
      </c>
      <c r="AS210" s="23">
        <f t="shared" si="23"/>
        <v>0.89761856930875139</v>
      </c>
      <c r="AT210" s="23">
        <f t="shared" si="23"/>
        <v>0.134701668999713</v>
      </c>
      <c r="AU210" s="23">
        <f t="shared" si="23"/>
        <v>0.14536973456285479</v>
      </c>
      <c r="AV210" s="23">
        <f t="shared" si="23"/>
        <v>0.41385517978577269</v>
      </c>
      <c r="AW210" s="23">
        <f t="shared" si="23"/>
        <v>0.13846385883206289</v>
      </c>
      <c r="AX210" s="23">
        <f t="shared" si="23"/>
        <v>0.1519339649127818</v>
      </c>
      <c r="AY210" s="23">
        <f t="shared" si="23"/>
        <v>0</v>
      </c>
      <c r="AZ210" s="23">
        <f t="shared" si="23"/>
        <v>0.12208736558174292</v>
      </c>
      <c r="BA210" s="23">
        <f t="shared" si="23"/>
        <v>0.54062847503631506</v>
      </c>
      <c r="BB210" s="23">
        <f t="shared" si="23"/>
        <v>0.14420517875521521</v>
      </c>
      <c r="BC210" s="23">
        <f t="shared" si="23"/>
        <v>0.3003466765224802</v>
      </c>
      <c r="BD210" s="23">
        <f t="shared" si="23"/>
        <v>0.18470469553561239</v>
      </c>
      <c r="BE210" s="23">
        <f t="shared" si="23"/>
        <v>0.6376396498717305</v>
      </c>
      <c r="BF210" s="23">
        <f t="shared" si="23"/>
        <v>0.21348020201944276</v>
      </c>
      <c r="BG210" s="23">
        <f t="shared" si="23"/>
        <v>0.29270101938818238</v>
      </c>
      <c r="BH210" s="23">
        <f t="shared" si="23"/>
        <v>0.1266162408738668</v>
      </c>
      <c r="BI210" s="23">
        <f t="shared" si="23"/>
        <v>0.88890473981664586</v>
      </c>
      <c r="BJ210" s="23">
        <f t="shared" si="23"/>
        <v>0.81228606292228955</v>
      </c>
      <c r="BK210" s="23">
        <f t="shared" si="23"/>
        <v>0.5148557455405347</v>
      </c>
      <c r="BL210" s="23">
        <f t="shared" si="23"/>
        <v>0</v>
      </c>
      <c r="BM210" s="23">
        <f t="shared" si="23"/>
        <v>0</v>
      </c>
      <c r="BN210" s="23">
        <f t="shared" si="23"/>
        <v>1</v>
      </c>
      <c r="BO210" s="23">
        <f t="shared" si="22"/>
        <v>0.11860738080738341</v>
      </c>
      <c r="BP210" s="23">
        <f t="shared" si="22"/>
        <v>0.99941936268758536</v>
      </c>
      <c r="BQ210" s="23">
        <f t="shared" si="22"/>
        <v>0</v>
      </c>
      <c r="BR210" s="23">
        <f t="shared" si="22"/>
        <v>0.2182966372150941</v>
      </c>
      <c r="BS210" s="23">
        <f t="shared" si="22"/>
        <v>0.15817268011337288</v>
      </c>
      <c r="BT210" s="23">
        <f t="shared" si="22"/>
        <v>1.0192309370421597</v>
      </c>
      <c r="BU210" s="23">
        <f t="shared" si="22"/>
        <v>0.13507077422396438</v>
      </c>
      <c r="BV210" s="23">
        <f t="shared" si="22"/>
        <v>0.45434044281468178</v>
      </c>
      <c r="BW210" s="23">
        <f t="shared" si="22"/>
        <v>0.60356235134222724</v>
      </c>
      <c r="BX210" s="23">
        <f t="shared" si="22"/>
        <v>0.24602733908981478</v>
      </c>
      <c r="BY210" s="23">
        <f t="shared" si="22"/>
        <v>0</v>
      </c>
      <c r="BZ210" s="23">
        <f t="shared" si="22"/>
        <v>0</v>
      </c>
      <c r="CA210" s="23">
        <f t="shared" si="22"/>
        <v>0.1394145263546839</v>
      </c>
    </row>
    <row r="211" spans="1:79" ht="15.75" customHeight="1" x14ac:dyDescent="0.2">
      <c r="A211" s="30" t="s">
        <v>97</v>
      </c>
      <c r="B211" s="23">
        <f t="shared" si="2"/>
        <v>0.26117685282115616</v>
      </c>
      <c r="C211" s="23">
        <f t="shared" si="23"/>
        <v>0.21227745187428937</v>
      </c>
      <c r="D211" s="23">
        <f t="shared" si="23"/>
        <v>0.17840519714327729</v>
      </c>
      <c r="E211" s="23">
        <f t="shared" si="23"/>
        <v>0.17840519714327729</v>
      </c>
      <c r="F211" s="23">
        <f t="shared" si="23"/>
        <v>0.42405109205621205</v>
      </c>
      <c r="G211" s="23">
        <f t="shared" si="23"/>
        <v>0.11547439477158138</v>
      </c>
      <c r="H211" s="23">
        <f t="shared" si="23"/>
        <v>0.48084878513099882</v>
      </c>
      <c r="I211" s="23">
        <f t="shared" si="23"/>
        <v>0.1733265978219545</v>
      </c>
      <c r="J211" s="23">
        <f t="shared" si="23"/>
        <v>7.9391359298605482E-2</v>
      </c>
      <c r="K211" s="23">
        <f t="shared" si="23"/>
        <v>1.6807261204564101</v>
      </c>
      <c r="L211" s="23">
        <f t="shared" si="23"/>
        <v>0.17615764417610627</v>
      </c>
      <c r="M211" s="23">
        <f t="shared" si="23"/>
        <v>0</v>
      </c>
      <c r="N211" s="23">
        <f t="shared" si="23"/>
        <v>0.94505992392979898</v>
      </c>
      <c r="O211" s="23">
        <f t="shared" si="23"/>
        <v>1.0968367085497939</v>
      </c>
      <c r="P211" s="23">
        <f t="shared" si="23"/>
        <v>0.14458227387693212</v>
      </c>
      <c r="Q211" s="23">
        <f t="shared" si="23"/>
        <v>0</v>
      </c>
      <c r="R211" s="23">
        <f t="shared" si="23"/>
        <v>0.89761856930875139</v>
      </c>
      <c r="S211" s="23">
        <f t="shared" si="23"/>
        <v>0</v>
      </c>
      <c r="T211" s="23">
        <f t="shared" si="23"/>
        <v>0.16003193901261473</v>
      </c>
      <c r="U211" s="23">
        <f t="shared" si="23"/>
        <v>0</v>
      </c>
      <c r="V211" s="23">
        <f t="shared" si="23"/>
        <v>0.17840519714327729</v>
      </c>
      <c r="W211" s="23">
        <f t="shared" si="23"/>
        <v>0.13767886637386978</v>
      </c>
      <c r="X211" s="23">
        <f t="shared" si="23"/>
        <v>0.94505992392979898</v>
      </c>
      <c r="Y211" s="23">
        <f t="shared" si="23"/>
        <v>0.15844200149498069</v>
      </c>
      <c r="Z211" s="23">
        <f t="shared" si="23"/>
        <v>0</v>
      </c>
      <c r="AA211" s="23">
        <f t="shared" si="23"/>
        <v>0.14804714972420793</v>
      </c>
      <c r="AB211" s="23">
        <f t="shared" si="23"/>
        <v>1.393519546632926</v>
      </c>
      <c r="AC211" s="23">
        <f t="shared" si="23"/>
        <v>0.28814747653628903</v>
      </c>
      <c r="AD211" s="23">
        <f t="shared" si="23"/>
        <v>0.12389942488385738</v>
      </c>
      <c r="AE211" s="23">
        <f t="shared" si="23"/>
        <v>0.5679142338974571</v>
      </c>
      <c r="AF211" s="23">
        <f t="shared" si="23"/>
        <v>1.1651191076155318</v>
      </c>
      <c r="AG211" s="23">
        <f t="shared" si="23"/>
        <v>1.0873907621129377</v>
      </c>
      <c r="AH211" s="23">
        <f t="shared" si="23"/>
        <v>0</v>
      </c>
      <c r="AI211" s="23">
        <f t="shared" si="23"/>
        <v>1.224774549586271</v>
      </c>
      <c r="AJ211" s="23">
        <f t="shared" si="23"/>
        <v>0.42405109205621205</v>
      </c>
      <c r="AK211" s="23">
        <f t="shared" si="23"/>
        <v>9.8769601115124853E-2</v>
      </c>
      <c r="AL211" s="23">
        <f t="shared" si="23"/>
        <v>0.19402243486283474</v>
      </c>
      <c r="AM211" s="23">
        <f t="shared" si="23"/>
        <v>0</v>
      </c>
      <c r="AN211" s="23">
        <f t="shared" si="23"/>
        <v>1.5884482152643276</v>
      </c>
      <c r="AO211" s="23">
        <f t="shared" si="23"/>
        <v>0.94505992392979898</v>
      </c>
      <c r="AP211" s="23">
        <f t="shared" si="23"/>
        <v>0.2175965389196198</v>
      </c>
      <c r="AQ211" s="23">
        <f t="shared" si="23"/>
        <v>0.11889447933223704</v>
      </c>
      <c r="AR211" s="23">
        <f t="shared" si="23"/>
        <v>0.89761856930875139</v>
      </c>
      <c r="AS211" s="23">
        <f t="shared" si="23"/>
        <v>1</v>
      </c>
      <c r="AT211" s="23">
        <f t="shared" si="23"/>
        <v>0.13064501627081559</v>
      </c>
      <c r="AU211" s="23">
        <f t="shared" si="23"/>
        <v>0.14356889007514431</v>
      </c>
      <c r="AV211" s="23">
        <f t="shared" si="23"/>
        <v>0.70429646896453979</v>
      </c>
      <c r="AW211" s="23">
        <f t="shared" si="23"/>
        <v>0.14807252529645304</v>
      </c>
      <c r="AX211" s="23">
        <f t="shared" si="23"/>
        <v>0.14283231032989613</v>
      </c>
      <c r="AY211" s="23">
        <f t="shared" si="23"/>
        <v>0</v>
      </c>
      <c r="AZ211" s="23">
        <f t="shared" si="23"/>
        <v>0.13261099808873608</v>
      </c>
      <c r="BA211" s="23">
        <f t="shared" si="23"/>
        <v>1.3563081752852599</v>
      </c>
      <c r="BB211" s="23">
        <f t="shared" si="23"/>
        <v>0.12573950004403583</v>
      </c>
      <c r="BC211" s="23">
        <f t="shared" si="23"/>
        <v>0.42405109205621205</v>
      </c>
      <c r="BD211" s="23">
        <f t="shared" si="23"/>
        <v>0.18440280453920679</v>
      </c>
      <c r="BE211" s="23">
        <f t="shared" si="23"/>
        <v>0.67751952937112325</v>
      </c>
      <c r="BF211" s="23">
        <f t="shared" si="23"/>
        <v>0.24353629497288046</v>
      </c>
      <c r="BG211" s="23">
        <f t="shared" si="23"/>
        <v>0.37710914283900704</v>
      </c>
      <c r="BH211" s="23">
        <f t="shared" si="23"/>
        <v>0.11858238180864945</v>
      </c>
      <c r="BI211" s="23">
        <f t="shared" si="23"/>
        <v>0.97777865074251891</v>
      </c>
      <c r="BJ211" s="23">
        <f t="shared" si="23"/>
        <v>0.69190180085533937</v>
      </c>
      <c r="BK211" s="23">
        <f t="shared" si="23"/>
        <v>0.54163746318096662</v>
      </c>
      <c r="BL211" s="23">
        <f t="shared" si="23"/>
        <v>0</v>
      </c>
      <c r="BM211" s="23">
        <f t="shared" si="23"/>
        <v>0</v>
      </c>
      <c r="BN211" s="23">
        <f t="shared" si="23"/>
        <v>0.89761856930875139</v>
      </c>
      <c r="BO211" s="23">
        <f t="shared" si="22"/>
        <v>0.12843084306281602</v>
      </c>
      <c r="BP211" s="23">
        <f t="shared" si="22"/>
        <v>1.6399452348537897</v>
      </c>
      <c r="BQ211" s="23">
        <f t="shared" si="22"/>
        <v>0</v>
      </c>
      <c r="BR211" s="23">
        <f t="shared" si="22"/>
        <v>0.17840519714327729</v>
      </c>
      <c r="BS211" s="23">
        <f t="shared" si="22"/>
        <v>0.15844200149498069</v>
      </c>
      <c r="BT211" s="23">
        <f t="shared" si="22"/>
        <v>0.94505992392979898</v>
      </c>
      <c r="BU211" s="23">
        <f t="shared" si="22"/>
        <v>0.14580418089295696</v>
      </c>
      <c r="BV211" s="23">
        <f t="shared" si="22"/>
        <v>0.74781367483647287</v>
      </c>
      <c r="BW211" s="23">
        <f t="shared" si="22"/>
        <v>0.76778520940342754</v>
      </c>
      <c r="BX211" s="23">
        <f t="shared" si="22"/>
        <v>0.27802423618055627</v>
      </c>
      <c r="BY211" s="23">
        <f t="shared" si="22"/>
        <v>0</v>
      </c>
      <c r="BZ211" s="23">
        <f t="shared" si="22"/>
        <v>0</v>
      </c>
      <c r="CA211" s="23">
        <f t="shared" si="22"/>
        <v>0.14743919691261187</v>
      </c>
    </row>
    <row r="212" spans="1:79" ht="15.75" customHeight="1" x14ac:dyDescent="0.2">
      <c r="A212" s="30" t="s">
        <v>98</v>
      </c>
      <c r="B212" s="23">
        <f t="shared" si="2"/>
        <v>0.20541143380733276</v>
      </c>
      <c r="C212" s="23">
        <f t="shared" si="23"/>
        <v>0.10779834751926633</v>
      </c>
      <c r="D212" s="23">
        <f t="shared" si="23"/>
        <v>0.11808016033704487</v>
      </c>
      <c r="E212" s="23">
        <f t="shared" si="23"/>
        <v>0.11808016033704487</v>
      </c>
      <c r="F212" s="23">
        <f t="shared" si="23"/>
        <v>0.14729605596127371</v>
      </c>
      <c r="G212" s="23">
        <f t="shared" si="23"/>
        <v>7.0088602449736914E-2</v>
      </c>
      <c r="H212" s="23">
        <f t="shared" si="23"/>
        <v>0.16236760461955146</v>
      </c>
      <c r="I212" s="23">
        <f t="shared" si="23"/>
        <v>0.36313847411457051</v>
      </c>
      <c r="J212" s="23">
        <f t="shared" si="23"/>
        <v>0.16191533212423134</v>
      </c>
      <c r="K212" s="23">
        <f t="shared" si="23"/>
        <v>0.14105854057471814</v>
      </c>
      <c r="L212" s="23">
        <f t="shared" si="23"/>
        <v>0.26334245286501706</v>
      </c>
      <c r="M212" s="23">
        <f t="shared" si="23"/>
        <v>0</v>
      </c>
      <c r="N212" s="23">
        <f t="shared" si="23"/>
        <v>0.1196425386161394</v>
      </c>
      <c r="O212" s="23">
        <f t="shared" si="23"/>
        <v>0.13627410843988297</v>
      </c>
      <c r="P212" s="23">
        <f t="shared" si="23"/>
        <v>7.2843083113911453E-2</v>
      </c>
      <c r="Q212" s="23">
        <f t="shared" si="23"/>
        <v>0</v>
      </c>
      <c r="R212" s="23">
        <f t="shared" si="23"/>
        <v>0.134701668999713</v>
      </c>
      <c r="S212" s="23">
        <f t="shared" si="23"/>
        <v>0</v>
      </c>
      <c r="T212" s="23">
        <f t="shared" si="23"/>
        <v>0.28025249678794489</v>
      </c>
      <c r="U212" s="23">
        <f t="shared" si="23"/>
        <v>0</v>
      </c>
      <c r="V212" s="23">
        <f t="shared" si="23"/>
        <v>0.11808016033704487</v>
      </c>
      <c r="W212" s="23">
        <f t="shared" si="23"/>
        <v>0.2924222477029364</v>
      </c>
      <c r="X212" s="23">
        <f t="shared" si="23"/>
        <v>0.1196425386161394</v>
      </c>
      <c r="Y212" s="23">
        <f t="shared" si="23"/>
        <v>0.61518596931698744</v>
      </c>
      <c r="Z212" s="23">
        <f t="shared" si="23"/>
        <v>0</v>
      </c>
      <c r="AA212" s="23">
        <f t="shared" si="23"/>
        <v>0.106247727815777</v>
      </c>
      <c r="AB212" s="23">
        <f t="shared" si="23"/>
        <v>0.14195366185797814</v>
      </c>
      <c r="AC212" s="23">
        <f t="shared" si="23"/>
        <v>0.12386210337857362</v>
      </c>
      <c r="AD212" s="23">
        <f t="shared" si="23"/>
        <v>0.42981136195353387</v>
      </c>
      <c r="AE212" s="23">
        <f t="shared" si="23"/>
        <v>0.15795177122310261</v>
      </c>
      <c r="AF212" s="23">
        <f t="shared" si="23"/>
        <v>0.1325628550608052</v>
      </c>
      <c r="AG212" s="23">
        <f t="shared" si="23"/>
        <v>0.14441143263982253</v>
      </c>
      <c r="AH212" s="23">
        <f t="shared" si="23"/>
        <v>0</v>
      </c>
      <c r="AI212" s="23">
        <f t="shared" si="23"/>
        <v>0.13544805519718073</v>
      </c>
      <c r="AJ212" s="23">
        <f t="shared" si="23"/>
        <v>0.14729605596127371</v>
      </c>
      <c r="AK212" s="23">
        <f t="shared" si="23"/>
        <v>0.19841105861327987</v>
      </c>
      <c r="AL212" s="23">
        <f t="shared" si="23"/>
        <v>0.24975487917270373</v>
      </c>
      <c r="AM212" s="23">
        <f t="shared" si="23"/>
        <v>0</v>
      </c>
      <c r="AN212" s="23">
        <f t="shared" si="23"/>
        <v>0.14233718960701514</v>
      </c>
      <c r="AO212" s="23">
        <f t="shared" si="23"/>
        <v>0.1196425386161394</v>
      </c>
      <c r="AP212" s="23">
        <f t="shared" si="23"/>
        <v>0.22065636072006573</v>
      </c>
      <c r="AQ212" s="23">
        <f t="shared" si="23"/>
        <v>0.2225551826247133</v>
      </c>
      <c r="AR212" s="23">
        <f t="shared" si="23"/>
        <v>0.134701668999713</v>
      </c>
      <c r="AS212" s="23">
        <f t="shared" si="23"/>
        <v>0.13064501627081559</v>
      </c>
      <c r="AT212" s="23">
        <f t="shared" si="23"/>
        <v>1</v>
      </c>
      <c r="AU212" s="23">
        <f t="shared" si="23"/>
        <v>1.1173382304050123</v>
      </c>
      <c r="AV212" s="23">
        <f t="shared" si="23"/>
        <v>0.14053825403363221</v>
      </c>
      <c r="AW212" s="23">
        <f t="shared" si="23"/>
        <v>0.31104988802167549</v>
      </c>
      <c r="AX212" s="23">
        <f t="shared" si="23"/>
        <v>8.0841777233242068E-2</v>
      </c>
      <c r="AY212" s="23">
        <f t="shared" si="23"/>
        <v>0</v>
      </c>
      <c r="AZ212" s="23">
        <f t="shared" si="23"/>
        <v>0.24196100396827522</v>
      </c>
      <c r="BA212" s="23">
        <f t="shared" si="23"/>
        <v>0.12703637581572691</v>
      </c>
      <c r="BB212" s="23">
        <f t="shared" si="23"/>
        <v>0.11387603684789686</v>
      </c>
      <c r="BC212" s="23">
        <f t="shared" si="23"/>
        <v>0.14729605596127371</v>
      </c>
      <c r="BD212" s="23">
        <f t="shared" si="23"/>
        <v>0.42783207844704918</v>
      </c>
      <c r="BE212" s="23">
        <f t="shared" si="23"/>
        <v>0.11176187979191385</v>
      </c>
      <c r="BF212" s="23">
        <f t="shared" si="23"/>
        <v>0.21551208759826346</v>
      </c>
      <c r="BG212" s="23">
        <f t="shared" si="23"/>
        <v>0.16809743971722768</v>
      </c>
      <c r="BH212" s="23">
        <f t="shared" si="23"/>
        <v>8.3109863665426012E-2</v>
      </c>
      <c r="BI212" s="23">
        <f t="shared" si="23"/>
        <v>0.15008840968324913</v>
      </c>
      <c r="BJ212" s="23">
        <f t="shared" si="23"/>
        <v>0.11555120330432357</v>
      </c>
      <c r="BK212" s="23">
        <f t="shared" si="23"/>
        <v>0.17217006678987731</v>
      </c>
      <c r="BL212" s="23">
        <f t="shared" si="23"/>
        <v>0</v>
      </c>
      <c r="BM212" s="23">
        <f t="shared" si="23"/>
        <v>0</v>
      </c>
      <c r="BN212" s="23">
        <f t="shared" si="23"/>
        <v>0.134701668999713</v>
      </c>
      <c r="BO212" s="23">
        <f t="shared" si="22"/>
        <v>0.24210305036915714</v>
      </c>
      <c r="BP212" s="23">
        <f t="shared" si="22"/>
        <v>0.14156923809398617</v>
      </c>
      <c r="BQ212" s="23">
        <f t="shared" si="22"/>
        <v>0</v>
      </c>
      <c r="BR212" s="23">
        <f t="shared" si="22"/>
        <v>0.11808016033704487</v>
      </c>
      <c r="BS212" s="23">
        <f t="shared" si="22"/>
        <v>0.61518596931698744</v>
      </c>
      <c r="BT212" s="23">
        <f t="shared" si="22"/>
        <v>0.1196425386161394</v>
      </c>
      <c r="BU212" s="23">
        <f t="shared" si="22"/>
        <v>0.27969020085284885</v>
      </c>
      <c r="BV212" s="23">
        <f t="shared" si="22"/>
        <v>0.14690908216101636</v>
      </c>
      <c r="BW212" s="23">
        <f t="shared" si="22"/>
        <v>0.1570290616574827</v>
      </c>
      <c r="BX212" s="23">
        <f t="shared" si="22"/>
        <v>0.21472557622126801</v>
      </c>
      <c r="BY212" s="23">
        <f t="shared" si="22"/>
        <v>0</v>
      </c>
      <c r="BZ212" s="23">
        <f t="shared" si="22"/>
        <v>0</v>
      </c>
      <c r="CA212" s="23">
        <f t="shared" si="22"/>
        <v>0.35113309474270149</v>
      </c>
    </row>
    <row r="213" spans="1:79" ht="15.75" customHeight="1" x14ac:dyDescent="0.2">
      <c r="A213" s="30" t="s">
        <v>99</v>
      </c>
      <c r="B213" s="23">
        <f t="shared" si="2"/>
        <v>0.25120581933229036</v>
      </c>
      <c r="C213" s="23">
        <f t="shared" si="23"/>
        <v>0.11901704863259584</v>
      </c>
      <c r="D213" s="23">
        <f t="shared" si="23"/>
        <v>0.11532841602925459</v>
      </c>
      <c r="E213" s="23">
        <f t="shared" si="23"/>
        <v>0.11532841602925459</v>
      </c>
      <c r="F213" s="23">
        <f t="shared" si="23"/>
        <v>0.16888304008851918</v>
      </c>
      <c r="G213" s="23">
        <f t="shared" si="23"/>
        <v>6.6258932029052989E-2</v>
      </c>
      <c r="H213" s="23">
        <f t="shared" si="23"/>
        <v>0.1874032752029588</v>
      </c>
      <c r="I213" s="23">
        <f t="shared" si="23"/>
        <v>0.53625261122032097</v>
      </c>
      <c r="J213" s="23">
        <f t="shared" si="23"/>
        <v>0.15297516708340658</v>
      </c>
      <c r="K213" s="23">
        <f t="shared" si="23"/>
        <v>0.15560351890129279</v>
      </c>
      <c r="L213" s="23">
        <f t="shared" si="23"/>
        <v>0.33951562268874436</v>
      </c>
      <c r="M213" s="23">
        <f t="shared" si="23"/>
        <v>0</v>
      </c>
      <c r="N213" s="23">
        <f t="shared" si="23"/>
        <v>0.1288214264716408</v>
      </c>
      <c r="O213" s="23">
        <f t="shared" si="23"/>
        <v>0.14790617284183061</v>
      </c>
      <c r="P213" s="23">
        <f t="shared" si="23"/>
        <v>7.340141988233731E-2</v>
      </c>
      <c r="Q213" s="23">
        <f t="shared" si="23"/>
        <v>0</v>
      </c>
      <c r="R213" s="23">
        <f t="shared" si="23"/>
        <v>0.14536973456285479</v>
      </c>
      <c r="S213" s="23">
        <f t="shared" si="23"/>
        <v>0</v>
      </c>
      <c r="T213" s="23">
        <f t="shared" si="23"/>
        <v>0.35993861382863968</v>
      </c>
      <c r="U213" s="23">
        <f t="shared" si="23"/>
        <v>0</v>
      </c>
      <c r="V213" s="23">
        <f t="shared" si="23"/>
        <v>0.11532841602925459</v>
      </c>
      <c r="W213" s="23">
        <f t="shared" si="23"/>
        <v>0.35451241438350806</v>
      </c>
      <c r="X213" s="23">
        <f t="shared" si="23"/>
        <v>0.1288214264716408</v>
      </c>
      <c r="Y213" s="23">
        <f t="shared" si="23"/>
        <v>1.3508621851140366</v>
      </c>
      <c r="Z213" s="23">
        <f t="shared" si="23"/>
        <v>0</v>
      </c>
      <c r="AA213" s="23">
        <f t="shared" si="23"/>
        <v>0.10218649495384305</v>
      </c>
      <c r="AB213" s="23">
        <f t="shared" si="23"/>
        <v>0.15609256169408312</v>
      </c>
      <c r="AC213" s="23">
        <f t="shared" si="23"/>
        <v>0.13930404327620882</v>
      </c>
      <c r="AD213" s="23">
        <f t="shared" si="23"/>
        <v>0.4910711904458554</v>
      </c>
      <c r="AE213" s="23">
        <f t="shared" si="23"/>
        <v>0.17207170030540853</v>
      </c>
      <c r="AF213" s="23">
        <f t="shared" si="23"/>
        <v>0.14359958868674103</v>
      </c>
      <c r="AG213" s="23">
        <f t="shared" si="23"/>
        <v>0.15844051640803647</v>
      </c>
      <c r="AH213" s="23">
        <f t="shared" si="23"/>
        <v>0</v>
      </c>
      <c r="AI213" s="23">
        <f t="shared" si="23"/>
        <v>0.15118313189147434</v>
      </c>
      <c r="AJ213" s="23">
        <f t="shared" si="23"/>
        <v>0.16888304008851918</v>
      </c>
      <c r="AK213" s="23">
        <f t="shared" si="23"/>
        <v>0.16951294887460475</v>
      </c>
      <c r="AL213" s="23">
        <f t="shared" si="23"/>
        <v>0.32052035888696501</v>
      </c>
      <c r="AM213" s="23">
        <f t="shared" si="23"/>
        <v>0</v>
      </c>
      <c r="AN213" s="23">
        <f t="shared" si="23"/>
        <v>0.15761390389571378</v>
      </c>
      <c r="AO213" s="23">
        <f t="shared" si="23"/>
        <v>0.1288214264716408</v>
      </c>
      <c r="AP213" s="23">
        <f t="shared" si="23"/>
        <v>0.27483869797790922</v>
      </c>
      <c r="AQ213" s="23">
        <f t="shared" si="23"/>
        <v>0.24308661208482987</v>
      </c>
      <c r="AR213" s="23">
        <f t="shared" si="23"/>
        <v>0.14536973456285479</v>
      </c>
      <c r="AS213" s="23">
        <f t="shared" si="23"/>
        <v>0.14356889007514431</v>
      </c>
      <c r="AT213" s="23">
        <f t="shared" si="23"/>
        <v>1.1173382304050123</v>
      </c>
      <c r="AU213" s="23">
        <f t="shared" si="23"/>
        <v>1</v>
      </c>
      <c r="AV213" s="23">
        <f t="shared" si="23"/>
        <v>0.15869151742693735</v>
      </c>
      <c r="AW213" s="23">
        <f t="shared" si="23"/>
        <v>0.39961636761972108</v>
      </c>
      <c r="AX213" s="23">
        <f t="shared" si="23"/>
        <v>7.9302007711814088E-2</v>
      </c>
      <c r="AY213" s="23">
        <f t="shared" si="23"/>
        <v>0</v>
      </c>
      <c r="AZ213" s="23">
        <f t="shared" si="23"/>
        <v>0.27902024818997534</v>
      </c>
      <c r="BA213" s="23">
        <f t="shared" si="23"/>
        <v>0.14069762753794299</v>
      </c>
      <c r="BB213" s="23">
        <f t="shared" si="23"/>
        <v>0.10683472218364343</v>
      </c>
      <c r="BC213" s="23">
        <f t="shared" si="23"/>
        <v>0.16888304008851918</v>
      </c>
      <c r="BD213" s="23">
        <f t="shared" si="23"/>
        <v>0.64558307532031189</v>
      </c>
      <c r="BE213" s="23">
        <f t="shared" si="23"/>
        <v>0.11994837409711136</v>
      </c>
      <c r="BF213" s="23">
        <f t="shared" si="23"/>
        <v>0.26678409373790513</v>
      </c>
      <c r="BG213" s="23">
        <f t="shared" si="23"/>
        <v>0.19652465944732278</v>
      </c>
      <c r="BH213" s="23">
        <f t="shared" si="23"/>
        <v>7.8959651198161729E-2</v>
      </c>
      <c r="BI213" s="23">
        <f t="shared" si="23"/>
        <v>0.16634246016656751</v>
      </c>
      <c r="BJ213" s="23">
        <f t="shared" si="23"/>
        <v>0.12359613432478742</v>
      </c>
      <c r="BK213" s="23">
        <f t="shared" si="23"/>
        <v>0.19492080802499856</v>
      </c>
      <c r="BL213" s="23">
        <f t="shared" si="23"/>
        <v>0</v>
      </c>
      <c r="BM213" s="23">
        <f t="shared" si="23"/>
        <v>0</v>
      </c>
      <c r="BN213" s="23">
        <f t="shared" ref="BN213:CA216" si="24">IF(BN129&gt;=0, IF(BN129 = 0,  1, 1/BN129*$B$165), 0)</f>
        <v>0.14536973456285479</v>
      </c>
      <c r="BO213" s="23">
        <f t="shared" si="24"/>
        <v>0.27529631844895014</v>
      </c>
      <c r="BP213" s="23">
        <f t="shared" si="24"/>
        <v>0.15632446058885821</v>
      </c>
      <c r="BQ213" s="23">
        <f t="shared" si="24"/>
        <v>0</v>
      </c>
      <c r="BR213" s="23">
        <f t="shared" si="24"/>
        <v>0.11532841602925459</v>
      </c>
      <c r="BS213" s="23">
        <f t="shared" si="24"/>
        <v>1.3508621851140366</v>
      </c>
      <c r="BT213" s="23">
        <f t="shared" si="24"/>
        <v>0.1288214264716408</v>
      </c>
      <c r="BU213" s="23">
        <f t="shared" si="24"/>
        <v>0.34581984750670464</v>
      </c>
      <c r="BV213" s="23">
        <f t="shared" si="24"/>
        <v>0.16620915620836521</v>
      </c>
      <c r="BW213" s="23">
        <f t="shared" si="24"/>
        <v>0.17655415187069776</v>
      </c>
      <c r="BX213" s="23">
        <f t="shared" si="24"/>
        <v>0.2634655055661887</v>
      </c>
      <c r="BY213" s="23">
        <f t="shared" si="24"/>
        <v>0</v>
      </c>
      <c r="BZ213" s="23">
        <f t="shared" si="24"/>
        <v>0</v>
      </c>
      <c r="CA213" s="23">
        <f t="shared" si="24"/>
        <v>0.46949858816969747</v>
      </c>
    </row>
    <row r="214" spans="1:79" ht="15.75" customHeight="1" x14ac:dyDescent="0.2">
      <c r="A214" s="30" t="s">
        <v>100</v>
      </c>
      <c r="B214" s="23">
        <f t="shared" si="2"/>
        <v>0.37957198112618773</v>
      </c>
      <c r="C214" s="23">
        <f t="shared" ref="C214:BN217" si="25">IF(C130&gt;=0, IF(C130 = 0,  1, 1/C130*$B$165), 0)</f>
        <v>0.26262914711580365</v>
      </c>
      <c r="D214" s="23">
        <f t="shared" si="25"/>
        <v>0.14303813383679378</v>
      </c>
      <c r="E214" s="23">
        <f t="shared" si="25"/>
        <v>0.14303813383679378</v>
      </c>
      <c r="F214" s="23">
        <f t="shared" si="25"/>
        <v>1.0656842983027901</v>
      </c>
      <c r="G214" s="23">
        <f t="shared" si="25"/>
        <v>0.1060037480089428</v>
      </c>
      <c r="H214" s="23">
        <f t="shared" si="25"/>
        <v>1.0325098191178561</v>
      </c>
      <c r="I214" s="23">
        <f t="shared" si="25"/>
        <v>0.20883484622172518</v>
      </c>
      <c r="J214" s="23">
        <f t="shared" si="25"/>
        <v>8.9231512191821225E-2</v>
      </c>
      <c r="K214" s="23">
        <f t="shared" si="25"/>
        <v>0.67038212036858313</v>
      </c>
      <c r="L214" s="23">
        <f t="shared" si="25"/>
        <v>0.22440971052786288</v>
      </c>
      <c r="M214" s="23">
        <f t="shared" si="25"/>
        <v>0</v>
      </c>
      <c r="N214" s="23">
        <f t="shared" si="25"/>
        <v>0.40918244601308551</v>
      </c>
      <c r="O214" s="23">
        <f t="shared" si="25"/>
        <v>0.46023405165934989</v>
      </c>
      <c r="P214" s="23">
        <f t="shared" si="25"/>
        <v>0.1273332673274645</v>
      </c>
      <c r="Q214" s="23">
        <f t="shared" si="25"/>
        <v>0</v>
      </c>
      <c r="R214" s="23">
        <f t="shared" si="25"/>
        <v>0.41385517978577269</v>
      </c>
      <c r="S214" s="23">
        <f t="shared" si="25"/>
        <v>0</v>
      </c>
      <c r="T214" s="23">
        <f t="shared" si="25"/>
        <v>0.19910200714021112</v>
      </c>
      <c r="U214" s="23">
        <f t="shared" si="25"/>
        <v>0</v>
      </c>
      <c r="V214" s="23">
        <f t="shared" si="25"/>
        <v>0.14303813383679378</v>
      </c>
      <c r="W214" s="23">
        <f t="shared" si="25"/>
        <v>0.16622044979859063</v>
      </c>
      <c r="X214" s="23">
        <f t="shared" si="25"/>
        <v>0.40918244601308551</v>
      </c>
      <c r="Y214" s="23">
        <f t="shared" si="25"/>
        <v>0.17920904903936261</v>
      </c>
      <c r="Z214" s="23">
        <f t="shared" si="25"/>
        <v>0</v>
      </c>
      <c r="AA214" s="23">
        <f t="shared" si="25"/>
        <v>0.12236134840364236</v>
      </c>
      <c r="AB214" s="23">
        <f t="shared" si="25"/>
        <v>0.59416111726669463</v>
      </c>
      <c r="AC214" s="23">
        <f t="shared" si="25"/>
        <v>0.42924839748116389</v>
      </c>
      <c r="AD214" s="23">
        <f t="shared" si="25"/>
        <v>0.14293884509613111</v>
      </c>
      <c r="AE214" s="23">
        <f t="shared" si="25"/>
        <v>0.39040048753934653</v>
      </c>
      <c r="AF214" s="23">
        <f t="shared" si="25"/>
        <v>0.45402942446773004</v>
      </c>
      <c r="AG214" s="23">
        <f t="shared" si="25"/>
        <v>0.53504921842559239</v>
      </c>
      <c r="AH214" s="23">
        <f t="shared" si="25"/>
        <v>0</v>
      </c>
      <c r="AI214" s="23">
        <f t="shared" si="25"/>
        <v>1.6494915531112015</v>
      </c>
      <c r="AJ214" s="23">
        <f t="shared" si="25"/>
        <v>1.0656842983027901</v>
      </c>
      <c r="AK214" s="23">
        <f t="shared" si="25"/>
        <v>9.3054658069503832E-2</v>
      </c>
      <c r="AL214" s="23">
        <f t="shared" si="25"/>
        <v>0.25311414572989832</v>
      </c>
      <c r="AM214" s="23">
        <f t="shared" si="25"/>
        <v>0</v>
      </c>
      <c r="AN214" s="23">
        <f t="shared" si="25"/>
        <v>0.7466426497887928</v>
      </c>
      <c r="AO214" s="23">
        <f t="shared" si="25"/>
        <v>0.40918244601308551</v>
      </c>
      <c r="AP214" s="23">
        <f t="shared" si="25"/>
        <v>0.29848837862871064</v>
      </c>
      <c r="AQ214" s="23">
        <f t="shared" si="25"/>
        <v>0.14196067761444695</v>
      </c>
      <c r="AR214" s="23">
        <f t="shared" si="25"/>
        <v>0.41385517978577269</v>
      </c>
      <c r="AS214" s="23">
        <f t="shared" si="25"/>
        <v>0.70429646896453979</v>
      </c>
      <c r="AT214" s="23">
        <f t="shared" si="25"/>
        <v>0.14053825403363221</v>
      </c>
      <c r="AU214" s="23">
        <f t="shared" si="25"/>
        <v>0.15869151742693735</v>
      </c>
      <c r="AV214" s="23">
        <f t="shared" si="25"/>
        <v>1</v>
      </c>
      <c r="AW214" s="23">
        <f t="shared" si="25"/>
        <v>0.17998267935414661</v>
      </c>
      <c r="AX214" s="23">
        <f t="shared" si="25"/>
        <v>0.12177327067960032</v>
      </c>
      <c r="AY214" s="23">
        <f t="shared" si="25"/>
        <v>0</v>
      </c>
      <c r="AZ214" s="23">
        <f t="shared" si="25"/>
        <v>0.1611727249412189</v>
      </c>
      <c r="BA214" s="23">
        <f t="shared" si="25"/>
        <v>1.0277343775850374</v>
      </c>
      <c r="BB214" s="23">
        <f t="shared" si="25"/>
        <v>0.10700787264425424</v>
      </c>
      <c r="BC214" s="23">
        <f t="shared" si="25"/>
        <v>1.0656842983027901</v>
      </c>
      <c r="BD214" s="23">
        <f t="shared" si="25"/>
        <v>0.20925492204822074</v>
      </c>
      <c r="BE214" s="23">
        <f t="shared" si="25"/>
        <v>0.36656787509010164</v>
      </c>
      <c r="BF214" s="23">
        <f t="shared" si="25"/>
        <v>0.34248035150099582</v>
      </c>
      <c r="BG214" s="23">
        <f t="shared" si="25"/>
        <v>0.7243614889990041</v>
      </c>
      <c r="BH214" s="23">
        <f t="shared" si="25"/>
        <v>0.10320401449136793</v>
      </c>
      <c r="BI214" s="23">
        <f t="shared" si="25"/>
        <v>0.62097363497845737</v>
      </c>
      <c r="BJ214" s="23">
        <f t="shared" si="25"/>
        <v>0.35529818936892404</v>
      </c>
      <c r="BK214" s="23">
        <f t="shared" si="25"/>
        <v>0.55381642450230339</v>
      </c>
      <c r="BL214" s="23">
        <f t="shared" si="25"/>
        <v>0</v>
      </c>
      <c r="BM214" s="23">
        <f t="shared" si="25"/>
        <v>0</v>
      </c>
      <c r="BN214" s="23">
        <f t="shared" si="25"/>
        <v>0.41385517978577269</v>
      </c>
      <c r="BO214" s="23">
        <f t="shared" si="24"/>
        <v>0.15505530629314906</v>
      </c>
      <c r="BP214" s="23">
        <f t="shared" si="24"/>
        <v>0.6861749132667031</v>
      </c>
      <c r="BQ214" s="23">
        <f t="shared" si="24"/>
        <v>0</v>
      </c>
      <c r="BR214" s="23">
        <f t="shared" si="24"/>
        <v>0.14303813383679378</v>
      </c>
      <c r="BS214" s="23">
        <f t="shared" si="24"/>
        <v>0.17920904903936261</v>
      </c>
      <c r="BT214" s="23">
        <f t="shared" si="24"/>
        <v>0.40918244601308551</v>
      </c>
      <c r="BU214" s="23">
        <f t="shared" si="24"/>
        <v>0.17854345455313259</v>
      </c>
      <c r="BV214" s="23">
        <f t="shared" si="24"/>
        <v>2.4288336898061815</v>
      </c>
      <c r="BW214" s="23">
        <f t="shared" si="24"/>
        <v>0.75943509945338861</v>
      </c>
      <c r="BX214" s="23">
        <f t="shared" si="24"/>
        <v>0.3887680985283426</v>
      </c>
      <c r="BY214" s="23">
        <f t="shared" si="24"/>
        <v>0</v>
      </c>
      <c r="BZ214" s="23">
        <f t="shared" si="24"/>
        <v>0</v>
      </c>
      <c r="CA214" s="23">
        <f t="shared" si="24"/>
        <v>0.17703501019776816</v>
      </c>
    </row>
    <row r="215" spans="1:79" ht="15.75" customHeight="1" x14ac:dyDescent="0.2">
      <c r="A215" s="30" t="s">
        <v>101</v>
      </c>
      <c r="B215" s="23">
        <f t="shared" si="2"/>
        <v>0.34039578645579616</v>
      </c>
      <c r="C215" s="23">
        <f t="shared" si="25"/>
        <v>0.16010281833367263</v>
      </c>
      <c r="D215" s="23">
        <f t="shared" si="25"/>
        <v>9.4040394237361977E-2</v>
      </c>
      <c r="E215" s="23">
        <f t="shared" si="25"/>
        <v>9.4040394237361977E-2</v>
      </c>
      <c r="F215" s="23">
        <f t="shared" si="25"/>
        <v>0.20830021508167884</v>
      </c>
      <c r="G215" s="23">
        <f t="shared" si="25"/>
        <v>7.4101545311308942E-2</v>
      </c>
      <c r="H215" s="23">
        <f t="shared" si="25"/>
        <v>0.2131498266900895</v>
      </c>
      <c r="I215" s="23">
        <f t="shared" si="25"/>
        <v>0.71586570177028819</v>
      </c>
      <c r="J215" s="23">
        <f t="shared" si="25"/>
        <v>0.16746521889647265</v>
      </c>
      <c r="K215" s="23">
        <f t="shared" si="25"/>
        <v>0.15598103591911611</v>
      </c>
      <c r="L215" s="23">
        <f t="shared" si="25"/>
        <v>0.90828757791164738</v>
      </c>
      <c r="M215" s="23">
        <f t="shared" si="25"/>
        <v>0</v>
      </c>
      <c r="N215" s="23">
        <f t="shared" si="25"/>
        <v>0.12839410378851987</v>
      </c>
      <c r="O215" s="23">
        <f t="shared" si="25"/>
        <v>0.14260934376104289</v>
      </c>
      <c r="P215" s="23">
        <f t="shared" si="25"/>
        <v>7.6307298524243325E-2</v>
      </c>
      <c r="Q215" s="23">
        <f t="shared" si="25"/>
        <v>0</v>
      </c>
      <c r="R215" s="23">
        <f t="shared" si="25"/>
        <v>0.13846385883206289</v>
      </c>
      <c r="S215" s="23">
        <f t="shared" si="25"/>
        <v>0</v>
      </c>
      <c r="T215" s="23">
        <f t="shared" si="25"/>
        <v>1.8161912421865913</v>
      </c>
      <c r="U215" s="23">
        <f t="shared" si="25"/>
        <v>0</v>
      </c>
      <c r="V215" s="23">
        <f t="shared" si="25"/>
        <v>9.4040394237361977E-2</v>
      </c>
      <c r="W215" s="23">
        <f t="shared" si="25"/>
        <v>1.7051239847606381</v>
      </c>
      <c r="X215" s="23">
        <f t="shared" si="25"/>
        <v>0.12839410378851987</v>
      </c>
      <c r="Y215" s="23">
        <f t="shared" si="25"/>
        <v>0.46368327952636174</v>
      </c>
      <c r="Z215" s="23">
        <f t="shared" si="25"/>
        <v>0</v>
      </c>
      <c r="AA215" s="23">
        <f t="shared" si="25"/>
        <v>8.3535445201732603E-2</v>
      </c>
      <c r="AB215" s="23">
        <f t="shared" si="25"/>
        <v>0.15404867834882294</v>
      </c>
      <c r="AC215" s="23">
        <f t="shared" si="25"/>
        <v>0.18539206490335733</v>
      </c>
      <c r="AD215" s="23">
        <f t="shared" si="25"/>
        <v>0.64498521041176626</v>
      </c>
      <c r="AE215" s="23">
        <f t="shared" si="25"/>
        <v>0.15590500379583877</v>
      </c>
      <c r="AF215" s="23">
        <f t="shared" si="25"/>
        <v>0.13941623349920415</v>
      </c>
      <c r="AG215" s="23">
        <f t="shared" si="25"/>
        <v>0.15368278753702888</v>
      </c>
      <c r="AH215" s="23">
        <f t="shared" si="25"/>
        <v>0</v>
      </c>
      <c r="AI215" s="23">
        <f t="shared" si="25"/>
        <v>0.16433556168250676</v>
      </c>
      <c r="AJ215" s="23">
        <f t="shared" si="25"/>
        <v>0.20830021508167884</v>
      </c>
      <c r="AK215" s="23">
        <f t="shared" si="25"/>
        <v>0.12255134149860689</v>
      </c>
      <c r="AL215" s="23">
        <f t="shared" si="25"/>
        <v>0.62153363906229964</v>
      </c>
      <c r="AM215" s="23">
        <f t="shared" si="25"/>
        <v>0</v>
      </c>
      <c r="AN215" s="23">
        <f t="shared" si="25"/>
        <v>0.15955808489104389</v>
      </c>
      <c r="AO215" s="23">
        <f t="shared" si="25"/>
        <v>0.12839410378851987</v>
      </c>
      <c r="AP215" s="23">
        <f t="shared" si="25"/>
        <v>0.45302056424932902</v>
      </c>
      <c r="AQ215" s="23">
        <f t="shared" si="25"/>
        <v>0.47182284400862257</v>
      </c>
      <c r="AR215" s="23">
        <f t="shared" si="25"/>
        <v>0.13846385883206289</v>
      </c>
      <c r="AS215" s="23">
        <f t="shared" si="25"/>
        <v>0.14807252529645304</v>
      </c>
      <c r="AT215" s="23">
        <f t="shared" si="25"/>
        <v>0.31104988802167549</v>
      </c>
      <c r="AU215" s="23">
        <f t="shared" si="25"/>
        <v>0.39961636761972108</v>
      </c>
      <c r="AV215" s="23">
        <f t="shared" si="25"/>
        <v>0.17998267935414661</v>
      </c>
      <c r="AW215" s="23">
        <f t="shared" si="25"/>
        <v>1</v>
      </c>
      <c r="AX215" s="23">
        <f t="shared" si="25"/>
        <v>7.270663459498497E-2</v>
      </c>
      <c r="AY215" s="23">
        <f t="shared" si="25"/>
        <v>0</v>
      </c>
      <c r="AZ215" s="23">
        <f t="shared" si="25"/>
        <v>0.77938088114157555</v>
      </c>
      <c r="BA215" s="23">
        <f t="shared" si="25"/>
        <v>0.15324341255122789</v>
      </c>
      <c r="BB215" s="23">
        <f t="shared" si="25"/>
        <v>8.4554429899292807E-2</v>
      </c>
      <c r="BC215" s="23">
        <f t="shared" si="25"/>
        <v>0.20830021508167884</v>
      </c>
      <c r="BD215" s="23">
        <f t="shared" si="25"/>
        <v>0.38413256517018202</v>
      </c>
      <c r="BE215" s="23">
        <f t="shared" si="25"/>
        <v>0.1216953486105524</v>
      </c>
      <c r="BF215" s="23">
        <f t="shared" si="25"/>
        <v>0.37664909631729482</v>
      </c>
      <c r="BG215" s="23">
        <f t="shared" si="25"/>
        <v>0.23937640218791939</v>
      </c>
      <c r="BH215" s="23">
        <f t="shared" si="25"/>
        <v>6.6523896781025313E-2</v>
      </c>
      <c r="BI215" s="23">
        <f t="shared" si="25"/>
        <v>0.1635775667905178</v>
      </c>
      <c r="BJ215" s="23">
        <f t="shared" si="25"/>
        <v>0.12228269953968651</v>
      </c>
      <c r="BK215" s="23">
        <f t="shared" si="25"/>
        <v>0.18913694949870896</v>
      </c>
      <c r="BL215" s="23">
        <f t="shared" si="25"/>
        <v>0</v>
      </c>
      <c r="BM215" s="23">
        <f t="shared" si="25"/>
        <v>0</v>
      </c>
      <c r="BN215" s="23">
        <f t="shared" si="25"/>
        <v>0.13846385883206289</v>
      </c>
      <c r="BO215" s="23">
        <f t="shared" si="24"/>
        <v>0.69231806066163015</v>
      </c>
      <c r="BP215" s="23">
        <f t="shared" si="24"/>
        <v>0.15699055951904634</v>
      </c>
      <c r="BQ215" s="23">
        <f t="shared" si="24"/>
        <v>0</v>
      </c>
      <c r="BR215" s="23">
        <f t="shared" si="24"/>
        <v>9.4040394237361977E-2</v>
      </c>
      <c r="BS215" s="23">
        <f t="shared" si="24"/>
        <v>0.46368327952636174</v>
      </c>
      <c r="BT215" s="23">
        <f t="shared" si="24"/>
        <v>0.12839410378851987</v>
      </c>
      <c r="BU215" s="23">
        <f t="shared" si="24"/>
        <v>2.475053394644573</v>
      </c>
      <c r="BV215" s="23">
        <f t="shared" si="24"/>
        <v>0.18314044931757964</v>
      </c>
      <c r="BW215" s="23">
        <f t="shared" si="24"/>
        <v>0.17842385650299813</v>
      </c>
      <c r="BX215" s="23">
        <f t="shared" si="24"/>
        <v>0.31450941560649787</v>
      </c>
      <c r="BY215" s="23">
        <f t="shared" si="24"/>
        <v>0</v>
      </c>
      <c r="BZ215" s="23">
        <f t="shared" si="24"/>
        <v>0</v>
      </c>
      <c r="CA215" s="23">
        <f t="shared" si="24"/>
        <v>2.6828459775936975</v>
      </c>
    </row>
    <row r="216" spans="1:79" ht="15.75" customHeight="1" x14ac:dyDescent="0.2">
      <c r="A216" s="30" t="s">
        <v>102</v>
      </c>
      <c r="B216" s="23">
        <f t="shared" si="2"/>
        <v>9.2440148329214683E-2</v>
      </c>
      <c r="C216" s="23">
        <f t="shared" si="25"/>
        <v>0.12179718681116833</v>
      </c>
      <c r="D216" s="23">
        <f t="shared" si="25"/>
        <v>0.25330907742021996</v>
      </c>
      <c r="E216" s="23">
        <f t="shared" si="25"/>
        <v>0.25330907742021996</v>
      </c>
      <c r="F216" s="23">
        <f t="shared" si="25"/>
        <v>0.11105218223281556</v>
      </c>
      <c r="G216" s="23">
        <f t="shared" si="25"/>
        <v>0.38225642270594384</v>
      </c>
      <c r="H216" s="23">
        <f t="shared" si="25"/>
        <v>0.11033785699422992</v>
      </c>
      <c r="I216" s="23">
        <f t="shared" si="25"/>
        <v>7.9323517001667593E-2</v>
      </c>
      <c r="J216" s="23">
        <f t="shared" si="25"/>
        <v>8.8349740562393725E-2</v>
      </c>
      <c r="K216" s="23">
        <f t="shared" si="25"/>
        <v>0.13591857376777011</v>
      </c>
      <c r="L216" s="23">
        <f t="shared" si="25"/>
        <v>7.8966885540164788E-2</v>
      </c>
      <c r="M216" s="23">
        <f t="shared" si="25"/>
        <v>0</v>
      </c>
      <c r="N216" s="23">
        <f t="shared" si="25"/>
        <v>0.16748840156567724</v>
      </c>
      <c r="O216" s="23">
        <f t="shared" si="25"/>
        <v>0.14748595076649609</v>
      </c>
      <c r="P216" s="23">
        <f t="shared" si="25"/>
        <v>0.66647212139684175</v>
      </c>
      <c r="Q216" s="23">
        <f t="shared" si="25"/>
        <v>0</v>
      </c>
      <c r="R216" s="23">
        <f t="shared" si="25"/>
        <v>0.1519339649127818</v>
      </c>
      <c r="S216" s="23">
        <f t="shared" si="25"/>
        <v>0</v>
      </c>
      <c r="T216" s="23">
        <f t="shared" si="25"/>
        <v>7.5566745989960979E-2</v>
      </c>
      <c r="U216" s="23">
        <f t="shared" si="25"/>
        <v>0</v>
      </c>
      <c r="V216" s="23">
        <f t="shared" si="25"/>
        <v>0.25330907742021996</v>
      </c>
      <c r="W216" s="23">
        <f t="shared" si="25"/>
        <v>7.032911113762777E-2</v>
      </c>
      <c r="X216" s="23">
        <f t="shared" si="25"/>
        <v>0.16748840156567724</v>
      </c>
      <c r="Y216" s="23">
        <f t="shared" si="25"/>
        <v>8.0147342952046063E-2</v>
      </c>
      <c r="Z216" s="23">
        <f t="shared" si="25"/>
        <v>0</v>
      </c>
      <c r="AA216" s="23">
        <f t="shared" si="25"/>
        <v>0.33671482827354177</v>
      </c>
      <c r="AB216" s="23">
        <f t="shared" si="25"/>
        <v>0.13723955463323842</v>
      </c>
      <c r="AC216" s="23">
        <f t="shared" si="25"/>
        <v>0.11506855746022907</v>
      </c>
      <c r="AD216" s="23">
        <f t="shared" si="25"/>
        <v>6.8276581156975852E-2</v>
      </c>
      <c r="AE216" s="23">
        <f t="shared" si="25"/>
        <v>0.13393468132880723</v>
      </c>
      <c r="AF216" s="23">
        <f t="shared" si="25"/>
        <v>0.15126202381118234</v>
      </c>
      <c r="AG216" s="23">
        <f t="shared" si="25"/>
        <v>0.13725481799820863</v>
      </c>
      <c r="AH216" s="23">
        <f t="shared" si="25"/>
        <v>0</v>
      </c>
      <c r="AI216" s="23">
        <f t="shared" si="25"/>
        <v>0.13033196390538204</v>
      </c>
      <c r="AJ216" s="23">
        <f t="shared" si="25"/>
        <v>0.11105218223281556</v>
      </c>
      <c r="AK216" s="23">
        <f t="shared" si="25"/>
        <v>0.12124091452186207</v>
      </c>
      <c r="AL216" s="23">
        <f t="shared" si="25"/>
        <v>8.2322409652747383E-2</v>
      </c>
      <c r="AM216" s="23">
        <f t="shared" si="25"/>
        <v>0</v>
      </c>
      <c r="AN216" s="23">
        <f t="shared" si="25"/>
        <v>0.1333811645489589</v>
      </c>
      <c r="AO216" s="23">
        <f t="shared" si="25"/>
        <v>0.16748840156567724</v>
      </c>
      <c r="AP216" s="23">
        <f t="shared" si="25"/>
        <v>8.6499350243678955E-2</v>
      </c>
      <c r="AQ216" s="23">
        <f t="shared" si="25"/>
        <v>7.0561322128059378E-2</v>
      </c>
      <c r="AR216" s="23">
        <f t="shared" si="25"/>
        <v>0.1519339649127818</v>
      </c>
      <c r="AS216" s="23">
        <f t="shared" si="25"/>
        <v>0.14283231032989613</v>
      </c>
      <c r="AT216" s="23">
        <f t="shared" si="25"/>
        <v>8.0841777233242068E-2</v>
      </c>
      <c r="AU216" s="23">
        <f t="shared" si="25"/>
        <v>7.9302007711814088E-2</v>
      </c>
      <c r="AV216" s="23">
        <f t="shared" si="25"/>
        <v>0.12177327067960032</v>
      </c>
      <c r="AW216" s="23">
        <f t="shared" si="25"/>
        <v>7.270663459498497E-2</v>
      </c>
      <c r="AX216" s="23">
        <f t="shared" si="25"/>
        <v>1</v>
      </c>
      <c r="AY216" s="23">
        <f t="shared" si="25"/>
        <v>0</v>
      </c>
      <c r="AZ216" s="23">
        <f t="shared" si="25"/>
        <v>7.1035368882851418E-2</v>
      </c>
      <c r="BA216" s="23">
        <f t="shared" si="25"/>
        <v>0.13812548899876026</v>
      </c>
      <c r="BB216" s="23">
        <f t="shared" si="25"/>
        <v>0.26207279603238809</v>
      </c>
      <c r="BC216" s="23">
        <f t="shared" si="25"/>
        <v>0.11105218223281556</v>
      </c>
      <c r="BD216" s="23">
        <f t="shared" si="25"/>
        <v>8.5536952144591366E-2</v>
      </c>
      <c r="BE216" s="23">
        <f t="shared" si="25"/>
        <v>0.18061176884307617</v>
      </c>
      <c r="BF216" s="23">
        <f t="shared" si="25"/>
        <v>9.0092158280938861E-2</v>
      </c>
      <c r="BG216" s="23">
        <f t="shared" si="25"/>
        <v>0.10432122026139284</v>
      </c>
      <c r="BH216" s="23">
        <f t="shared" si="25"/>
        <v>0.66981212564355708</v>
      </c>
      <c r="BI216" s="23">
        <f t="shared" si="25"/>
        <v>0.13033341618235023</v>
      </c>
      <c r="BJ216" s="23">
        <f t="shared" si="25"/>
        <v>0.17913983980545603</v>
      </c>
      <c r="BK216" s="23">
        <f t="shared" si="25"/>
        <v>0.11731455444829388</v>
      </c>
      <c r="BL216" s="23">
        <f t="shared" si="25"/>
        <v>0</v>
      </c>
      <c r="BM216" s="23">
        <f t="shared" si="25"/>
        <v>0</v>
      </c>
      <c r="BN216" s="23">
        <f t="shared" si="25"/>
        <v>0.1519339649127818</v>
      </c>
      <c r="BO216" s="23">
        <f t="shared" si="24"/>
        <v>7.0233609443083336E-2</v>
      </c>
      <c r="BP216" s="23">
        <f t="shared" si="24"/>
        <v>0.13517204946827518</v>
      </c>
      <c r="BQ216" s="23">
        <f t="shared" si="24"/>
        <v>0</v>
      </c>
      <c r="BR216" s="23">
        <f t="shared" si="24"/>
        <v>0.25330907742021996</v>
      </c>
      <c r="BS216" s="23">
        <f t="shared" si="24"/>
        <v>8.0147342952046063E-2</v>
      </c>
      <c r="BT216" s="23">
        <f t="shared" si="24"/>
        <v>0.16748840156567724</v>
      </c>
      <c r="BU216" s="23">
        <f t="shared" si="24"/>
        <v>7.2457419232316619E-2</v>
      </c>
      <c r="BV216" s="23">
        <f t="shared" si="24"/>
        <v>0.12055300380079823</v>
      </c>
      <c r="BW216" s="23">
        <f t="shared" si="24"/>
        <v>0.12240208518521062</v>
      </c>
      <c r="BX216" s="23">
        <f t="shared" si="24"/>
        <v>9.4471753800841468E-2</v>
      </c>
      <c r="BY216" s="23">
        <f t="shared" si="24"/>
        <v>0</v>
      </c>
      <c r="BZ216" s="23">
        <f t="shared" si="24"/>
        <v>0</v>
      </c>
      <c r="CA216" s="23">
        <f t="shared" si="24"/>
        <v>7.2706475866320813E-2</v>
      </c>
    </row>
    <row r="217" spans="1:79" ht="15.75" customHeight="1" x14ac:dyDescent="0.2">
      <c r="A217" s="30" t="s">
        <v>103</v>
      </c>
      <c r="B217" s="23">
        <f t="shared" si="2"/>
        <v>0</v>
      </c>
      <c r="C217" s="23">
        <f t="shared" si="25"/>
        <v>0</v>
      </c>
      <c r="D217" s="23">
        <f t="shared" si="25"/>
        <v>0</v>
      </c>
      <c r="E217" s="23">
        <f t="shared" si="25"/>
        <v>0</v>
      </c>
      <c r="F217" s="23">
        <f t="shared" si="25"/>
        <v>0</v>
      </c>
      <c r="G217" s="23">
        <f t="shared" si="25"/>
        <v>0</v>
      </c>
      <c r="H217" s="23">
        <f t="shared" si="25"/>
        <v>0</v>
      </c>
      <c r="I217" s="23">
        <f t="shared" si="25"/>
        <v>0</v>
      </c>
      <c r="J217" s="23">
        <f t="shared" si="25"/>
        <v>0</v>
      </c>
      <c r="K217" s="23">
        <f t="shared" si="25"/>
        <v>0</v>
      </c>
      <c r="L217" s="23">
        <f t="shared" si="25"/>
        <v>0</v>
      </c>
      <c r="M217" s="23">
        <f t="shared" si="25"/>
        <v>0</v>
      </c>
      <c r="N217" s="23">
        <f t="shared" si="25"/>
        <v>0</v>
      </c>
      <c r="O217" s="23">
        <f t="shared" si="25"/>
        <v>0</v>
      </c>
      <c r="P217" s="23">
        <f t="shared" si="25"/>
        <v>0</v>
      </c>
      <c r="Q217" s="23">
        <f t="shared" si="25"/>
        <v>0</v>
      </c>
      <c r="R217" s="23">
        <f t="shared" si="25"/>
        <v>0</v>
      </c>
      <c r="S217" s="23">
        <f t="shared" si="25"/>
        <v>0</v>
      </c>
      <c r="T217" s="23">
        <f t="shared" si="25"/>
        <v>0</v>
      </c>
      <c r="U217" s="23">
        <f t="shared" si="25"/>
        <v>0</v>
      </c>
      <c r="V217" s="23">
        <f t="shared" si="25"/>
        <v>0</v>
      </c>
      <c r="W217" s="23">
        <f t="shared" si="25"/>
        <v>0</v>
      </c>
      <c r="X217" s="23">
        <f t="shared" si="25"/>
        <v>0</v>
      </c>
      <c r="Y217" s="23">
        <f t="shared" si="25"/>
        <v>0</v>
      </c>
      <c r="Z217" s="23">
        <f t="shared" si="25"/>
        <v>0</v>
      </c>
      <c r="AA217" s="23">
        <f t="shared" si="25"/>
        <v>0</v>
      </c>
      <c r="AB217" s="23">
        <f t="shared" si="25"/>
        <v>0</v>
      </c>
      <c r="AC217" s="23">
        <f t="shared" si="25"/>
        <v>0</v>
      </c>
      <c r="AD217" s="23">
        <f t="shared" si="25"/>
        <v>0</v>
      </c>
      <c r="AE217" s="23">
        <f t="shared" si="25"/>
        <v>0</v>
      </c>
      <c r="AF217" s="23">
        <f t="shared" si="25"/>
        <v>0</v>
      </c>
      <c r="AG217" s="23">
        <f t="shared" si="25"/>
        <v>0</v>
      </c>
      <c r="AH217" s="23">
        <f t="shared" si="25"/>
        <v>0</v>
      </c>
      <c r="AI217" s="23">
        <f t="shared" si="25"/>
        <v>0</v>
      </c>
      <c r="AJ217" s="23">
        <f t="shared" si="25"/>
        <v>0</v>
      </c>
      <c r="AK217" s="23">
        <f t="shared" si="25"/>
        <v>0</v>
      </c>
      <c r="AL217" s="23">
        <f t="shared" si="25"/>
        <v>0</v>
      </c>
      <c r="AM217" s="23">
        <f t="shared" si="25"/>
        <v>0</v>
      </c>
      <c r="AN217" s="23">
        <f t="shared" si="25"/>
        <v>0</v>
      </c>
      <c r="AO217" s="23">
        <f t="shared" si="25"/>
        <v>0</v>
      </c>
      <c r="AP217" s="23">
        <f t="shared" si="25"/>
        <v>0</v>
      </c>
      <c r="AQ217" s="23">
        <f t="shared" si="25"/>
        <v>0</v>
      </c>
      <c r="AR217" s="23">
        <f t="shared" si="25"/>
        <v>0</v>
      </c>
      <c r="AS217" s="23">
        <f t="shared" si="25"/>
        <v>0</v>
      </c>
      <c r="AT217" s="23">
        <f t="shared" si="25"/>
        <v>0</v>
      </c>
      <c r="AU217" s="23">
        <f t="shared" si="25"/>
        <v>0</v>
      </c>
      <c r="AV217" s="23">
        <f t="shared" si="25"/>
        <v>0</v>
      </c>
      <c r="AW217" s="23">
        <f t="shared" si="25"/>
        <v>0</v>
      </c>
      <c r="AX217" s="23">
        <f t="shared" si="25"/>
        <v>0</v>
      </c>
      <c r="AY217" s="23">
        <f t="shared" si="25"/>
        <v>1</v>
      </c>
      <c r="AZ217" s="23">
        <f t="shared" si="25"/>
        <v>0</v>
      </c>
      <c r="BA217" s="23">
        <f t="shared" si="25"/>
        <v>0</v>
      </c>
      <c r="BB217" s="23">
        <f t="shared" si="25"/>
        <v>0</v>
      </c>
      <c r="BC217" s="23">
        <f t="shared" si="25"/>
        <v>0</v>
      </c>
      <c r="BD217" s="23">
        <f t="shared" si="25"/>
        <v>0</v>
      </c>
      <c r="BE217" s="23">
        <f t="shared" si="25"/>
        <v>0</v>
      </c>
      <c r="BF217" s="23">
        <f t="shared" si="25"/>
        <v>0</v>
      </c>
      <c r="BG217" s="23">
        <f t="shared" si="25"/>
        <v>0</v>
      </c>
      <c r="BH217" s="23">
        <f t="shared" si="25"/>
        <v>0</v>
      </c>
      <c r="BI217" s="23">
        <f t="shared" si="25"/>
        <v>0</v>
      </c>
      <c r="BJ217" s="23">
        <f t="shared" si="25"/>
        <v>0</v>
      </c>
      <c r="BK217" s="23">
        <f t="shared" si="25"/>
        <v>0</v>
      </c>
      <c r="BL217" s="23">
        <f t="shared" si="25"/>
        <v>0</v>
      </c>
      <c r="BM217" s="23">
        <f t="shared" si="25"/>
        <v>0</v>
      </c>
      <c r="BN217" s="23">
        <f t="shared" ref="BN217:CA220" si="26">IF(BN133&gt;=0, IF(BN133 = 0,  1, 1/BN133*$B$165), 0)</f>
        <v>0</v>
      </c>
      <c r="BO217" s="23">
        <f t="shared" si="26"/>
        <v>0</v>
      </c>
      <c r="BP217" s="23">
        <f t="shared" si="26"/>
        <v>0</v>
      </c>
      <c r="BQ217" s="23">
        <f t="shared" si="26"/>
        <v>0</v>
      </c>
      <c r="BR217" s="23">
        <f t="shared" si="26"/>
        <v>0</v>
      </c>
      <c r="BS217" s="23">
        <f t="shared" si="26"/>
        <v>0</v>
      </c>
      <c r="BT217" s="23">
        <f t="shared" si="26"/>
        <v>0</v>
      </c>
      <c r="BU217" s="23">
        <f t="shared" si="26"/>
        <v>0</v>
      </c>
      <c r="BV217" s="23">
        <f t="shared" si="26"/>
        <v>0</v>
      </c>
      <c r="BW217" s="23">
        <f t="shared" si="26"/>
        <v>0</v>
      </c>
      <c r="BX217" s="23">
        <f t="shared" si="26"/>
        <v>0</v>
      </c>
      <c r="BY217" s="23">
        <f t="shared" si="26"/>
        <v>0</v>
      </c>
      <c r="BZ217" s="23">
        <f t="shared" si="26"/>
        <v>0</v>
      </c>
      <c r="CA217" s="23">
        <f t="shared" si="26"/>
        <v>0</v>
      </c>
    </row>
    <row r="218" spans="1:79" ht="15.75" customHeight="1" x14ac:dyDescent="0.2">
      <c r="A218" s="30" t="s">
        <v>104</v>
      </c>
      <c r="B218" s="23">
        <f t="shared" si="2"/>
        <v>0.26582422951878493</v>
      </c>
      <c r="C218" s="23">
        <f t="shared" ref="C218:BN221" si="27">IF(C134&gt;=0, IF(C134 = 0,  1, 1/C134*$B$165), 0)</f>
        <v>0.17023752072747159</v>
      </c>
      <c r="D218" s="23">
        <f t="shared" si="27"/>
        <v>8.3940783346623082E-2</v>
      </c>
      <c r="E218" s="23">
        <f t="shared" si="27"/>
        <v>8.3940783346623082E-2</v>
      </c>
      <c r="F218" s="23">
        <f t="shared" si="27"/>
        <v>0.18754629087750962</v>
      </c>
      <c r="G218" s="23">
        <f t="shared" si="27"/>
        <v>8.0699316337782573E-2</v>
      </c>
      <c r="H218" s="23">
        <f t="shared" si="27"/>
        <v>0.18283174007949998</v>
      </c>
      <c r="I218" s="23">
        <f t="shared" si="27"/>
        <v>0.37443780529404935</v>
      </c>
      <c r="J218" s="23">
        <f t="shared" si="27"/>
        <v>0.19729402086636419</v>
      </c>
      <c r="K218" s="23">
        <f t="shared" si="27"/>
        <v>0.13696408660478304</v>
      </c>
      <c r="L218" s="23">
        <f t="shared" si="27"/>
        <v>0.49738179720133313</v>
      </c>
      <c r="M218" s="23">
        <f t="shared" si="27"/>
        <v>0</v>
      </c>
      <c r="N218" s="23">
        <f t="shared" si="27"/>
        <v>0.11629299961863862</v>
      </c>
      <c r="O218" s="23">
        <f t="shared" si="27"/>
        <v>0.12561235734830931</v>
      </c>
      <c r="P218" s="23">
        <f t="shared" si="27"/>
        <v>7.8477606099479222E-2</v>
      </c>
      <c r="Q218" s="23">
        <f t="shared" si="27"/>
        <v>0</v>
      </c>
      <c r="R218" s="23">
        <f t="shared" si="27"/>
        <v>0.12208736558174292</v>
      </c>
      <c r="S218" s="23">
        <f t="shared" si="27"/>
        <v>0</v>
      </c>
      <c r="T218" s="23">
        <f t="shared" si="27"/>
        <v>0.66263338477423617</v>
      </c>
      <c r="U218" s="23">
        <f t="shared" si="27"/>
        <v>0</v>
      </c>
      <c r="V218" s="23">
        <f t="shared" si="27"/>
        <v>8.3940783346623082E-2</v>
      </c>
      <c r="W218" s="23">
        <f t="shared" si="27"/>
        <v>1.2854632824751755</v>
      </c>
      <c r="X218" s="23">
        <f t="shared" si="27"/>
        <v>0.11629299961863862</v>
      </c>
      <c r="Y218" s="23">
        <f t="shared" si="27"/>
        <v>0.29606835883482496</v>
      </c>
      <c r="Z218" s="23">
        <f t="shared" si="27"/>
        <v>0</v>
      </c>
      <c r="AA218" s="23">
        <f t="shared" si="27"/>
        <v>7.5467406270429471E-2</v>
      </c>
      <c r="AB218" s="23">
        <f t="shared" si="27"/>
        <v>0.13489043820804958</v>
      </c>
      <c r="AC218" s="23">
        <f t="shared" si="27"/>
        <v>0.18440191326502259</v>
      </c>
      <c r="AD218" s="23">
        <f t="shared" si="27"/>
        <v>0.52138916127301194</v>
      </c>
      <c r="AE218" s="23">
        <f t="shared" si="27"/>
        <v>0.13321815239875279</v>
      </c>
      <c r="AF218" s="23">
        <f t="shared" si="27"/>
        <v>0.12351154925229239</v>
      </c>
      <c r="AG218" s="23">
        <f t="shared" si="27"/>
        <v>0.1339207332486633</v>
      </c>
      <c r="AH218" s="23">
        <f t="shared" si="27"/>
        <v>0</v>
      </c>
      <c r="AI218" s="23">
        <f t="shared" si="27"/>
        <v>0.14732657981901345</v>
      </c>
      <c r="AJ218" s="23">
        <f t="shared" si="27"/>
        <v>0.18754629087750962</v>
      </c>
      <c r="AK218" s="23">
        <f t="shared" si="27"/>
        <v>0.11481722252711399</v>
      </c>
      <c r="AL218" s="23">
        <f t="shared" si="27"/>
        <v>0.39777162850304854</v>
      </c>
      <c r="AM218" s="23">
        <f t="shared" si="27"/>
        <v>0</v>
      </c>
      <c r="AN218" s="23">
        <f t="shared" si="27"/>
        <v>0.13997605112038006</v>
      </c>
      <c r="AO218" s="23">
        <f t="shared" si="27"/>
        <v>0.11629299961863862</v>
      </c>
      <c r="AP218" s="23">
        <f t="shared" si="27"/>
        <v>0.33537594090101108</v>
      </c>
      <c r="AQ218" s="23">
        <f t="shared" si="27"/>
        <v>1.0846258484308355</v>
      </c>
      <c r="AR218" s="23">
        <f t="shared" si="27"/>
        <v>0.12208736558174292</v>
      </c>
      <c r="AS218" s="23">
        <f t="shared" si="27"/>
        <v>0.13261099808873608</v>
      </c>
      <c r="AT218" s="23">
        <f t="shared" si="27"/>
        <v>0.24196100396827522</v>
      </c>
      <c r="AU218" s="23">
        <f t="shared" si="27"/>
        <v>0.27902024818997534</v>
      </c>
      <c r="AV218" s="23">
        <f t="shared" si="27"/>
        <v>0.1611727249412189</v>
      </c>
      <c r="AW218" s="23">
        <f t="shared" si="27"/>
        <v>0.77938088114157555</v>
      </c>
      <c r="AX218" s="23">
        <f t="shared" si="27"/>
        <v>7.1035368882851418E-2</v>
      </c>
      <c r="AY218" s="23">
        <f t="shared" si="27"/>
        <v>0</v>
      </c>
      <c r="AZ218" s="23">
        <f t="shared" si="27"/>
        <v>1</v>
      </c>
      <c r="BA218" s="23">
        <f t="shared" si="27"/>
        <v>0.13953314038537873</v>
      </c>
      <c r="BB218" s="23">
        <f t="shared" si="27"/>
        <v>7.7434908847812928E-2</v>
      </c>
      <c r="BC218" s="23">
        <f t="shared" si="27"/>
        <v>0.18754629087750962</v>
      </c>
      <c r="BD218" s="23">
        <f t="shared" si="27"/>
        <v>0.25735450139358573</v>
      </c>
      <c r="BE218" s="23">
        <f t="shared" si="27"/>
        <v>0.11195042797576918</v>
      </c>
      <c r="BF218" s="23">
        <f t="shared" si="27"/>
        <v>0.28517759845295093</v>
      </c>
      <c r="BG218" s="23">
        <f t="shared" si="27"/>
        <v>0.20453337193815829</v>
      </c>
      <c r="BH218" s="23">
        <f t="shared" si="27"/>
        <v>6.7709992440478567E-2</v>
      </c>
      <c r="BI218" s="23">
        <f t="shared" si="27"/>
        <v>0.14152508417188142</v>
      </c>
      <c r="BJ218" s="23">
        <f t="shared" si="27"/>
        <v>0.11129250536467065</v>
      </c>
      <c r="BK218" s="23">
        <f t="shared" si="27"/>
        <v>0.15844037748028891</v>
      </c>
      <c r="BL218" s="23">
        <f t="shared" si="27"/>
        <v>0</v>
      </c>
      <c r="BM218" s="23">
        <f t="shared" si="27"/>
        <v>0</v>
      </c>
      <c r="BN218" s="23">
        <f t="shared" si="27"/>
        <v>0.12208736558174292</v>
      </c>
      <c r="BO218" s="23">
        <f t="shared" si="26"/>
        <v>4.0733307716760647</v>
      </c>
      <c r="BP218" s="23">
        <f t="shared" si="26"/>
        <v>0.13777069212048645</v>
      </c>
      <c r="BQ218" s="23">
        <f t="shared" si="26"/>
        <v>0</v>
      </c>
      <c r="BR218" s="23">
        <f t="shared" si="26"/>
        <v>8.3940783346623082E-2</v>
      </c>
      <c r="BS218" s="23">
        <f t="shared" si="26"/>
        <v>0.29606835883482496</v>
      </c>
      <c r="BT218" s="23">
        <f t="shared" si="26"/>
        <v>0.11629299961863862</v>
      </c>
      <c r="BU218" s="23">
        <f t="shared" si="26"/>
        <v>1.0847036179243048</v>
      </c>
      <c r="BV218" s="23">
        <f t="shared" si="26"/>
        <v>0.16116668212091256</v>
      </c>
      <c r="BW218" s="23">
        <f t="shared" si="26"/>
        <v>0.15301381179296603</v>
      </c>
      <c r="BX218" s="23">
        <f t="shared" si="26"/>
        <v>0.24132827638110024</v>
      </c>
      <c r="BY218" s="23">
        <f t="shared" si="26"/>
        <v>0</v>
      </c>
      <c r="BZ218" s="23">
        <f t="shared" si="26"/>
        <v>0</v>
      </c>
      <c r="CA218" s="23">
        <f t="shared" si="26"/>
        <v>0.6316823743740988</v>
      </c>
    </row>
    <row r="219" spans="1:79" ht="15.75" customHeight="1" x14ac:dyDescent="0.2">
      <c r="A219" s="30" t="s">
        <v>105</v>
      </c>
      <c r="B219" s="23">
        <f t="shared" si="2"/>
        <v>0.27809556937757324</v>
      </c>
      <c r="C219" s="23">
        <f t="shared" si="27"/>
        <v>0.25142375920020599</v>
      </c>
      <c r="D219" s="23">
        <f t="shared" si="27"/>
        <v>0.15952826493910469</v>
      </c>
      <c r="E219" s="23">
        <f t="shared" si="27"/>
        <v>0.15952826493910469</v>
      </c>
      <c r="F219" s="23">
        <f t="shared" si="27"/>
        <v>0.5413025419677987</v>
      </c>
      <c r="G219" s="23">
        <f t="shared" si="27"/>
        <v>0.11650697815249104</v>
      </c>
      <c r="H219" s="23">
        <f t="shared" si="27"/>
        <v>0.53406724455492127</v>
      </c>
      <c r="I219" s="23">
        <f t="shared" si="27"/>
        <v>0.17528095145397604</v>
      </c>
      <c r="J219" s="23">
        <f t="shared" si="27"/>
        <v>8.2530939212317189E-2</v>
      </c>
      <c r="K219" s="23">
        <f t="shared" si="27"/>
        <v>0.84433492466406568</v>
      </c>
      <c r="L219" s="23">
        <f t="shared" si="27"/>
        <v>0.18427740262951467</v>
      </c>
      <c r="M219" s="23">
        <f t="shared" si="27"/>
        <v>0</v>
      </c>
      <c r="N219" s="23">
        <f t="shared" si="27"/>
        <v>0.63724579868429421</v>
      </c>
      <c r="O219" s="23">
        <f t="shared" si="27"/>
        <v>0.60669190659440542</v>
      </c>
      <c r="P219" s="23">
        <f t="shared" si="27"/>
        <v>0.14418898395380123</v>
      </c>
      <c r="Q219" s="23">
        <f t="shared" si="27"/>
        <v>0</v>
      </c>
      <c r="R219" s="23">
        <f t="shared" si="27"/>
        <v>0.54062847503631506</v>
      </c>
      <c r="S219" s="23">
        <f t="shared" si="27"/>
        <v>0</v>
      </c>
      <c r="T219" s="23">
        <f t="shared" si="27"/>
        <v>0.16683005680119783</v>
      </c>
      <c r="U219" s="23">
        <f t="shared" si="27"/>
        <v>0</v>
      </c>
      <c r="V219" s="23">
        <f t="shared" si="27"/>
        <v>0.15952826493910469</v>
      </c>
      <c r="W219" s="23">
        <f t="shared" si="27"/>
        <v>0.14308023706759612</v>
      </c>
      <c r="X219" s="23">
        <f t="shared" si="27"/>
        <v>0.63724579868429421</v>
      </c>
      <c r="Y219" s="23">
        <f t="shared" si="27"/>
        <v>0.15603292557970988</v>
      </c>
      <c r="Z219" s="23">
        <f t="shared" si="27"/>
        <v>0</v>
      </c>
      <c r="AA219" s="23">
        <f t="shared" si="27"/>
        <v>0.13609124180329019</v>
      </c>
      <c r="AB219" s="23">
        <f t="shared" si="27"/>
        <v>0.73463039866664603</v>
      </c>
      <c r="AC219" s="23">
        <f t="shared" si="27"/>
        <v>0.36402643198482915</v>
      </c>
      <c r="AD219" s="23">
        <f t="shared" si="27"/>
        <v>0.12582060289257443</v>
      </c>
      <c r="AE219" s="23">
        <f t="shared" si="27"/>
        <v>0.41415236503713293</v>
      </c>
      <c r="AF219" s="23">
        <f t="shared" si="27"/>
        <v>0.62891967090860579</v>
      </c>
      <c r="AG219" s="23">
        <f t="shared" si="27"/>
        <v>0.6338035654368801</v>
      </c>
      <c r="AH219" s="23">
        <f t="shared" si="27"/>
        <v>0</v>
      </c>
      <c r="AI219" s="23">
        <f t="shared" si="27"/>
        <v>2.0269001210859012</v>
      </c>
      <c r="AJ219" s="23">
        <f t="shared" si="27"/>
        <v>0.5413025419677987</v>
      </c>
      <c r="AK219" s="23">
        <f t="shared" si="27"/>
        <v>9.2474344255260771E-2</v>
      </c>
      <c r="AL219" s="23">
        <f t="shared" si="27"/>
        <v>0.20332277537585142</v>
      </c>
      <c r="AM219" s="23">
        <f t="shared" si="27"/>
        <v>0</v>
      </c>
      <c r="AN219" s="23">
        <f t="shared" si="27"/>
        <v>0.89288543241606289</v>
      </c>
      <c r="AO219" s="23">
        <f t="shared" si="27"/>
        <v>0.63724579868429421</v>
      </c>
      <c r="AP219" s="23">
        <f t="shared" si="27"/>
        <v>0.23140347611925674</v>
      </c>
      <c r="AQ219" s="23">
        <f t="shared" si="27"/>
        <v>0.12513178366927183</v>
      </c>
      <c r="AR219" s="23">
        <f t="shared" si="27"/>
        <v>0.54062847503631506</v>
      </c>
      <c r="AS219" s="23">
        <f t="shared" si="27"/>
        <v>1.3563081752852599</v>
      </c>
      <c r="AT219" s="23">
        <f t="shared" si="27"/>
        <v>0.12703637581572691</v>
      </c>
      <c r="AU219" s="23">
        <f t="shared" si="27"/>
        <v>0.14069762753794299</v>
      </c>
      <c r="AV219" s="23">
        <f t="shared" si="27"/>
        <v>1.0277343775850374</v>
      </c>
      <c r="AW219" s="23">
        <f t="shared" si="27"/>
        <v>0.15324341255122789</v>
      </c>
      <c r="AX219" s="23">
        <f t="shared" si="27"/>
        <v>0.13812548899876026</v>
      </c>
      <c r="AY219" s="23">
        <f t="shared" si="27"/>
        <v>0</v>
      </c>
      <c r="AZ219" s="23">
        <f t="shared" si="27"/>
        <v>0.13953314038537873</v>
      </c>
      <c r="BA219" s="23">
        <f t="shared" si="27"/>
        <v>1</v>
      </c>
      <c r="BB219" s="23">
        <f t="shared" si="27"/>
        <v>0.11630215867036338</v>
      </c>
      <c r="BC219" s="23">
        <f t="shared" si="27"/>
        <v>0.5413025419677987</v>
      </c>
      <c r="BD219" s="23">
        <f t="shared" si="27"/>
        <v>0.17981040530199452</v>
      </c>
      <c r="BE219" s="23">
        <f t="shared" si="27"/>
        <v>0.56452183177765314</v>
      </c>
      <c r="BF219" s="23">
        <f t="shared" si="27"/>
        <v>0.25766122107571993</v>
      </c>
      <c r="BG219" s="23">
        <f t="shared" si="27"/>
        <v>0.42588625208469127</v>
      </c>
      <c r="BH219" s="23">
        <f t="shared" si="27"/>
        <v>0.11472446317456163</v>
      </c>
      <c r="BI219" s="23">
        <f t="shared" si="27"/>
        <v>0.65037981352573748</v>
      </c>
      <c r="BJ219" s="23">
        <f t="shared" si="27"/>
        <v>0.52351394265585205</v>
      </c>
      <c r="BK219" s="23">
        <f t="shared" si="27"/>
        <v>0.46130084744012101</v>
      </c>
      <c r="BL219" s="23">
        <f t="shared" si="27"/>
        <v>0</v>
      </c>
      <c r="BM219" s="23">
        <f t="shared" si="27"/>
        <v>0</v>
      </c>
      <c r="BN219" s="23">
        <f t="shared" si="27"/>
        <v>0.54062847503631506</v>
      </c>
      <c r="BO219" s="23">
        <f t="shared" si="26"/>
        <v>0.13493698240728863</v>
      </c>
      <c r="BP219" s="23">
        <f t="shared" si="26"/>
        <v>0.85047843235173393</v>
      </c>
      <c r="BQ219" s="23">
        <f t="shared" si="26"/>
        <v>0</v>
      </c>
      <c r="BR219" s="23">
        <f t="shared" si="26"/>
        <v>0.15952826493910469</v>
      </c>
      <c r="BS219" s="23">
        <f t="shared" si="26"/>
        <v>0.15603292557970988</v>
      </c>
      <c r="BT219" s="23">
        <f t="shared" si="26"/>
        <v>0.63724579868429421</v>
      </c>
      <c r="BU219" s="23">
        <f t="shared" si="26"/>
        <v>0.15211691472988886</v>
      </c>
      <c r="BV219" s="23">
        <f t="shared" si="26"/>
        <v>0.89570523150139936</v>
      </c>
      <c r="BW219" s="23">
        <f t="shared" si="26"/>
        <v>0.63245497705541265</v>
      </c>
      <c r="BX219" s="23">
        <f t="shared" si="26"/>
        <v>0.2870367209706563</v>
      </c>
      <c r="BY219" s="23">
        <f t="shared" si="26"/>
        <v>0</v>
      </c>
      <c r="BZ219" s="23">
        <f t="shared" si="26"/>
        <v>0</v>
      </c>
      <c r="CA219" s="23">
        <f t="shared" si="26"/>
        <v>0.15131588852080594</v>
      </c>
    </row>
    <row r="220" spans="1:79" ht="15.75" customHeight="1" x14ac:dyDescent="0.2">
      <c r="A220" s="30" t="s">
        <v>106</v>
      </c>
      <c r="B220" s="23">
        <f t="shared" si="2"/>
        <v>9.2703748303609501E-2</v>
      </c>
      <c r="C220" s="23">
        <f t="shared" si="27"/>
        <v>8.6446700735889448E-2</v>
      </c>
      <c r="D220" s="23">
        <f t="shared" si="27"/>
        <v>0.42477480573069049</v>
      </c>
      <c r="E220" s="23">
        <f t="shared" si="27"/>
        <v>0.42477480573069049</v>
      </c>
      <c r="F220" s="23">
        <f t="shared" si="27"/>
        <v>9.7429544186708142E-2</v>
      </c>
      <c r="G220" s="23">
        <f t="shared" si="27"/>
        <v>0.17417120178905243</v>
      </c>
      <c r="H220" s="23">
        <f t="shared" si="27"/>
        <v>0.10389980319342235</v>
      </c>
      <c r="I220" s="23">
        <f t="shared" si="27"/>
        <v>9.3902252131267711E-2</v>
      </c>
      <c r="J220" s="23">
        <f t="shared" si="27"/>
        <v>9.7707384026745711E-2</v>
      </c>
      <c r="K220" s="23">
        <f t="shared" si="27"/>
        <v>0.12683730608067648</v>
      </c>
      <c r="L220" s="23">
        <f t="shared" si="27"/>
        <v>8.522283582920652E-2</v>
      </c>
      <c r="M220" s="23">
        <f t="shared" si="27"/>
        <v>0</v>
      </c>
      <c r="N220" s="23">
        <f t="shared" si="27"/>
        <v>0.14206874337861888</v>
      </c>
      <c r="O220" s="23">
        <f t="shared" si="27"/>
        <v>0.13924701876640552</v>
      </c>
      <c r="P220" s="23">
        <f t="shared" si="27"/>
        <v>0.18848302077547127</v>
      </c>
      <c r="Q220" s="23">
        <f t="shared" si="27"/>
        <v>0</v>
      </c>
      <c r="R220" s="23">
        <f t="shared" si="27"/>
        <v>0.14420517875521521</v>
      </c>
      <c r="S220" s="23">
        <f t="shared" si="27"/>
        <v>0</v>
      </c>
      <c r="T220" s="23">
        <f t="shared" si="27"/>
        <v>8.3868737417308575E-2</v>
      </c>
      <c r="U220" s="23">
        <f t="shared" si="27"/>
        <v>0</v>
      </c>
      <c r="V220" s="23">
        <f t="shared" si="27"/>
        <v>0.42477480573069049</v>
      </c>
      <c r="W220" s="23">
        <f t="shared" si="27"/>
        <v>8.2126262043533904E-2</v>
      </c>
      <c r="X220" s="23">
        <f t="shared" si="27"/>
        <v>0.14206874337861888</v>
      </c>
      <c r="Y220" s="23">
        <f t="shared" si="27"/>
        <v>0.10334758329213112</v>
      </c>
      <c r="Z220" s="23">
        <f t="shared" si="27"/>
        <v>0</v>
      </c>
      <c r="AA220" s="23">
        <f t="shared" si="27"/>
        <v>0.72236231779699167</v>
      </c>
      <c r="AB220" s="23">
        <f t="shared" si="27"/>
        <v>0.12976525718648943</v>
      </c>
      <c r="AC220" s="23">
        <f t="shared" si="27"/>
        <v>8.9279755333788166E-2</v>
      </c>
      <c r="AD220" s="23">
        <f t="shared" si="27"/>
        <v>9.0541445414273683E-2</v>
      </c>
      <c r="AE220" s="23">
        <f t="shared" si="27"/>
        <v>0.14068614847883665</v>
      </c>
      <c r="AF220" s="23">
        <f t="shared" si="27"/>
        <v>0.14000490939757942</v>
      </c>
      <c r="AG220" s="23">
        <f t="shared" si="27"/>
        <v>0.13236716315127134</v>
      </c>
      <c r="AH220" s="23">
        <f t="shared" si="27"/>
        <v>0</v>
      </c>
      <c r="AI220" s="23">
        <f t="shared" si="27"/>
        <v>0.11413656571473425</v>
      </c>
      <c r="AJ220" s="23">
        <f t="shared" si="27"/>
        <v>9.7429544186708142E-2</v>
      </c>
      <c r="AK220" s="23">
        <f t="shared" si="27"/>
        <v>0.21890015768901883</v>
      </c>
      <c r="AL220" s="23">
        <f t="shared" si="27"/>
        <v>8.7275127905024744E-2</v>
      </c>
      <c r="AM220" s="23">
        <f t="shared" si="27"/>
        <v>0</v>
      </c>
      <c r="AN220" s="23">
        <f t="shared" si="27"/>
        <v>0.12426264928522522</v>
      </c>
      <c r="AO220" s="23">
        <f t="shared" si="27"/>
        <v>0.14206874337861888</v>
      </c>
      <c r="AP220" s="23">
        <f t="shared" si="27"/>
        <v>8.7853008607069932E-2</v>
      </c>
      <c r="AQ220" s="23">
        <f t="shared" si="27"/>
        <v>7.6433133237646028E-2</v>
      </c>
      <c r="AR220" s="23">
        <f t="shared" si="27"/>
        <v>0.14420517875521521</v>
      </c>
      <c r="AS220" s="23">
        <f t="shared" si="27"/>
        <v>0.12573950004403583</v>
      </c>
      <c r="AT220" s="23">
        <f t="shared" si="27"/>
        <v>0.11387603684789686</v>
      </c>
      <c r="AU220" s="23">
        <f t="shared" si="27"/>
        <v>0.10683472218364343</v>
      </c>
      <c r="AV220" s="23">
        <f t="shared" si="27"/>
        <v>0.10700787264425424</v>
      </c>
      <c r="AW220" s="23">
        <f t="shared" si="27"/>
        <v>8.4554429899292807E-2</v>
      </c>
      <c r="AX220" s="23">
        <f t="shared" si="27"/>
        <v>0.26207279603238809</v>
      </c>
      <c r="AY220" s="23">
        <f t="shared" si="27"/>
        <v>0</v>
      </c>
      <c r="AZ220" s="23">
        <f t="shared" si="27"/>
        <v>7.7434908847812928E-2</v>
      </c>
      <c r="BA220" s="23">
        <f t="shared" si="27"/>
        <v>0.11630215867036338</v>
      </c>
      <c r="BB220" s="23">
        <f t="shared" si="27"/>
        <v>1</v>
      </c>
      <c r="BC220" s="23">
        <f t="shared" si="27"/>
        <v>9.7429544186708142E-2</v>
      </c>
      <c r="BD220" s="23">
        <f t="shared" si="27"/>
        <v>0.10648636063008543</v>
      </c>
      <c r="BE220" s="23">
        <f t="shared" si="27"/>
        <v>0.14277392647952497</v>
      </c>
      <c r="BF220" s="23">
        <f t="shared" si="27"/>
        <v>9.1658907715443036E-2</v>
      </c>
      <c r="BG220" s="23">
        <f t="shared" si="27"/>
        <v>9.7943653185386712E-2</v>
      </c>
      <c r="BH220" s="23">
        <f t="shared" si="27"/>
        <v>0.30259988762787582</v>
      </c>
      <c r="BI220" s="23">
        <f t="shared" si="27"/>
        <v>0.1264766926219815</v>
      </c>
      <c r="BJ220" s="23">
        <f t="shared" si="27"/>
        <v>0.14846883824559939</v>
      </c>
      <c r="BK220" s="23">
        <f t="shared" si="27"/>
        <v>0.12010461637728367</v>
      </c>
      <c r="BL220" s="23">
        <f t="shared" si="27"/>
        <v>0</v>
      </c>
      <c r="BM220" s="23">
        <f t="shared" si="27"/>
        <v>0</v>
      </c>
      <c r="BN220" s="23">
        <f t="shared" si="27"/>
        <v>0.14420517875521521</v>
      </c>
      <c r="BO220" s="23">
        <f t="shared" si="26"/>
        <v>7.7518123474162676E-2</v>
      </c>
      <c r="BP220" s="23">
        <f t="shared" si="26"/>
        <v>0.12621438845744928</v>
      </c>
      <c r="BQ220" s="23">
        <f t="shared" si="26"/>
        <v>0</v>
      </c>
      <c r="BR220" s="23">
        <f t="shared" si="26"/>
        <v>0.42477480573069049</v>
      </c>
      <c r="BS220" s="23">
        <f t="shared" si="26"/>
        <v>0.10334758329213112</v>
      </c>
      <c r="BT220" s="23">
        <f t="shared" si="26"/>
        <v>0.14206874337861888</v>
      </c>
      <c r="BU220" s="23">
        <f t="shared" si="26"/>
        <v>8.177201206068202E-2</v>
      </c>
      <c r="BV220" s="23">
        <f t="shared" si="26"/>
        <v>0.10956541323494422</v>
      </c>
      <c r="BW220" s="23">
        <f t="shared" si="26"/>
        <v>0.11903208112962441</v>
      </c>
      <c r="BX220" s="23">
        <f t="shared" si="26"/>
        <v>9.7833772028199692E-2</v>
      </c>
      <c r="BY220" s="23">
        <f t="shared" si="26"/>
        <v>0</v>
      </c>
      <c r="BZ220" s="23">
        <f t="shared" si="26"/>
        <v>0</v>
      </c>
      <c r="CA220" s="23">
        <f t="shared" si="26"/>
        <v>8.7230511449370912E-2</v>
      </c>
    </row>
    <row r="221" spans="1:79" ht="15.75" customHeight="1" x14ac:dyDescent="0.2">
      <c r="A221" s="30" t="s">
        <v>107</v>
      </c>
      <c r="B221" s="23">
        <f t="shared" si="2"/>
        <v>0.50082205971814708</v>
      </c>
      <c r="C221" s="23">
        <f t="shared" si="27"/>
        <v>0.29795126873273758</v>
      </c>
      <c r="D221" s="23">
        <f t="shared" si="27"/>
        <v>0.12641572300628837</v>
      </c>
      <c r="E221" s="23">
        <f t="shared" si="27"/>
        <v>0.12641572300628837</v>
      </c>
      <c r="F221" s="23">
        <f t="shared" si="27"/>
        <v>1</v>
      </c>
      <c r="G221" s="23">
        <f t="shared" si="27"/>
        <v>0.10116295225428885</v>
      </c>
      <c r="H221" s="23">
        <f t="shared" si="27"/>
        <v>1.052737692173233</v>
      </c>
      <c r="I221" s="23">
        <f t="shared" si="27"/>
        <v>0.23634514567570028</v>
      </c>
      <c r="J221" s="23">
        <f t="shared" si="27"/>
        <v>9.7251570461669531E-2</v>
      </c>
      <c r="K221" s="23">
        <f t="shared" si="27"/>
        <v>0.41989568694265761</v>
      </c>
      <c r="L221" s="23">
        <f t="shared" si="27"/>
        <v>0.26989471648809343</v>
      </c>
      <c r="M221" s="23">
        <f t="shared" si="27"/>
        <v>0</v>
      </c>
      <c r="N221" s="23">
        <f t="shared" si="27"/>
        <v>0.29638386283401114</v>
      </c>
      <c r="O221" s="23">
        <f t="shared" si="27"/>
        <v>0.32442764671986912</v>
      </c>
      <c r="P221" s="23">
        <f t="shared" si="27"/>
        <v>0.11808778856071192</v>
      </c>
      <c r="Q221" s="23">
        <f t="shared" si="27"/>
        <v>0</v>
      </c>
      <c r="R221" s="23">
        <f t="shared" si="27"/>
        <v>0.3003466765224802</v>
      </c>
      <c r="S221" s="23">
        <f t="shared" si="27"/>
        <v>0</v>
      </c>
      <c r="T221" s="23">
        <f t="shared" si="27"/>
        <v>0.23507726922061223</v>
      </c>
      <c r="U221" s="23">
        <f t="shared" si="27"/>
        <v>0</v>
      </c>
      <c r="V221" s="23">
        <f t="shared" si="27"/>
        <v>0.12641572300628837</v>
      </c>
      <c r="W221" s="23">
        <f t="shared" si="27"/>
        <v>0.19178416278202914</v>
      </c>
      <c r="X221" s="23">
        <f t="shared" si="27"/>
        <v>0.29638386283401114</v>
      </c>
      <c r="Y221" s="23">
        <f t="shared" si="27"/>
        <v>0.19299399928061201</v>
      </c>
      <c r="Z221" s="23">
        <f t="shared" si="27"/>
        <v>0</v>
      </c>
      <c r="AA221" s="23">
        <f t="shared" si="27"/>
        <v>0.10977074356082758</v>
      </c>
      <c r="AB221" s="23">
        <f t="shared" si="27"/>
        <v>0.39010076486385148</v>
      </c>
      <c r="AC221" s="23">
        <f t="shared" si="27"/>
        <v>0.56238020833701519</v>
      </c>
      <c r="AD221" s="23">
        <f t="shared" si="27"/>
        <v>0.15865120807389224</v>
      </c>
      <c r="AE221" s="23">
        <f t="shared" si="27"/>
        <v>0.30158838486755069</v>
      </c>
      <c r="AF221" s="23">
        <f t="shared" si="27"/>
        <v>0.31971630754042518</v>
      </c>
      <c r="AG221" s="23">
        <f t="shared" si="27"/>
        <v>0.3665456472990673</v>
      </c>
      <c r="AH221" s="23">
        <f t="shared" si="27"/>
        <v>0</v>
      </c>
      <c r="AI221" s="23">
        <f t="shared" si="27"/>
        <v>0.64792541697968975</v>
      </c>
      <c r="AJ221" s="23">
        <f t="shared" si="27"/>
        <v>1</v>
      </c>
      <c r="AK221" s="23">
        <f t="shared" si="27"/>
        <v>9.0611147367924902E-2</v>
      </c>
      <c r="AL221" s="23">
        <f t="shared" si="27"/>
        <v>0.30951050119459478</v>
      </c>
      <c r="AM221" s="23">
        <f t="shared" si="27"/>
        <v>0</v>
      </c>
      <c r="AN221" s="23">
        <f t="shared" si="27"/>
        <v>0.45049346444385618</v>
      </c>
      <c r="AO221" s="23">
        <f t="shared" si="27"/>
        <v>0.29638386283401114</v>
      </c>
      <c r="AP221" s="23">
        <f t="shared" si="27"/>
        <v>0.38307761912237837</v>
      </c>
      <c r="AQ221" s="23">
        <f t="shared" si="27"/>
        <v>0.16273565562206488</v>
      </c>
      <c r="AR221" s="23">
        <f t="shared" si="27"/>
        <v>0.3003466765224802</v>
      </c>
      <c r="AS221" s="23">
        <f t="shared" si="27"/>
        <v>0.42405109205621205</v>
      </c>
      <c r="AT221" s="23">
        <f t="shared" si="27"/>
        <v>0.14729605596127371</v>
      </c>
      <c r="AU221" s="23">
        <f t="shared" si="27"/>
        <v>0.16888304008851918</v>
      </c>
      <c r="AV221" s="23">
        <f t="shared" si="27"/>
        <v>1.0656842983027901</v>
      </c>
      <c r="AW221" s="23">
        <f t="shared" si="27"/>
        <v>0.20830021508167884</v>
      </c>
      <c r="AX221" s="23">
        <f t="shared" si="27"/>
        <v>0.11105218223281556</v>
      </c>
      <c r="AY221" s="23">
        <f t="shared" si="27"/>
        <v>0</v>
      </c>
      <c r="AZ221" s="23">
        <f t="shared" si="27"/>
        <v>0.18754629087750962</v>
      </c>
      <c r="BA221" s="23">
        <f t="shared" si="27"/>
        <v>0.5413025419677987</v>
      </c>
      <c r="BB221" s="23">
        <f t="shared" si="27"/>
        <v>9.7429544186708142E-2</v>
      </c>
      <c r="BC221" s="23">
        <f t="shared" si="27"/>
        <v>1</v>
      </c>
      <c r="BD221" s="23">
        <f t="shared" si="27"/>
        <v>0.2228993546940593</v>
      </c>
      <c r="BE221" s="23">
        <f t="shared" si="27"/>
        <v>0.27637055990436959</v>
      </c>
      <c r="BF221" s="23">
        <f t="shared" si="27"/>
        <v>0.44078835996137183</v>
      </c>
      <c r="BG221" s="23">
        <f t="shared" si="27"/>
        <v>1.1778187212551612</v>
      </c>
      <c r="BH221" s="23">
        <f t="shared" si="27"/>
        <v>9.5268803117948386E-2</v>
      </c>
      <c r="BI221" s="23">
        <f t="shared" si="27"/>
        <v>0.41483697148473914</v>
      </c>
      <c r="BJ221" s="23">
        <f t="shared" si="27"/>
        <v>0.26752383968193705</v>
      </c>
      <c r="BK221" s="23">
        <f t="shared" si="27"/>
        <v>0.43393128689181187</v>
      </c>
      <c r="BL221" s="23">
        <f t="shared" si="27"/>
        <v>0</v>
      </c>
      <c r="BM221" s="23">
        <f t="shared" si="27"/>
        <v>0</v>
      </c>
      <c r="BN221" s="23">
        <f t="shared" ref="BN221:CA224" si="28">IF(BN137&gt;=0, IF(BN137 = 0,  1, 1/BN137*$B$165), 0)</f>
        <v>0.3003466765224802</v>
      </c>
      <c r="BO221" s="23">
        <f t="shared" si="28"/>
        <v>0.17938098990472362</v>
      </c>
      <c r="BP221" s="23">
        <f t="shared" si="28"/>
        <v>0.42672803135419918</v>
      </c>
      <c r="BQ221" s="23">
        <f t="shared" si="28"/>
        <v>0</v>
      </c>
      <c r="BR221" s="23">
        <f t="shared" si="28"/>
        <v>0.12641572300628837</v>
      </c>
      <c r="BS221" s="23">
        <f t="shared" si="28"/>
        <v>0.19299399928061201</v>
      </c>
      <c r="BT221" s="23">
        <f t="shared" si="28"/>
        <v>0.29638386283401114</v>
      </c>
      <c r="BU221" s="23">
        <f t="shared" si="28"/>
        <v>0.20848521759064798</v>
      </c>
      <c r="BV221" s="23">
        <f t="shared" si="28"/>
        <v>0.87262902079050919</v>
      </c>
      <c r="BW221" s="23">
        <f t="shared" si="28"/>
        <v>0.50320731820979836</v>
      </c>
      <c r="BX221" s="23">
        <f t="shared" si="28"/>
        <v>0.46888384859472565</v>
      </c>
      <c r="BY221" s="23">
        <f t="shared" si="28"/>
        <v>0</v>
      </c>
      <c r="BZ221" s="23">
        <f t="shared" si="28"/>
        <v>0</v>
      </c>
      <c r="CA221" s="23">
        <f t="shared" si="28"/>
        <v>0.20236663263737709</v>
      </c>
    </row>
    <row r="222" spans="1:79" ht="15.75" customHeight="1" x14ac:dyDescent="0.2">
      <c r="A222" s="30" t="s">
        <v>108</v>
      </c>
      <c r="B222" s="23">
        <f t="shared" si="2"/>
        <v>0.37397845100171878</v>
      </c>
      <c r="C222" s="23">
        <f t="shared" ref="C222:BN225" si="29">IF(C138&gt;=0, IF(C138 = 0,  1, 1/C138*$B$165), 0)</f>
        <v>0.13623805862839669</v>
      </c>
      <c r="D222" s="23">
        <f t="shared" si="29"/>
        <v>0.12434604385473144</v>
      </c>
      <c r="E222" s="23">
        <f t="shared" si="29"/>
        <v>0.12434604385473144</v>
      </c>
      <c r="F222" s="23">
        <f t="shared" si="29"/>
        <v>0.2228993546940593</v>
      </c>
      <c r="G222" s="23">
        <f t="shared" si="29"/>
        <v>7.1146258685438404E-2</v>
      </c>
      <c r="H222" s="23">
        <f t="shared" si="29"/>
        <v>0.26167022590794536</v>
      </c>
      <c r="I222" s="23">
        <f t="shared" si="29"/>
        <v>0.79129156466765227</v>
      </c>
      <c r="J222" s="23">
        <f t="shared" si="29"/>
        <v>0.12675430259728532</v>
      </c>
      <c r="K222" s="23">
        <f t="shared" si="29"/>
        <v>0.20429101084290371</v>
      </c>
      <c r="L222" s="23">
        <f t="shared" si="29"/>
        <v>0.42092022892002884</v>
      </c>
      <c r="M222" s="23">
        <f t="shared" si="29"/>
        <v>0</v>
      </c>
      <c r="N222" s="23">
        <f t="shared" si="29"/>
        <v>0.15985436565702871</v>
      </c>
      <c r="O222" s="23">
        <f t="shared" si="29"/>
        <v>0.18959090002170095</v>
      </c>
      <c r="P222" s="23">
        <f t="shared" si="29"/>
        <v>8.1676923562002776E-2</v>
      </c>
      <c r="Q222" s="23">
        <f t="shared" si="29"/>
        <v>0</v>
      </c>
      <c r="R222" s="23">
        <f t="shared" si="29"/>
        <v>0.18470469553561239</v>
      </c>
      <c r="S222" s="23">
        <f t="shared" si="29"/>
        <v>0</v>
      </c>
      <c r="T222" s="23">
        <f t="shared" si="29"/>
        <v>0.39283110482793415</v>
      </c>
      <c r="U222" s="23">
        <f t="shared" si="29"/>
        <v>0</v>
      </c>
      <c r="V222" s="23">
        <f t="shared" si="29"/>
        <v>0.12434604385473144</v>
      </c>
      <c r="W222" s="23">
        <f t="shared" si="29"/>
        <v>0.31821970733650301</v>
      </c>
      <c r="X222" s="23">
        <f t="shared" si="29"/>
        <v>0.15985436565702871</v>
      </c>
      <c r="Y222" s="23">
        <f t="shared" si="29"/>
        <v>1.1005394427804798</v>
      </c>
      <c r="Z222" s="23">
        <f t="shared" si="29"/>
        <v>0</v>
      </c>
      <c r="AA222" s="23">
        <f t="shared" si="29"/>
        <v>0.10674534860784105</v>
      </c>
      <c r="AB222" s="23">
        <f t="shared" si="29"/>
        <v>0.20464853852097392</v>
      </c>
      <c r="AC222" s="23">
        <f t="shared" si="29"/>
        <v>0.16849950861380733</v>
      </c>
      <c r="AD222" s="23">
        <f t="shared" si="29"/>
        <v>0.32804869985346558</v>
      </c>
      <c r="AE222" s="23">
        <f t="shared" si="29"/>
        <v>0.22800356021236845</v>
      </c>
      <c r="AF222" s="23">
        <f t="shared" si="29"/>
        <v>0.18270368805232334</v>
      </c>
      <c r="AG222" s="23">
        <f t="shared" si="29"/>
        <v>0.20806133940478028</v>
      </c>
      <c r="AH222" s="23">
        <f t="shared" si="29"/>
        <v>0</v>
      </c>
      <c r="AI222" s="23">
        <f t="shared" si="29"/>
        <v>0.19727677397983973</v>
      </c>
      <c r="AJ222" s="23">
        <f t="shared" si="29"/>
        <v>0.2228993546940593</v>
      </c>
      <c r="AK222" s="23">
        <f t="shared" si="29"/>
        <v>0.14434323850816522</v>
      </c>
      <c r="AL222" s="23">
        <f t="shared" si="29"/>
        <v>0.44118774183186332</v>
      </c>
      <c r="AM222" s="23">
        <f t="shared" si="29"/>
        <v>0</v>
      </c>
      <c r="AN222" s="23">
        <f t="shared" si="29"/>
        <v>0.20805693393564162</v>
      </c>
      <c r="AO222" s="23">
        <f t="shared" si="29"/>
        <v>0.15985436565702871</v>
      </c>
      <c r="AP222" s="23">
        <f t="shared" si="29"/>
        <v>0.38725839187121697</v>
      </c>
      <c r="AQ222" s="23">
        <f t="shared" si="29"/>
        <v>0.21395229754283315</v>
      </c>
      <c r="AR222" s="23">
        <f t="shared" si="29"/>
        <v>0.18470469553561239</v>
      </c>
      <c r="AS222" s="23">
        <f t="shared" si="29"/>
        <v>0.18440280453920679</v>
      </c>
      <c r="AT222" s="23">
        <f t="shared" si="29"/>
        <v>0.42783207844704918</v>
      </c>
      <c r="AU222" s="23">
        <f t="shared" si="29"/>
        <v>0.64558307532031189</v>
      </c>
      <c r="AV222" s="23">
        <f t="shared" si="29"/>
        <v>0.20925492204822074</v>
      </c>
      <c r="AW222" s="23">
        <f t="shared" si="29"/>
        <v>0.38413256517018202</v>
      </c>
      <c r="AX222" s="23">
        <f t="shared" si="29"/>
        <v>8.5536952144591366E-2</v>
      </c>
      <c r="AY222" s="23">
        <f t="shared" si="29"/>
        <v>0</v>
      </c>
      <c r="AZ222" s="23">
        <f t="shared" si="29"/>
        <v>0.25735450139358573</v>
      </c>
      <c r="BA222" s="23">
        <f t="shared" si="29"/>
        <v>0.17981040530199452</v>
      </c>
      <c r="BB222" s="23">
        <f t="shared" si="29"/>
        <v>0.10648636063008543</v>
      </c>
      <c r="BC222" s="23">
        <f t="shared" si="29"/>
        <v>0.2228993546940593</v>
      </c>
      <c r="BD222" s="23">
        <f t="shared" si="29"/>
        <v>1</v>
      </c>
      <c r="BE222" s="23">
        <f t="shared" si="29"/>
        <v>0.14666255743614856</v>
      </c>
      <c r="BF222" s="23">
        <f t="shared" si="29"/>
        <v>0.39996630018962687</v>
      </c>
      <c r="BG222" s="23">
        <f t="shared" si="29"/>
        <v>0.27483082815407811</v>
      </c>
      <c r="BH222" s="23">
        <f t="shared" si="29"/>
        <v>8.0420990349820087E-2</v>
      </c>
      <c r="BI222" s="23">
        <f t="shared" si="29"/>
        <v>0.22283482459421913</v>
      </c>
      <c r="BJ222" s="23">
        <f t="shared" si="29"/>
        <v>0.15152492396077338</v>
      </c>
      <c r="BK222" s="23">
        <f t="shared" si="29"/>
        <v>0.27788388077093168</v>
      </c>
      <c r="BL222" s="23">
        <f t="shared" si="29"/>
        <v>0</v>
      </c>
      <c r="BM222" s="23">
        <f t="shared" si="29"/>
        <v>0</v>
      </c>
      <c r="BN222" s="23">
        <f t="shared" si="29"/>
        <v>0.18470469553561239</v>
      </c>
      <c r="BO222" s="23">
        <f t="shared" si="28"/>
        <v>0.24797934297443061</v>
      </c>
      <c r="BP222" s="23">
        <f t="shared" si="28"/>
        <v>0.20560028342375805</v>
      </c>
      <c r="BQ222" s="23">
        <f t="shared" si="28"/>
        <v>0</v>
      </c>
      <c r="BR222" s="23">
        <f t="shared" si="28"/>
        <v>0.12434604385473144</v>
      </c>
      <c r="BS222" s="23">
        <f t="shared" si="28"/>
        <v>1.1005394427804798</v>
      </c>
      <c r="BT222" s="23">
        <f t="shared" si="28"/>
        <v>0.15985436565702871</v>
      </c>
      <c r="BU222" s="23">
        <f t="shared" si="28"/>
        <v>0.33495319472331447</v>
      </c>
      <c r="BV222" s="23">
        <f t="shared" si="28"/>
        <v>0.22329784010667436</v>
      </c>
      <c r="BW222" s="23">
        <f t="shared" si="28"/>
        <v>0.24268679860540271</v>
      </c>
      <c r="BX222" s="23">
        <f t="shared" si="28"/>
        <v>0.42350728963107309</v>
      </c>
      <c r="BY222" s="23">
        <f t="shared" si="28"/>
        <v>0</v>
      </c>
      <c r="BZ222" s="23">
        <f t="shared" si="28"/>
        <v>0</v>
      </c>
      <c r="CA222" s="23">
        <f t="shared" si="28"/>
        <v>0.43040093241275157</v>
      </c>
    </row>
    <row r="223" spans="1:79" ht="15.75" customHeight="1" x14ac:dyDescent="0.2">
      <c r="A223" s="30" t="s">
        <v>109</v>
      </c>
      <c r="B223" s="23">
        <f t="shared" si="2"/>
        <v>0.1893040684474426</v>
      </c>
      <c r="C223" s="23">
        <f t="shared" si="29"/>
        <v>0.19958349447161214</v>
      </c>
      <c r="D223" s="23">
        <f t="shared" si="29"/>
        <v>0.2094882148647372</v>
      </c>
      <c r="E223" s="23">
        <f t="shared" si="29"/>
        <v>0.2094882148647372</v>
      </c>
      <c r="F223" s="23">
        <f t="shared" si="29"/>
        <v>0.27637055990436959</v>
      </c>
      <c r="G223" s="23">
        <f t="shared" si="29"/>
        <v>0.13803753218182702</v>
      </c>
      <c r="H223" s="23">
        <f t="shared" si="29"/>
        <v>0.28351089844420441</v>
      </c>
      <c r="I223" s="23">
        <f t="shared" si="29"/>
        <v>0.13809995051344728</v>
      </c>
      <c r="J223" s="23">
        <f t="shared" si="29"/>
        <v>7.2265447058628862E-2</v>
      </c>
      <c r="K223" s="23">
        <f t="shared" si="29"/>
        <v>0.51772070633481027</v>
      </c>
      <c r="L223" s="23">
        <f t="shared" si="29"/>
        <v>0.14022874304462851</v>
      </c>
      <c r="M223" s="23">
        <f t="shared" si="29"/>
        <v>0</v>
      </c>
      <c r="N223" s="23">
        <f t="shared" si="29"/>
        <v>1.6839214767836834</v>
      </c>
      <c r="O223" s="23">
        <f t="shared" si="29"/>
        <v>0.61905808587725752</v>
      </c>
      <c r="P223" s="23">
        <f t="shared" si="29"/>
        <v>0.18286665811711098</v>
      </c>
      <c r="Q223" s="23">
        <f t="shared" si="29"/>
        <v>0</v>
      </c>
      <c r="R223" s="23">
        <f t="shared" si="29"/>
        <v>0.6376396498717305</v>
      </c>
      <c r="S223" s="23">
        <f t="shared" si="29"/>
        <v>0</v>
      </c>
      <c r="T223" s="23">
        <f t="shared" si="29"/>
        <v>0.12981688429297869</v>
      </c>
      <c r="U223" s="23">
        <f t="shared" si="29"/>
        <v>0</v>
      </c>
      <c r="V223" s="23">
        <f t="shared" si="29"/>
        <v>0.2094882148647372</v>
      </c>
      <c r="W223" s="23">
        <f t="shared" si="29"/>
        <v>0.11477438741326526</v>
      </c>
      <c r="X223" s="23">
        <f t="shared" si="29"/>
        <v>1.6839214767836834</v>
      </c>
      <c r="Y223" s="23">
        <f t="shared" si="29"/>
        <v>0.12951583888167695</v>
      </c>
      <c r="Z223" s="23">
        <f t="shared" si="29"/>
        <v>0</v>
      </c>
      <c r="AA223" s="23">
        <f t="shared" si="29"/>
        <v>0.17597707971198234</v>
      </c>
      <c r="AB223" s="23">
        <f t="shared" si="29"/>
        <v>0.51751258168476633</v>
      </c>
      <c r="AC223" s="23">
        <f t="shared" si="29"/>
        <v>0.23802551934215063</v>
      </c>
      <c r="AD223" s="23">
        <f t="shared" si="29"/>
        <v>0.10475524819828257</v>
      </c>
      <c r="AE223" s="23">
        <f t="shared" si="29"/>
        <v>0.37648440517977927</v>
      </c>
      <c r="AF223" s="23">
        <f t="shared" si="29"/>
        <v>0.70907138029483507</v>
      </c>
      <c r="AG223" s="23">
        <f t="shared" si="29"/>
        <v>0.49291616822038736</v>
      </c>
      <c r="AH223" s="23">
        <f t="shared" si="29"/>
        <v>0</v>
      </c>
      <c r="AI223" s="23">
        <f t="shared" si="29"/>
        <v>0.46465969591569006</v>
      </c>
      <c r="AJ223" s="23">
        <f t="shared" si="29"/>
        <v>0.27637055990436959</v>
      </c>
      <c r="AK223" s="23">
        <f t="shared" si="29"/>
        <v>9.7774598219962011E-2</v>
      </c>
      <c r="AL223" s="23">
        <f t="shared" si="29"/>
        <v>0.15124709372782247</v>
      </c>
      <c r="AM223" s="23">
        <f t="shared" si="29"/>
        <v>0</v>
      </c>
      <c r="AN223" s="23">
        <f t="shared" si="29"/>
        <v>0.49041951321338734</v>
      </c>
      <c r="AO223" s="23">
        <f t="shared" si="29"/>
        <v>1.6839214767836834</v>
      </c>
      <c r="AP223" s="23">
        <f t="shared" si="29"/>
        <v>0.16563043188355014</v>
      </c>
      <c r="AQ223" s="23">
        <f t="shared" si="29"/>
        <v>0.10242780936217889</v>
      </c>
      <c r="AR223" s="23">
        <f t="shared" si="29"/>
        <v>0.6376396498717305</v>
      </c>
      <c r="AS223" s="23">
        <f t="shared" si="29"/>
        <v>0.67751952937112325</v>
      </c>
      <c r="AT223" s="23">
        <f t="shared" si="29"/>
        <v>0.11176187979191385</v>
      </c>
      <c r="AU223" s="23">
        <f t="shared" si="29"/>
        <v>0.11994837409711136</v>
      </c>
      <c r="AV223" s="23">
        <f t="shared" si="29"/>
        <v>0.36656787509010164</v>
      </c>
      <c r="AW223" s="23">
        <f t="shared" si="29"/>
        <v>0.1216953486105524</v>
      </c>
      <c r="AX223" s="23">
        <f t="shared" si="29"/>
        <v>0.18061176884307617</v>
      </c>
      <c r="AY223" s="23">
        <f t="shared" si="29"/>
        <v>0</v>
      </c>
      <c r="AZ223" s="23">
        <f t="shared" si="29"/>
        <v>0.11195042797576918</v>
      </c>
      <c r="BA223" s="23">
        <f t="shared" si="29"/>
        <v>0.56452183177765314</v>
      </c>
      <c r="BB223" s="23">
        <f t="shared" si="29"/>
        <v>0.14277392647952497</v>
      </c>
      <c r="BC223" s="23">
        <f t="shared" si="29"/>
        <v>0.27637055990436959</v>
      </c>
      <c r="BD223" s="23">
        <f t="shared" si="29"/>
        <v>0.14666255743614856</v>
      </c>
      <c r="BE223" s="23">
        <f t="shared" si="29"/>
        <v>1</v>
      </c>
      <c r="BF223" s="23">
        <f t="shared" si="29"/>
        <v>0.1797445707930182</v>
      </c>
      <c r="BG223" s="23">
        <f t="shared" si="29"/>
        <v>0.24578828749511933</v>
      </c>
      <c r="BH223" s="23">
        <f t="shared" si="29"/>
        <v>0.14310635340979522</v>
      </c>
      <c r="BI223" s="23">
        <f t="shared" si="29"/>
        <v>0.42903699024923914</v>
      </c>
      <c r="BJ223" s="23">
        <f t="shared" si="29"/>
        <v>2.2881140381572558</v>
      </c>
      <c r="BK223" s="23">
        <f t="shared" si="29"/>
        <v>0.31035946782838392</v>
      </c>
      <c r="BL223" s="23">
        <f t="shared" si="29"/>
        <v>0</v>
      </c>
      <c r="BM223" s="23">
        <f t="shared" si="29"/>
        <v>0</v>
      </c>
      <c r="BN223" s="23">
        <f t="shared" si="29"/>
        <v>0.6376396498717305</v>
      </c>
      <c r="BO223" s="23">
        <f t="shared" si="28"/>
        <v>0.10896487391730705</v>
      </c>
      <c r="BP223" s="23">
        <f t="shared" si="28"/>
        <v>0.50871289307101364</v>
      </c>
      <c r="BQ223" s="23">
        <f t="shared" si="28"/>
        <v>0</v>
      </c>
      <c r="BR223" s="23">
        <f t="shared" si="28"/>
        <v>0.2094882148647372</v>
      </c>
      <c r="BS223" s="23">
        <f t="shared" si="28"/>
        <v>0.12951583888167695</v>
      </c>
      <c r="BT223" s="23">
        <f t="shared" si="28"/>
        <v>1.6839214767836834</v>
      </c>
      <c r="BU223" s="23">
        <f t="shared" si="28"/>
        <v>0.12044437153284342</v>
      </c>
      <c r="BV223" s="23">
        <f t="shared" si="28"/>
        <v>0.36206060214362046</v>
      </c>
      <c r="BW223" s="23">
        <f t="shared" si="28"/>
        <v>0.36536086948044866</v>
      </c>
      <c r="BX223" s="23">
        <f t="shared" si="28"/>
        <v>0.19716287315840672</v>
      </c>
      <c r="BY223" s="23">
        <f t="shared" si="28"/>
        <v>0</v>
      </c>
      <c r="BZ223" s="23">
        <f t="shared" si="28"/>
        <v>0</v>
      </c>
      <c r="CA223" s="23">
        <f t="shared" si="28"/>
        <v>0.12111896866718434</v>
      </c>
    </row>
    <row r="224" spans="1:79" ht="15.75" customHeight="1" x14ac:dyDescent="0.2">
      <c r="A224" s="30" t="s">
        <v>110</v>
      </c>
      <c r="B224" s="23">
        <f t="shared" si="2"/>
        <v>3.5043454291416629</v>
      </c>
      <c r="C224" s="23">
        <f t="shared" si="29"/>
        <v>0.20653218016158659</v>
      </c>
      <c r="D224" s="23">
        <f t="shared" si="29"/>
        <v>0.11322627607551132</v>
      </c>
      <c r="E224" s="23">
        <f t="shared" si="29"/>
        <v>0.11322627607551132</v>
      </c>
      <c r="F224" s="23">
        <f t="shared" si="29"/>
        <v>0.44078835996137183</v>
      </c>
      <c r="G224" s="23">
        <f t="shared" si="29"/>
        <v>8.2594120006374172E-2</v>
      </c>
      <c r="H224" s="23">
        <f t="shared" si="29"/>
        <v>0.49099559230349199</v>
      </c>
      <c r="I224" s="23">
        <f t="shared" si="29"/>
        <v>0.50722498619555878</v>
      </c>
      <c r="J224" s="23">
        <f t="shared" si="29"/>
        <v>0.11689438440197711</v>
      </c>
      <c r="K224" s="23">
        <f t="shared" si="29"/>
        <v>0.26272982733764516</v>
      </c>
      <c r="L224" s="23">
        <f t="shared" si="29"/>
        <v>0.63670271492099817</v>
      </c>
      <c r="M224" s="23">
        <f t="shared" si="29"/>
        <v>0</v>
      </c>
      <c r="N224" s="23">
        <f t="shared" si="29"/>
        <v>0.19409672075285167</v>
      </c>
      <c r="O224" s="23">
        <f t="shared" si="29"/>
        <v>0.2244641174639434</v>
      </c>
      <c r="P224" s="23">
        <f t="shared" si="29"/>
        <v>9.3189602240202507E-2</v>
      </c>
      <c r="Q224" s="23">
        <f t="shared" si="29"/>
        <v>0</v>
      </c>
      <c r="R224" s="23">
        <f t="shared" si="29"/>
        <v>0.21348020201944276</v>
      </c>
      <c r="S224" s="23">
        <f t="shared" si="29"/>
        <v>0</v>
      </c>
      <c r="T224" s="23">
        <f t="shared" si="29"/>
        <v>0.46672442284306487</v>
      </c>
      <c r="U224" s="23">
        <f t="shared" si="29"/>
        <v>0</v>
      </c>
      <c r="V224" s="23">
        <f t="shared" si="29"/>
        <v>0.11322627607551132</v>
      </c>
      <c r="W224" s="23">
        <f t="shared" si="29"/>
        <v>0.31669803594318602</v>
      </c>
      <c r="X224" s="23">
        <f t="shared" si="29"/>
        <v>0.19409672075285167</v>
      </c>
      <c r="Y224" s="23">
        <f t="shared" si="29"/>
        <v>0.33166257760683754</v>
      </c>
      <c r="Z224" s="23">
        <f t="shared" si="29"/>
        <v>0</v>
      </c>
      <c r="AA224" s="23">
        <f t="shared" si="29"/>
        <v>9.7694578604373236E-2</v>
      </c>
      <c r="AB224" s="23">
        <f t="shared" si="29"/>
        <v>0.25574478769187337</v>
      </c>
      <c r="AC224" s="23">
        <f t="shared" si="29"/>
        <v>0.28927687182811934</v>
      </c>
      <c r="AD224" s="23">
        <f t="shared" si="29"/>
        <v>0.24519901876839481</v>
      </c>
      <c r="AE224" s="23">
        <f t="shared" si="29"/>
        <v>0.24585893076152165</v>
      </c>
      <c r="AF224" s="23">
        <f t="shared" si="29"/>
        <v>0.21764526556549624</v>
      </c>
      <c r="AG224" s="23">
        <f t="shared" si="29"/>
        <v>0.25248967844779097</v>
      </c>
      <c r="AH224" s="23">
        <f t="shared" si="29"/>
        <v>0</v>
      </c>
      <c r="AI224" s="23">
        <f t="shared" si="29"/>
        <v>0.29138509796996553</v>
      </c>
      <c r="AJ224" s="23">
        <f t="shared" si="29"/>
        <v>0.44078835996137183</v>
      </c>
      <c r="AK224" s="23">
        <f t="shared" si="29"/>
        <v>0.1060833356386133</v>
      </c>
      <c r="AL224" s="23">
        <f t="shared" si="29"/>
        <v>0.95377505047928146</v>
      </c>
      <c r="AM224" s="23">
        <f t="shared" si="29"/>
        <v>0</v>
      </c>
      <c r="AN224" s="23">
        <f t="shared" si="29"/>
        <v>0.27371053297489978</v>
      </c>
      <c r="AO224" s="23">
        <f t="shared" si="29"/>
        <v>0.19409672075285167</v>
      </c>
      <c r="AP224" s="23">
        <f t="shared" si="29"/>
        <v>1.8642935117015629</v>
      </c>
      <c r="AQ224" s="23">
        <f t="shared" si="29"/>
        <v>0.22628089448942479</v>
      </c>
      <c r="AR224" s="23">
        <f t="shared" si="29"/>
        <v>0.21348020201944276</v>
      </c>
      <c r="AS224" s="23">
        <f t="shared" si="29"/>
        <v>0.24353629497288046</v>
      </c>
      <c r="AT224" s="23">
        <f t="shared" si="29"/>
        <v>0.21551208759826346</v>
      </c>
      <c r="AU224" s="23">
        <f t="shared" si="29"/>
        <v>0.26678409373790513</v>
      </c>
      <c r="AV224" s="23">
        <f t="shared" si="29"/>
        <v>0.34248035150099582</v>
      </c>
      <c r="AW224" s="23">
        <f t="shared" si="29"/>
        <v>0.37664909631729482</v>
      </c>
      <c r="AX224" s="23">
        <f t="shared" si="29"/>
        <v>9.0092158280938861E-2</v>
      </c>
      <c r="AY224" s="23">
        <f t="shared" si="29"/>
        <v>0</v>
      </c>
      <c r="AZ224" s="23">
        <f t="shared" si="29"/>
        <v>0.28517759845295093</v>
      </c>
      <c r="BA224" s="23">
        <f t="shared" si="29"/>
        <v>0.25766122107571993</v>
      </c>
      <c r="BB224" s="23">
        <f t="shared" si="29"/>
        <v>9.1658907715443036E-2</v>
      </c>
      <c r="BC224" s="23">
        <f t="shared" si="29"/>
        <v>0.44078835996137183</v>
      </c>
      <c r="BD224" s="23">
        <f t="shared" si="29"/>
        <v>0.39996630018962687</v>
      </c>
      <c r="BE224" s="23">
        <f t="shared" si="29"/>
        <v>0.1797445707930182</v>
      </c>
      <c r="BF224" s="23">
        <f t="shared" si="29"/>
        <v>1</v>
      </c>
      <c r="BG224" s="23">
        <f t="shared" si="29"/>
        <v>0.64883046896981622</v>
      </c>
      <c r="BH224" s="23">
        <f t="shared" si="29"/>
        <v>7.9766520470039293E-2</v>
      </c>
      <c r="BI224" s="23">
        <f t="shared" si="29"/>
        <v>0.2809528538991915</v>
      </c>
      <c r="BJ224" s="23">
        <f t="shared" si="29"/>
        <v>0.18043552132691723</v>
      </c>
      <c r="BK224" s="23">
        <f t="shared" si="29"/>
        <v>0.35277584709108062</v>
      </c>
      <c r="BL224" s="23">
        <f t="shared" si="29"/>
        <v>0</v>
      </c>
      <c r="BM224" s="23">
        <f t="shared" si="29"/>
        <v>0</v>
      </c>
      <c r="BN224" s="23">
        <f t="shared" si="29"/>
        <v>0.21348020201944276</v>
      </c>
      <c r="BO224" s="23">
        <f t="shared" si="28"/>
        <v>0.26685923008625834</v>
      </c>
      <c r="BP224" s="23">
        <f t="shared" si="28"/>
        <v>0.2656885929131203</v>
      </c>
      <c r="BQ224" s="23">
        <f t="shared" si="28"/>
        <v>0</v>
      </c>
      <c r="BR224" s="23">
        <f t="shared" si="28"/>
        <v>0.11322627607551132</v>
      </c>
      <c r="BS224" s="23">
        <f t="shared" si="28"/>
        <v>0.33166257760683754</v>
      </c>
      <c r="BT224" s="23">
        <f t="shared" si="28"/>
        <v>0.19409672075285167</v>
      </c>
      <c r="BU224" s="23">
        <f t="shared" si="28"/>
        <v>0.36282522491609798</v>
      </c>
      <c r="BV224" s="23">
        <f t="shared" si="28"/>
        <v>0.35646036955127364</v>
      </c>
      <c r="BW224" s="23">
        <f t="shared" si="28"/>
        <v>0.33012595800805022</v>
      </c>
      <c r="BX224" s="23">
        <f t="shared" si="28"/>
        <v>1.4252811445409999</v>
      </c>
      <c r="BY224" s="23">
        <f t="shared" si="28"/>
        <v>0</v>
      </c>
      <c r="BZ224" s="23">
        <f t="shared" si="28"/>
        <v>0</v>
      </c>
      <c r="CA224" s="23">
        <f t="shared" si="28"/>
        <v>0.36645478316509139</v>
      </c>
    </row>
    <row r="225" spans="1:79" ht="15.75" customHeight="1" x14ac:dyDescent="0.2">
      <c r="A225" s="30" t="s">
        <v>111</v>
      </c>
      <c r="B225" s="23">
        <f t="shared" si="2"/>
        <v>0.7959917062026407</v>
      </c>
      <c r="C225" s="23">
        <f t="shared" si="29"/>
        <v>0.24508731867863659</v>
      </c>
      <c r="D225" s="23">
        <f t="shared" si="29"/>
        <v>0.12649984239911521</v>
      </c>
      <c r="E225" s="23">
        <f t="shared" si="29"/>
        <v>0.12649984239911521</v>
      </c>
      <c r="F225" s="23">
        <f t="shared" si="29"/>
        <v>1.1778187212551612</v>
      </c>
      <c r="G225" s="23">
        <f t="shared" si="29"/>
        <v>9.3452559419866563E-2</v>
      </c>
      <c r="H225" s="23">
        <f t="shared" si="29"/>
        <v>1.6407212231954489</v>
      </c>
      <c r="I225" s="23">
        <f t="shared" si="29"/>
        <v>0.28968157035494807</v>
      </c>
      <c r="J225" s="23">
        <f t="shared" si="29"/>
        <v>0.10050603805142901</v>
      </c>
      <c r="K225" s="23">
        <f t="shared" si="29"/>
        <v>0.40500566577853792</v>
      </c>
      <c r="L225" s="23">
        <f t="shared" si="29"/>
        <v>0.3247888745906739</v>
      </c>
      <c r="M225" s="23">
        <f t="shared" si="29"/>
        <v>0</v>
      </c>
      <c r="N225" s="23">
        <f t="shared" si="29"/>
        <v>0.26955011705058801</v>
      </c>
      <c r="O225" s="23">
        <f t="shared" si="29"/>
        <v>0.31542587528303045</v>
      </c>
      <c r="P225" s="23">
        <f t="shared" si="29"/>
        <v>0.10862544468451492</v>
      </c>
      <c r="Q225" s="23">
        <f t="shared" si="29"/>
        <v>0</v>
      </c>
      <c r="R225" s="23">
        <f t="shared" si="29"/>
        <v>0.29270101938818238</v>
      </c>
      <c r="S225" s="23">
        <f t="shared" si="29"/>
        <v>0</v>
      </c>
      <c r="T225" s="23">
        <f t="shared" si="29"/>
        <v>0.27415568013940972</v>
      </c>
      <c r="U225" s="23">
        <f t="shared" si="29"/>
        <v>0</v>
      </c>
      <c r="V225" s="23">
        <f t="shared" si="29"/>
        <v>0.12649984239911521</v>
      </c>
      <c r="W225" s="23">
        <f t="shared" si="29"/>
        <v>0.21511443546040288</v>
      </c>
      <c r="X225" s="23">
        <f t="shared" si="29"/>
        <v>0.26955011705058801</v>
      </c>
      <c r="Y225" s="23">
        <f t="shared" si="29"/>
        <v>0.22986590394422643</v>
      </c>
      <c r="Z225" s="23">
        <f t="shared" si="29"/>
        <v>0</v>
      </c>
      <c r="AA225" s="23">
        <f t="shared" si="29"/>
        <v>0.10849398834730906</v>
      </c>
      <c r="AB225" s="23">
        <f t="shared" si="29"/>
        <v>0.3825209194506749</v>
      </c>
      <c r="AC225" s="23">
        <f t="shared" si="29"/>
        <v>0.39839420848830503</v>
      </c>
      <c r="AD225" s="23">
        <f t="shared" si="29"/>
        <v>0.17795252071274834</v>
      </c>
      <c r="AE225" s="23">
        <f t="shared" si="29"/>
        <v>0.32225192802276581</v>
      </c>
      <c r="AF225" s="23">
        <f t="shared" si="29"/>
        <v>0.30577580886334821</v>
      </c>
      <c r="AG225" s="23">
        <f t="shared" si="29"/>
        <v>0.36721890277630559</v>
      </c>
      <c r="AH225" s="23">
        <f t="shared" si="29"/>
        <v>0</v>
      </c>
      <c r="AI225" s="23">
        <f t="shared" si="29"/>
        <v>0.52144389595670437</v>
      </c>
      <c r="AJ225" s="23">
        <f t="shared" si="29"/>
        <v>1.1778187212551612</v>
      </c>
      <c r="AK225" s="23">
        <f t="shared" si="29"/>
        <v>9.7459213266617051E-2</v>
      </c>
      <c r="AL225" s="23">
        <f t="shared" si="29"/>
        <v>0.38899416592521169</v>
      </c>
      <c r="AM225" s="23">
        <f t="shared" si="29"/>
        <v>0</v>
      </c>
      <c r="AN225" s="23">
        <f t="shared" si="29"/>
        <v>0.43397463075465187</v>
      </c>
      <c r="AO225" s="23">
        <f t="shared" si="29"/>
        <v>0.26955011705058801</v>
      </c>
      <c r="AP225" s="23">
        <f t="shared" si="29"/>
        <v>0.50628871332055092</v>
      </c>
      <c r="AQ225" s="23">
        <f t="shared" si="29"/>
        <v>0.1735163854354369</v>
      </c>
      <c r="AR225" s="23">
        <f t="shared" si="29"/>
        <v>0.29270101938818238</v>
      </c>
      <c r="AS225" s="23">
        <f t="shared" si="29"/>
        <v>0.37710914283900704</v>
      </c>
      <c r="AT225" s="23">
        <f t="shared" si="29"/>
        <v>0.16809743971722768</v>
      </c>
      <c r="AU225" s="23">
        <f t="shared" si="29"/>
        <v>0.19652465944732278</v>
      </c>
      <c r="AV225" s="23">
        <f t="shared" si="29"/>
        <v>0.7243614889990041</v>
      </c>
      <c r="AW225" s="23">
        <f t="shared" si="29"/>
        <v>0.23937640218791939</v>
      </c>
      <c r="AX225" s="23">
        <f t="shared" si="29"/>
        <v>0.10432122026139284</v>
      </c>
      <c r="AY225" s="23">
        <f t="shared" si="29"/>
        <v>0</v>
      </c>
      <c r="AZ225" s="23">
        <f t="shared" si="29"/>
        <v>0.20453337193815829</v>
      </c>
      <c r="BA225" s="23">
        <f t="shared" si="29"/>
        <v>0.42588625208469127</v>
      </c>
      <c r="BB225" s="23">
        <f t="shared" si="29"/>
        <v>9.7943653185386712E-2</v>
      </c>
      <c r="BC225" s="23">
        <f t="shared" si="29"/>
        <v>1.1778187212551612</v>
      </c>
      <c r="BD225" s="23">
        <f t="shared" si="29"/>
        <v>0.27483082815407811</v>
      </c>
      <c r="BE225" s="23">
        <f t="shared" si="29"/>
        <v>0.24578828749511933</v>
      </c>
      <c r="BF225" s="23">
        <f t="shared" si="29"/>
        <v>0.64883046896981622</v>
      </c>
      <c r="BG225" s="23">
        <f t="shared" si="29"/>
        <v>1</v>
      </c>
      <c r="BH225" s="23">
        <f t="shared" si="29"/>
        <v>9.04635132626391E-2</v>
      </c>
      <c r="BI225" s="23">
        <f t="shared" si="29"/>
        <v>0.42721514579514991</v>
      </c>
      <c r="BJ225" s="23">
        <f t="shared" si="29"/>
        <v>0.24412655995302068</v>
      </c>
      <c r="BK225" s="23">
        <f t="shared" si="29"/>
        <v>0.52254126620671604</v>
      </c>
      <c r="BL225" s="23">
        <f t="shared" si="29"/>
        <v>0</v>
      </c>
      <c r="BM225" s="23">
        <f t="shared" si="29"/>
        <v>0</v>
      </c>
      <c r="BN225" s="23">
        <f t="shared" ref="BN225:CA228" si="30">IF(BN141&gt;=0, IF(BN141 = 0,  1, 1/BN141*$B$165), 0)</f>
        <v>0.29270101938818238</v>
      </c>
      <c r="BO225" s="23">
        <f t="shared" si="30"/>
        <v>0.19475564930442946</v>
      </c>
      <c r="BP225" s="23">
        <f t="shared" si="30"/>
        <v>0.41212743060590645</v>
      </c>
      <c r="BQ225" s="23">
        <f t="shared" si="30"/>
        <v>0</v>
      </c>
      <c r="BR225" s="23">
        <f t="shared" si="30"/>
        <v>0.12649984239911521</v>
      </c>
      <c r="BS225" s="23">
        <f t="shared" si="30"/>
        <v>0.22986590394422643</v>
      </c>
      <c r="BT225" s="23">
        <f t="shared" si="30"/>
        <v>0.26955011705058801</v>
      </c>
      <c r="BU225" s="23">
        <f t="shared" si="30"/>
        <v>0.2360691784173545</v>
      </c>
      <c r="BV225" s="23">
        <f t="shared" si="30"/>
        <v>0.75991115249018559</v>
      </c>
      <c r="BW225" s="23">
        <f t="shared" si="30"/>
        <v>0.54885998734997188</v>
      </c>
      <c r="BX225" s="23">
        <f t="shared" si="30"/>
        <v>0.77337506764942943</v>
      </c>
      <c r="BY225" s="23">
        <f t="shared" si="30"/>
        <v>0</v>
      </c>
      <c r="BZ225" s="23">
        <f t="shared" si="30"/>
        <v>0</v>
      </c>
      <c r="CA225" s="23">
        <f t="shared" si="30"/>
        <v>0.23425245632798897</v>
      </c>
    </row>
    <row r="226" spans="1:79" ht="15.75" customHeight="1" x14ac:dyDescent="0.2">
      <c r="A226" s="30" t="s">
        <v>112</v>
      </c>
      <c r="B226" s="23">
        <f t="shared" si="2"/>
        <v>8.1555858281985277E-2</v>
      </c>
      <c r="C226" s="23">
        <f t="shared" ref="C226:BN229" si="31">IF(C142&gt;=0, IF(C142 = 0,  1, 1/C142*$B$165), 0)</f>
        <v>0.10638275697953978</v>
      </c>
      <c r="D226" s="23">
        <f t="shared" si="31"/>
        <v>0.22730858913539276</v>
      </c>
      <c r="E226" s="23">
        <f t="shared" si="31"/>
        <v>0.22730858913539276</v>
      </c>
      <c r="F226" s="23">
        <f t="shared" si="31"/>
        <v>9.5268803117948386E-2</v>
      </c>
      <c r="G226" s="23">
        <f t="shared" si="31"/>
        <v>0.41032528839568988</v>
      </c>
      <c r="H226" s="23">
        <f t="shared" si="31"/>
        <v>9.5145939335281524E-2</v>
      </c>
      <c r="I226" s="23">
        <f t="shared" si="31"/>
        <v>7.3337360591092873E-2</v>
      </c>
      <c r="J226" s="23">
        <f t="shared" si="31"/>
        <v>0.10014142854556851</v>
      </c>
      <c r="K226" s="23">
        <f t="shared" si="31"/>
        <v>0.1144216380286484</v>
      </c>
      <c r="L226" s="23">
        <f t="shared" si="31"/>
        <v>7.0900236493975324E-2</v>
      </c>
      <c r="M226" s="23">
        <f t="shared" si="31"/>
        <v>0</v>
      </c>
      <c r="N226" s="23">
        <f t="shared" si="31"/>
        <v>0.13541680759161473</v>
      </c>
      <c r="O226" s="23">
        <f t="shared" si="31"/>
        <v>0.1232224311579046</v>
      </c>
      <c r="P226" s="23">
        <f t="shared" si="31"/>
        <v>0.40672081545495775</v>
      </c>
      <c r="Q226" s="23">
        <f t="shared" si="31"/>
        <v>0</v>
      </c>
      <c r="R226" s="23">
        <f t="shared" si="31"/>
        <v>0.1266162408738668</v>
      </c>
      <c r="S226" s="23">
        <f t="shared" si="31"/>
        <v>0</v>
      </c>
      <c r="T226" s="23">
        <f t="shared" si="31"/>
        <v>6.816484158725919E-2</v>
      </c>
      <c r="U226" s="23">
        <f t="shared" si="31"/>
        <v>0</v>
      </c>
      <c r="V226" s="23">
        <f t="shared" si="31"/>
        <v>0.22730858913539276</v>
      </c>
      <c r="W226" s="23">
        <f t="shared" si="31"/>
        <v>6.5039505844022003E-2</v>
      </c>
      <c r="X226" s="23">
        <f t="shared" si="31"/>
        <v>0.13541680759161473</v>
      </c>
      <c r="Y226" s="23">
        <f t="shared" si="31"/>
        <v>7.7342777239015795E-2</v>
      </c>
      <c r="Z226" s="23">
        <f t="shared" si="31"/>
        <v>0</v>
      </c>
      <c r="AA226" s="23">
        <f t="shared" si="31"/>
        <v>0.32564101641113713</v>
      </c>
      <c r="AB226" s="23">
        <f t="shared" si="31"/>
        <v>0.11564074745468787</v>
      </c>
      <c r="AC226" s="23">
        <f t="shared" si="31"/>
        <v>9.9031827881787923E-2</v>
      </c>
      <c r="AD226" s="23">
        <f t="shared" si="31"/>
        <v>7.1346433317230118E-2</v>
      </c>
      <c r="AE226" s="23">
        <f t="shared" si="31"/>
        <v>0.11538777852952412</v>
      </c>
      <c r="AF226" s="23">
        <f t="shared" si="31"/>
        <v>0.12558070358620421</v>
      </c>
      <c r="AG226" s="23">
        <f t="shared" si="31"/>
        <v>0.11603021150799145</v>
      </c>
      <c r="AH226" s="23">
        <f t="shared" si="31"/>
        <v>0</v>
      </c>
      <c r="AI226" s="23">
        <f t="shared" si="31"/>
        <v>0.10945099784944387</v>
      </c>
      <c r="AJ226" s="23">
        <f t="shared" si="31"/>
        <v>9.5268803117948386E-2</v>
      </c>
      <c r="AK226" s="23">
        <f t="shared" si="31"/>
        <v>0.1385111221623628</v>
      </c>
      <c r="AL226" s="23">
        <f t="shared" si="31"/>
        <v>7.3640686065329405E-2</v>
      </c>
      <c r="AM226" s="23">
        <f t="shared" si="31"/>
        <v>0</v>
      </c>
      <c r="AN226" s="23">
        <f t="shared" si="31"/>
        <v>0.11250136977911894</v>
      </c>
      <c r="AO226" s="23">
        <f t="shared" si="31"/>
        <v>0.13541680759161473</v>
      </c>
      <c r="AP226" s="23">
        <f t="shared" si="31"/>
        <v>7.6774576293463959E-2</v>
      </c>
      <c r="AQ226" s="23">
        <f t="shared" si="31"/>
        <v>7.1765383257853144E-2</v>
      </c>
      <c r="AR226" s="23">
        <f t="shared" si="31"/>
        <v>0.1266162408738668</v>
      </c>
      <c r="AS226" s="23">
        <f t="shared" si="31"/>
        <v>0.11858238180864945</v>
      </c>
      <c r="AT226" s="23">
        <f t="shared" si="31"/>
        <v>8.3109863665426012E-2</v>
      </c>
      <c r="AU226" s="23">
        <f t="shared" si="31"/>
        <v>7.8959651198161729E-2</v>
      </c>
      <c r="AV226" s="23">
        <f t="shared" si="31"/>
        <v>0.10320401449136793</v>
      </c>
      <c r="AW226" s="23">
        <f t="shared" si="31"/>
        <v>6.6523896781025313E-2</v>
      </c>
      <c r="AX226" s="23">
        <f t="shared" si="31"/>
        <v>0.66981212564355708</v>
      </c>
      <c r="AY226" s="23">
        <f t="shared" si="31"/>
        <v>0</v>
      </c>
      <c r="AZ226" s="23">
        <f t="shared" si="31"/>
        <v>6.7709992440478567E-2</v>
      </c>
      <c r="BA226" s="23">
        <f t="shared" si="31"/>
        <v>0.11472446317456163</v>
      </c>
      <c r="BB226" s="23">
        <f t="shared" si="31"/>
        <v>0.30259988762787582</v>
      </c>
      <c r="BC226" s="23">
        <f t="shared" si="31"/>
        <v>9.5268803117948386E-2</v>
      </c>
      <c r="BD226" s="23">
        <f t="shared" si="31"/>
        <v>8.0420990349820087E-2</v>
      </c>
      <c r="BE226" s="23">
        <f t="shared" si="31"/>
        <v>0.14310635340979522</v>
      </c>
      <c r="BF226" s="23">
        <f t="shared" si="31"/>
        <v>7.9766520470039293E-2</v>
      </c>
      <c r="BG226" s="23">
        <f t="shared" si="31"/>
        <v>9.04635132626391E-2</v>
      </c>
      <c r="BH226" s="23">
        <f t="shared" si="31"/>
        <v>1</v>
      </c>
      <c r="BI226" s="23">
        <f t="shared" si="31"/>
        <v>0.11091213766781405</v>
      </c>
      <c r="BJ226" s="23">
        <f t="shared" si="31"/>
        <v>0.14296865493902622</v>
      </c>
      <c r="BK226" s="23">
        <f t="shared" si="31"/>
        <v>0.10183668847176318</v>
      </c>
      <c r="BL226" s="23">
        <f t="shared" si="31"/>
        <v>0</v>
      </c>
      <c r="BM226" s="23">
        <f t="shared" si="31"/>
        <v>0</v>
      </c>
      <c r="BN226" s="23">
        <f t="shared" si="31"/>
        <v>0.1266162408738668</v>
      </c>
      <c r="BO226" s="23">
        <f t="shared" si="30"/>
        <v>6.8428477459072934E-2</v>
      </c>
      <c r="BP226" s="23">
        <f t="shared" si="30"/>
        <v>0.1138750822237064</v>
      </c>
      <c r="BQ226" s="23">
        <f t="shared" si="30"/>
        <v>0</v>
      </c>
      <c r="BR226" s="23">
        <f t="shared" si="30"/>
        <v>0.22730858913539276</v>
      </c>
      <c r="BS226" s="23">
        <f t="shared" si="30"/>
        <v>7.7342777239015795E-2</v>
      </c>
      <c r="BT226" s="23">
        <f t="shared" si="30"/>
        <v>0.13541680759161473</v>
      </c>
      <c r="BU226" s="23">
        <f t="shared" si="30"/>
        <v>6.5401301552326221E-2</v>
      </c>
      <c r="BV226" s="23">
        <f t="shared" si="30"/>
        <v>0.1025721343110866</v>
      </c>
      <c r="BW226" s="23">
        <f t="shared" si="30"/>
        <v>0.10488025851232695</v>
      </c>
      <c r="BX226" s="23">
        <f t="shared" si="30"/>
        <v>8.3609119019495387E-2</v>
      </c>
      <c r="BY226" s="23">
        <f t="shared" si="30"/>
        <v>0</v>
      </c>
      <c r="BZ226" s="23">
        <f t="shared" si="30"/>
        <v>0</v>
      </c>
      <c r="CA226" s="23">
        <f t="shared" si="30"/>
        <v>6.7869217831418971E-2</v>
      </c>
    </row>
    <row r="227" spans="1:79" ht="15.75" customHeight="1" x14ac:dyDescent="0.2">
      <c r="A227" s="30" t="s">
        <v>113</v>
      </c>
      <c r="B227" s="23">
        <f t="shared" si="2"/>
        <v>0.30224120474454041</v>
      </c>
      <c r="C227" s="23">
        <f t="shared" si="31"/>
        <v>0.18645060805016705</v>
      </c>
      <c r="D227" s="23">
        <f t="shared" si="31"/>
        <v>0.17936687984463703</v>
      </c>
      <c r="E227" s="23">
        <f t="shared" si="31"/>
        <v>0.17936687984463703</v>
      </c>
      <c r="F227" s="23">
        <f t="shared" si="31"/>
        <v>0.41483697148473914</v>
      </c>
      <c r="G227" s="23">
        <f t="shared" si="31"/>
        <v>0.10444348094550739</v>
      </c>
      <c r="H227" s="23">
        <f t="shared" si="31"/>
        <v>0.57635744439645853</v>
      </c>
      <c r="I227" s="23">
        <f t="shared" si="31"/>
        <v>0.20061901014652633</v>
      </c>
      <c r="J227" s="23">
        <f t="shared" si="31"/>
        <v>8.2751578912481583E-2</v>
      </c>
      <c r="K227" s="23">
        <f t="shared" si="31"/>
        <v>2.3180258032574987</v>
      </c>
      <c r="L227" s="23">
        <f t="shared" si="31"/>
        <v>0.19628461450800724</v>
      </c>
      <c r="M227" s="23">
        <f t="shared" si="31"/>
        <v>0</v>
      </c>
      <c r="N227" s="23">
        <f t="shared" si="31"/>
        <v>0.56242859559769143</v>
      </c>
      <c r="O227" s="23">
        <f t="shared" si="31"/>
        <v>1.1101932999015656</v>
      </c>
      <c r="P227" s="23">
        <f t="shared" si="31"/>
        <v>0.12839806861073372</v>
      </c>
      <c r="Q227" s="23">
        <f t="shared" si="31"/>
        <v>0</v>
      </c>
      <c r="R227" s="23">
        <f t="shared" si="31"/>
        <v>0.88890473981664586</v>
      </c>
      <c r="S227" s="23">
        <f t="shared" si="31"/>
        <v>0</v>
      </c>
      <c r="T227" s="23">
        <f t="shared" si="31"/>
        <v>0.17685752538388816</v>
      </c>
      <c r="U227" s="23">
        <f t="shared" si="31"/>
        <v>0</v>
      </c>
      <c r="V227" s="23">
        <f t="shared" si="31"/>
        <v>0.17936687984463703</v>
      </c>
      <c r="W227" s="23">
        <f t="shared" si="31"/>
        <v>0.15004769771343318</v>
      </c>
      <c r="X227" s="23">
        <f t="shared" si="31"/>
        <v>0.56242859559769143</v>
      </c>
      <c r="Y227" s="23">
        <f t="shared" si="31"/>
        <v>0.18551029025197371</v>
      </c>
      <c r="Z227" s="23">
        <f t="shared" si="31"/>
        <v>0</v>
      </c>
      <c r="AA227" s="23">
        <f t="shared" si="31"/>
        <v>0.14541884612312003</v>
      </c>
      <c r="AB227" s="23">
        <f t="shared" si="31"/>
        <v>2.4892430858002865</v>
      </c>
      <c r="AC227" s="23">
        <f t="shared" si="31"/>
        <v>0.25411595394967856</v>
      </c>
      <c r="AD227" s="23">
        <f t="shared" si="31"/>
        <v>0.13710461481814892</v>
      </c>
      <c r="AE227" s="23">
        <f t="shared" si="31"/>
        <v>1.0462999725099638</v>
      </c>
      <c r="AF227" s="23">
        <f t="shared" si="31"/>
        <v>0.94197983965481502</v>
      </c>
      <c r="AG227" s="23">
        <f t="shared" si="31"/>
        <v>2.4919383067801131</v>
      </c>
      <c r="AH227" s="23">
        <f t="shared" si="31"/>
        <v>0</v>
      </c>
      <c r="AI227" s="23">
        <f t="shared" si="31"/>
        <v>0.80549487450763368</v>
      </c>
      <c r="AJ227" s="23">
        <f t="shared" si="31"/>
        <v>0.41483697148473914</v>
      </c>
      <c r="AK227" s="23">
        <f t="shared" si="31"/>
        <v>0.10740088630100232</v>
      </c>
      <c r="AL227" s="23">
        <f t="shared" si="31"/>
        <v>0.2186863039307439</v>
      </c>
      <c r="AM227" s="23">
        <f t="shared" si="31"/>
        <v>0</v>
      </c>
      <c r="AN227" s="23">
        <f t="shared" si="31"/>
        <v>2.3645332596045989</v>
      </c>
      <c r="AO227" s="23">
        <f t="shared" si="31"/>
        <v>0.56242859559769143</v>
      </c>
      <c r="AP227" s="23">
        <f t="shared" si="31"/>
        <v>0.24467222367175573</v>
      </c>
      <c r="AQ227" s="23">
        <f t="shared" si="31"/>
        <v>0.12535681423231662</v>
      </c>
      <c r="AR227" s="23">
        <f t="shared" si="31"/>
        <v>0.88890473981664586</v>
      </c>
      <c r="AS227" s="23">
        <f t="shared" si="31"/>
        <v>0.97777865074251891</v>
      </c>
      <c r="AT227" s="23">
        <f t="shared" si="31"/>
        <v>0.15008840968324913</v>
      </c>
      <c r="AU227" s="23">
        <f t="shared" si="31"/>
        <v>0.16634246016656751</v>
      </c>
      <c r="AV227" s="23">
        <f t="shared" si="31"/>
        <v>0.62097363497845737</v>
      </c>
      <c r="AW227" s="23">
        <f t="shared" si="31"/>
        <v>0.1635775667905178</v>
      </c>
      <c r="AX227" s="23">
        <f t="shared" si="31"/>
        <v>0.13033341618235023</v>
      </c>
      <c r="AY227" s="23">
        <f t="shared" si="31"/>
        <v>0</v>
      </c>
      <c r="AZ227" s="23">
        <f t="shared" si="31"/>
        <v>0.14152508417188142</v>
      </c>
      <c r="BA227" s="23">
        <f t="shared" si="31"/>
        <v>0.65037981352573748</v>
      </c>
      <c r="BB227" s="23">
        <f t="shared" si="31"/>
        <v>0.1264766926219815</v>
      </c>
      <c r="BC227" s="23">
        <f t="shared" si="31"/>
        <v>0.41483697148473914</v>
      </c>
      <c r="BD227" s="23">
        <f t="shared" si="31"/>
        <v>0.22283482459421913</v>
      </c>
      <c r="BE227" s="23">
        <f t="shared" si="31"/>
        <v>0.42903699024923914</v>
      </c>
      <c r="BF227" s="23">
        <f t="shared" si="31"/>
        <v>0.2809528538991915</v>
      </c>
      <c r="BG227" s="23">
        <f t="shared" si="31"/>
        <v>0.42721514579514991</v>
      </c>
      <c r="BH227" s="23">
        <f t="shared" si="31"/>
        <v>0.11091213766781405</v>
      </c>
      <c r="BI227" s="23">
        <f t="shared" si="31"/>
        <v>1</v>
      </c>
      <c r="BJ227" s="23">
        <f t="shared" si="31"/>
        <v>0.46675408276953417</v>
      </c>
      <c r="BK227" s="23">
        <f t="shared" si="31"/>
        <v>1.1187813275407368</v>
      </c>
      <c r="BL227" s="23">
        <f t="shared" si="31"/>
        <v>0</v>
      </c>
      <c r="BM227" s="23">
        <f t="shared" si="31"/>
        <v>0</v>
      </c>
      <c r="BN227" s="23">
        <f t="shared" si="31"/>
        <v>0.88890473981664586</v>
      </c>
      <c r="BO227" s="23">
        <f t="shared" si="30"/>
        <v>0.13686969508575375</v>
      </c>
      <c r="BP227" s="23">
        <f t="shared" si="30"/>
        <v>2.421487853460385</v>
      </c>
      <c r="BQ227" s="23">
        <f t="shared" si="30"/>
        <v>0</v>
      </c>
      <c r="BR227" s="23">
        <f t="shared" si="30"/>
        <v>0.17936687984463703</v>
      </c>
      <c r="BS227" s="23">
        <f t="shared" si="30"/>
        <v>0.18551029025197371</v>
      </c>
      <c r="BT227" s="23">
        <f t="shared" si="30"/>
        <v>0.56242859559769143</v>
      </c>
      <c r="BU227" s="23">
        <f t="shared" si="30"/>
        <v>0.15914513401172259</v>
      </c>
      <c r="BV227" s="23">
        <f t="shared" si="30"/>
        <v>0.78464428971730549</v>
      </c>
      <c r="BW227" s="23">
        <f t="shared" si="30"/>
        <v>1.8686464439019814</v>
      </c>
      <c r="BX227" s="23">
        <f t="shared" si="30"/>
        <v>0.3396337763083716</v>
      </c>
      <c r="BY227" s="23">
        <f t="shared" si="30"/>
        <v>0</v>
      </c>
      <c r="BZ227" s="23">
        <f t="shared" si="30"/>
        <v>0</v>
      </c>
      <c r="CA227" s="23">
        <f t="shared" si="30"/>
        <v>0.16442001465737272</v>
      </c>
    </row>
    <row r="228" spans="1:79" ht="15.75" customHeight="1" x14ac:dyDescent="0.2">
      <c r="A228" s="30" t="s">
        <v>114</v>
      </c>
      <c r="B228" s="23">
        <f t="shared" si="2"/>
        <v>0.18984165154466162</v>
      </c>
      <c r="C228" s="23">
        <f t="shared" si="31"/>
        <v>0.18541165387530717</v>
      </c>
      <c r="D228" s="23">
        <f t="shared" si="31"/>
        <v>0.22439980720780792</v>
      </c>
      <c r="E228" s="23">
        <f t="shared" si="31"/>
        <v>0.22439980720780792</v>
      </c>
      <c r="F228" s="23">
        <f t="shared" si="31"/>
        <v>0.26752383968193705</v>
      </c>
      <c r="G228" s="23">
        <f t="shared" si="31"/>
        <v>0.13411452455974537</v>
      </c>
      <c r="H228" s="23">
        <f t="shared" si="31"/>
        <v>0.28379097115414975</v>
      </c>
      <c r="I228" s="23">
        <f t="shared" si="31"/>
        <v>0.14047512964939293</v>
      </c>
      <c r="J228" s="23">
        <f t="shared" si="31"/>
        <v>7.1324285328999648E-2</v>
      </c>
      <c r="K228" s="23">
        <f t="shared" si="31"/>
        <v>0.56034742058452625</v>
      </c>
      <c r="L228" s="23">
        <f t="shared" si="31"/>
        <v>0.14060920070255983</v>
      </c>
      <c r="M228" s="23">
        <f t="shared" si="31"/>
        <v>0</v>
      </c>
      <c r="N228" s="23">
        <f t="shared" si="31"/>
        <v>2.5636035823572834</v>
      </c>
      <c r="O228" s="23">
        <f t="shared" si="31"/>
        <v>0.75197153374839887</v>
      </c>
      <c r="P228" s="23">
        <f t="shared" si="31"/>
        <v>0.1768370736597612</v>
      </c>
      <c r="Q228" s="23">
        <f t="shared" si="31"/>
        <v>0</v>
      </c>
      <c r="R228" s="23">
        <f t="shared" si="31"/>
        <v>0.81228606292228955</v>
      </c>
      <c r="S228" s="23">
        <f t="shared" si="31"/>
        <v>0</v>
      </c>
      <c r="T228" s="23">
        <f t="shared" si="31"/>
        <v>0.1301565212443169</v>
      </c>
      <c r="U228" s="23">
        <f t="shared" si="31"/>
        <v>0</v>
      </c>
      <c r="V228" s="23">
        <f t="shared" si="31"/>
        <v>0.22439980720780792</v>
      </c>
      <c r="W228" s="23">
        <f t="shared" si="31"/>
        <v>0.11495301753689868</v>
      </c>
      <c r="X228" s="23">
        <f t="shared" si="31"/>
        <v>2.5636035823572834</v>
      </c>
      <c r="Y228" s="23">
        <f t="shared" si="31"/>
        <v>0.13319844303076547</v>
      </c>
      <c r="Z228" s="23">
        <f t="shared" si="31"/>
        <v>0</v>
      </c>
      <c r="AA228" s="23">
        <f t="shared" si="31"/>
        <v>0.18351494604725027</v>
      </c>
      <c r="AB228" s="23">
        <f t="shared" si="31"/>
        <v>0.57411857964216473</v>
      </c>
      <c r="AC228" s="23">
        <f t="shared" si="31"/>
        <v>0.22243009831445487</v>
      </c>
      <c r="AD228" s="23">
        <f t="shared" si="31"/>
        <v>0.10604241807221748</v>
      </c>
      <c r="AE228" s="23">
        <f t="shared" si="31"/>
        <v>0.42978130161413142</v>
      </c>
      <c r="AF228" s="23">
        <f t="shared" si="31"/>
        <v>0.88671472047678523</v>
      </c>
      <c r="AG228" s="23">
        <f t="shared" si="31"/>
        <v>0.55687630069952032</v>
      </c>
      <c r="AH228" s="23">
        <f t="shared" si="31"/>
        <v>0</v>
      </c>
      <c r="AI228" s="23">
        <f t="shared" si="31"/>
        <v>0.45171066791617909</v>
      </c>
      <c r="AJ228" s="23">
        <f t="shared" si="31"/>
        <v>0.26752383968193705</v>
      </c>
      <c r="AK228" s="23">
        <f t="shared" si="31"/>
        <v>0.10202922668485057</v>
      </c>
      <c r="AL228" s="23">
        <f t="shared" si="31"/>
        <v>0.1517961813989048</v>
      </c>
      <c r="AM228" s="23">
        <f t="shared" si="31"/>
        <v>0</v>
      </c>
      <c r="AN228" s="23">
        <f t="shared" si="31"/>
        <v>0.52149597428790806</v>
      </c>
      <c r="AO228" s="23">
        <f t="shared" si="31"/>
        <v>2.5636035823572834</v>
      </c>
      <c r="AP228" s="23">
        <f t="shared" si="31"/>
        <v>0.16561548163092696</v>
      </c>
      <c r="AQ228" s="23">
        <f t="shared" si="31"/>
        <v>0.10153198339459238</v>
      </c>
      <c r="AR228" s="23">
        <f t="shared" si="31"/>
        <v>0.81228606292228955</v>
      </c>
      <c r="AS228" s="23">
        <f t="shared" si="31"/>
        <v>0.69190180085533937</v>
      </c>
      <c r="AT228" s="23">
        <f t="shared" si="31"/>
        <v>0.11555120330432357</v>
      </c>
      <c r="AU228" s="23">
        <f t="shared" si="31"/>
        <v>0.12359613432478742</v>
      </c>
      <c r="AV228" s="23">
        <f t="shared" si="31"/>
        <v>0.35529818936892404</v>
      </c>
      <c r="AW228" s="23">
        <f t="shared" si="31"/>
        <v>0.12228269953968651</v>
      </c>
      <c r="AX228" s="23">
        <f t="shared" si="31"/>
        <v>0.17913983980545603</v>
      </c>
      <c r="AY228" s="23">
        <f t="shared" si="31"/>
        <v>0</v>
      </c>
      <c r="AZ228" s="23">
        <f t="shared" si="31"/>
        <v>0.11129250536467065</v>
      </c>
      <c r="BA228" s="23">
        <f t="shared" si="31"/>
        <v>0.52351394265585205</v>
      </c>
      <c r="BB228" s="23">
        <f t="shared" si="31"/>
        <v>0.14846883824559939</v>
      </c>
      <c r="BC228" s="23">
        <f t="shared" si="31"/>
        <v>0.26752383968193705</v>
      </c>
      <c r="BD228" s="23">
        <f t="shared" si="31"/>
        <v>0.15152492396077338</v>
      </c>
      <c r="BE228" s="23">
        <f t="shared" si="31"/>
        <v>2.2881140381572558</v>
      </c>
      <c r="BF228" s="23">
        <f t="shared" si="31"/>
        <v>0.18043552132691723</v>
      </c>
      <c r="BG228" s="23">
        <f t="shared" si="31"/>
        <v>0.24412655995302068</v>
      </c>
      <c r="BH228" s="23">
        <f t="shared" si="31"/>
        <v>0.14296865493902622</v>
      </c>
      <c r="BI228" s="23">
        <f t="shared" si="31"/>
        <v>0.46675408276953417</v>
      </c>
      <c r="BJ228" s="23">
        <f t="shared" si="31"/>
        <v>1</v>
      </c>
      <c r="BK228" s="23">
        <f t="shared" si="31"/>
        <v>0.32966751696730257</v>
      </c>
      <c r="BL228" s="23">
        <f t="shared" si="31"/>
        <v>0</v>
      </c>
      <c r="BM228" s="23">
        <f t="shared" si="31"/>
        <v>0</v>
      </c>
      <c r="BN228" s="23">
        <f t="shared" si="31"/>
        <v>0.81228606292228955</v>
      </c>
      <c r="BO228" s="23">
        <f t="shared" si="30"/>
        <v>0.10833283731262046</v>
      </c>
      <c r="BP228" s="23">
        <f t="shared" si="30"/>
        <v>0.54832130504404386</v>
      </c>
      <c r="BQ228" s="23">
        <f t="shared" si="30"/>
        <v>0</v>
      </c>
      <c r="BR228" s="23">
        <f t="shared" si="30"/>
        <v>0.22439980720780792</v>
      </c>
      <c r="BS228" s="23">
        <f t="shared" si="30"/>
        <v>0.13319844303076547</v>
      </c>
      <c r="BT228" s="23">
        <f t="shared" si="30"/>
        <v>2.5636035823572834</v>
      </c>
      <c r="BU228" s="23">
        <f t="shared" si="30"/>
        <v>0.12051493014419781</v>
      </c>
      <c r="BV228" s="23">
        <f t="shared" si="30"/>
        <v>0.35963668848594821</v>
      </c>
      <c r="BW228" s="23">
        <f t="shared" si="30"/>
        <v>0.38422027739395609</v>
      </c>
      <c r="BX228" s="23">
        <f t="shared" si="30"/>
        <v>0.19987909383987357</v>
      </c>
      <c r="BY228" s="23">
        <f t="shared" si="30"/>
        <v>0</v>
      </c>
      <c r="BZ228" s="23">
        <f t="shared" si="30"/>
        <v>0</v>
      </c>
      <c r="CA228" s="23">
        <f t="shared" si="30"/>
        <v>0.12218700628353193</v>
      </c>
    </row>
    <row r="229" spans="1:79" ht="15.75" customHeight="1" x14ac:dyDescent="0.2">
      <c r="A229" s="30" t="s">
        <v>115</v>
      </c>
      <c r="B229" s="23">
        <f t="shared" si="2"/>
        <v>0.38253037723536731</v>
      </c>
      <c r="C229" s="23">
        <f t="shared" si="31"/>
        <v>0.17928405043727724</v>
      </c>
      <c r="D229" s="23">
        <f t="shared" si="31"/>
        <v>0.1645993999048235</v>
      </c>
      <c r="E229" s="23">
        <f t="shared" si="31"/>
        <v>0.1645993999048235</v>
      </c>
      <c r="F229" s="23">
        <f t="shared" si="31"/>
        <v>0.43393128689181187</v>
      </c>
      <c r="G229" s="23">
        <f t="shared" si="31"/>
        <v>9.5543245016616818E-2</v>
      </c>
      <c r="H229" s="23">
        <f t="shared" si="31"/>
        <v>0.71389328766430804</v>
      </c>
      <c r="I229" s="23">
        <f t="shared" si="31"/>
        <v>0.24333836362186684</v>
      </c>
      <c r="J229" s="23">
        <f t="shared" si="31"/>
        <v>8.8911768927697948E-2</v>
      </c>
      <c r="K229" s="23">
        <f t="shared" si="31"/>
        <v>0.77110866894009489</v>
      </c>
      <c r="L229" s="23">
        <f t="shared" si="31"/>
        <v>0.23200286784621965</v>
      </c>
      <c r="M229" s="23">
        <f t="shared" si="31"/>
        <v>0</v>
      </c>
      <c r="N229" s="23">
        <f t="shared" si="31"/>
        <v>0.37429534832429034</v>
      </c>
      <c r="O229" s="23">
        <f t="shared" si="31"/>
        <v>0.57140463347226689</v>
      </c>
      <c r="P229" s="23">
        <f t="shared" si="31"/>
        <v>0.11517958832805671</v>
      </c>
      <c r="Q229" s="23">
        <f t="shared" si="31"/>
        <v>0</v>
      </c>
      <c r="R229" s="23">
        <f t="shared" si="31"/>
        <v>0.5148557455405347</v>
      </c>
      <c r="S229" s="23">
        <f t="shared" si="31"/>
        <v>0</v>
      </c>
      <c r="T229" s="23">
        <f t="shared" si="31"/>
        <v>0.2059607237452174</v>
      </c>
      <c r="U229" s="23">
        <f t="shared" si="31"/>
        <v>0</v>
      </c>
      <c r="V229" s="23">
        <f t="shared" si="31"/>
        <v>0.1645993999048235</v>
      </c>
      <c r="W229" s="23">
        <f t="shared" si="31"/>
        <v>0.17087475156972826</v>
      </c>
      <c r="X229" s="23">
        <f t="shared" si="31"/>
        <v>0.37429534832429034</v>
      </c>
      <c r="Y229" s="23">
        <f t="shared" si="31"/>
        <v>0.22226004807586155</v>
      </c>
      <c r="Z229" s="23">
        <f t="shared" si="31"/>
        <v>0</v>
      </c>
      <c r="AA229" s="23">
        <f t="shared" si="31"/>
        <v>0.13429643743172862</v>
      </c>
      <c r="AB229" s="23">
        <f t="shared" si="31"/>
        <v>0.77193671237668549</v>
      </c>
      <c r="AC229" s="23">
        <f t="shared" si="31"/>
        <v>0.24774218992848354</v>
      </c>
      <c r="AD229" s="23">
        <f t="shared" si="31"/>
        <v>0.15593416622169123</v>
      </c>
      <c r="AE229" s="23">
        <f t="shared" si="31"/>
        <v>0.80230966219324906</v>
      </c>
      <c r="AF229" s="23">
        <f t="shared" si="31"/>
        <v>0.51772737537211611</v>
      </c>
      <c r="AG229" s="23">
        <f t="shared" si="31"/>
        <v>0.80038055177775214</v>
      </c>
      <c r="AH229" s="23">
        <f t="shared" si="31"/>
        <v>0</v>
      </c>
      <c r="AI229" s="23">
        <f t="shared" si="31"/>
        <v>0.57705375031253137</v>
      </c>
      <c r="AJ229" s="23">
        <f t="shared" si="31"/>
        <v>0.43393128689181187</v>
      </c>
      <c r="AK229" s="23">
        <f t="shared" si="31"/>
        <v>0.11184570466354576</v>
      </c>
      <c r="AL229" s="23">
        <f t="shared" si="31"/>
        <v>0.26328902736540843</v>
      </c>
      <c r="AM229" s="23">
        <f t="shared" si="31"/>
        <v>0</v>
      </c>
      <c r="AN229" s="23">
        <f t="shared" si="31"/>
        <v>0.82069135877697874</v>
      </c>
      <c r="AO229" s="23">
        <f t="shared" si="31"/>
        <v>0.37429534832429034</v>
      </c>
      <c r="AP229" s="23">
        <f t="shared" si="31"/>
        <v>0.29664627926505405</v>
      </c>
      <c r="AQ229" s="23">
        <f t="shared" si="31"/>
        <v>0.13827007513182626</v>
      </c>
      <c r="AR229" s="23">
        <f t="shared" si="31"/>
        <v>0.5148557455405347</v>
      </c>
      <c r="AS229" s="23">
        <f t="shared" si="31"/>
        <v>0.54163746318096662</v>
      </c>
      <c r="AT229" s="23">
        <f t="shared" si="31"/>
        <v>0.17217006678987731</v>
      </c>
      <c r="AU229" s="23">
        <f t="shared" si="31"/>
        <v>0.19492080802499856</v>
      </c>
      <c r="AV229" s="23">
        <f t="shared" si="31"/>
        <v>0.55381642450230339</v>
      </c>
      <c r="AW229" s="23">
        <f t="shared" si="31"/>
        <v>0.18913694949870896</v>
      </c>
      <c r="AX229" s="23">
        <f t="shared" si="31"/>
        <v>0.11731455444829388</v>
      </c>
      <c r="AY229" s="23">
        <f t="shared" si="31"/>
        <v>0</v>
      </c>
      <c r="AZ229" s="23">
        <f t="shared" si="31"/>
        <v>0.15844037748028891</v>
      </c>
      <c r="BA229" s="23">
        <f t="shared" si="31"/>
        <v>0.46130084744012101</v>
      </c>
      <c r="BB229" s="23">
        <f t="shared" si="31"/>
        <v>0.12010461637728367</v>
      </c>
      <c r="BC229" s="23">
        <f t="shared" si="31"/>
        <v>0.43393128689181187</v>
      </c>
      <c r="BD229" s="23">
        <f t="shared" si="31"/>
        <v>0.27788388077093168</v>
      </c>
      <c r="BE229" s="23">
        <f t="shared" si="31"/>
        <v>0.31035946782838392</v>
      </c>
      <c r="BF229" s="23">
        <f t="shared" si="31"/>
        <v>0.35277584709108062</v>
      </c>
      <c r="BG229" s="23">
        <f t="shared" si="31"/>
        <v>0.52254126620671604</v>
      </c>
      <c r="BH229" s="23">
        <f t="shared" si="31"/>
        <v>0.10183668847176318</v>
      </c>
      <c r="BI229" s="23">
        <f t="shared" si="31"/>
        <v>1.1187813275407368</v>
      </c>
      <c r="BJ229" s="23">
        <f t="shared" si="31"/>
        <v>0.32966751696730257</v>
      </c>
      <c r="BK229" s="23">
        <f t="shared" si="31"/>
        <v>1</v>
      </c>
      <c r="BL229" s="23">
        <f t="shared" si="31"/>
        <v>0</v>
      </c>
      <c r="BM229" s="23">
        <f t="shared" si="31"/>
        <v>0</v>
      </c>
      <c r="BN229" s="23">
        <f t="shared" ref="BN229:CA236" si="32">IF(BN145&gt;=0, IF(BN145 = 0,  1, 1/BN145*$B$165), 0)</f>
        <v>0.5148557455405347</v>
      </c>
      <c r="BO229" s="23">
        <f t="shared" si="32"/>
        <v>0.15276948666732335</v>
      </c>
      <c r="BP229" s="23">
        <f t="shared" si="32"/>
        <v>0.78946174753170739</v>
      </c>
      <c r="BQ229" s="23">
        <f t="shared" si="32"/>
        <v>0</v>
      </c>
      <c r="BR229" s="23">
        <f t="shared" si="32"/>
        <v>0.1645993999048235</v>
      </c>
      <c r="BS229" s="23">
        <f t="shared" si="32"/>
        <v>0.22226004807586155</v>
      </c>
      <c r="BT229" s="23">
        <f t="shared" si="32"/>
        <v>0.37429534832429034</v>
      </c>
      <c r="BU229" s="23">
        <f t="shared" si="32"/>
        <v>0.18225180794842261</v>
      </c>
      <c r="BV229" s="23">
        <f t="shared" si="32"/>
        <v>0.7173706702273448</v>
      </c>
      <c r="BW229" s="23">
        <f t="shared" si="32"/>
        <v>1.704168929759833</v>
      </c>
      <c r="BX229" s="23">
        <f t="shared" si="32"/>
        <v>0.46105081702071271</v>
      </c>
      <c r="BY229" s="23">
        <f t="shared" si="32"/>
        <v>0</v>
      </c>
      <c r="BZ229" s="23">
        <f t="shared" si="32"/>
        <v>0</v>
      </c>
      <c r="CA229" s="23">
        <f t="shared" si="32"/>
        <v>0.19118172011919032</v>
      </c>
    </row>
    <row r="230" spans="1:79" ht="15.75" customHeight="1" x14ac:dyDescent="0.2">
      <c r="A230" s="30" t="s">
        <v>116</v>
      </c>
      <c r="B230" s="23">
        <f t="shared" si="2"/>
        <v>0</v>
      </c>
      <c r="C230" s="23">
        <f t="shared" ref="C230:BN233" si="33">IF(C146&gt;=0, IF(C146 = 0,  1, 1/C146*$B$165), 0)</f>
        <v>0</v>
      </c>
      <c r="D230" s="23">
        <f t="shared" si="33"/>
        <v>0</v>
      </c>
      <c r="E230" s="23">
        <f t="shared" si="33"/>
        <v>0</v>
      </c>
      <c r="F230" s="23">
        <f t="shared" si="33"/>
        <v>0</v>
      </c>
      <c r="G230" s="23">
        <f t="shared" si="33"/>
        <v>0</v>
      </c>
      <c r="H230" s="23">
        <f t="shared" si="33"/>
        <v>0</v>
      </c>
      <c r="I230" s="23">
        <f t="shared" si="33"/>
        <v>0</v>
      </c>
      <c r="J230" s="23">
        <f t="shared" si="33"/>
        <v>0</v>
      </c>
      <c r="K230" s="23">
        <f t="shared" si="33"/>
        <v>0</v>
      </c>
      <c r="L230" s="23">
        <f t="shared" si="33"/>
        <v>0</v>
      </c>
      <c r="M230" s="23">
        <f t="shared" si="33"/>
        <v>0</v>
      </c>
      <c r="N230" s="23">
        <f t="shared" si="33"/>
        <v>0</v>
      </c>
      <c r="O230" s="23">
        <f t="shared" si="33"/>
        <v>0</v>
      </c>
      <c r="P230" s="23">
        <f t="shared" si="33"/>
        <v>0</v>
      </c>
      <c r="Q230" s="23">
        <f t="shared" si="33"/>
        <v>0</v>
      </c>
      <c r="R230" s="23">
        <f t="shared" si="33"/>
        <v>0</v>
      </c>
      <c r="S230" s="23">
        <f t="shared" si="33"/>
        <v>0</v>
      </c>
      <c r="T230" s="23">
        <f t="shared" si="33"/>
        <v>0</v>
      </c>
      <c r="U230" s="23">
        <f t="shared" si="33"/>
        <v>0</v>
      </c>
      <c r="V230" s="23">
        <f t="shared" si="33"/>
        <v>0</v>
      </c>
      <c r="W230" s="23">
        <f t="shared" si="33"/>
        <v>0</v>
      </c>
      <c r="X230" s="23">
        <f t="shared" si="33"/>
        <v>0</v>
      </c>
      <c r="Y230" s="23">
        <f t="shared" si="33"/>
        <v>0</v>
      </c>
      <c r="Z230" s="23">
        <f t="shared" si="33"/>
        <v>0</v>
      </c>
      <c r="AA230" s="23">
        <f t="shared" si="33"/>
        <v>0</v>
      </c>
      <c r="AB230" s="23">
        <f t="shared" si="33"/>
        <v>0</v>
      </c>
      <c r="AC230" s="23">
        <f t="shared" si="33"/>
        <v>0</v>
      </c>
      <c r="AD230" s="23">
        <f t="shared" si="33"/>
        <v>0</v>
      </c>
      <c r="AE230" s="23">
        <f t="shared" si="33"/>
        <v>0</v>
      </c>
      <c r="AF230" s="23">
        <f t="shared" si="33"/>
        <v>0</v>
      </c>
      <c r="AG230" s="23">
        <f t="shared" si="33"/>
        <v>0</v>
      </c>
      <c r="AH230" s="23">
        <f t="shared" si="33"/>
        <v>0</v>
      </c>
      <c r="AI230" s="23">
        <f t="shared" si="33"/>
        <v>0</v>
      </c>
      <c r="AJ230" s="23">
        <f t="shared" si="33"/>
        <v>0</v>
      </c>
      <c r="AK230" s="23">
        <f t="shared" si="33"/>
        <v>0</v>
      </c>
      <c r="AL230" s="23">
        <f t="shared" si="33"/>
        <v>0</v>
      </c>
      <c r="AM230" s="23">
        <f t="shared" si="33"/>
        <v>0</v>
      </c>
      <c r="AN230" s="23">
        <f t="shared" si="33"/>
        <v>0</v>
      </c>
      <c r="AO230" s="23">
        <f t="shared" si="33"/>
        <v>0</v>
      </c>
      <c r="AP230" s="23">
        <f t="shared" si="33"/>
        <v>0</v>
      </c>
      <c r="AQ230" s="23">
        <f t="shared" si="33"/>
        <v>0</v>
      </c>
      <c r="AR230" s="23">
        <f t="shared" si="33"/>
        <v>0</v>
      </c>
      <c r="AS230" s="23">
        <f t="shared" si="33"/>
        <v>0</v>
      </c>
      <c r="AT230" s="23">
        <f t="shared" si="33"/>
        <v>0</v>
      </c>
      <c r="AU230" s="23">
        <f t="shared" si="33"/>
        <v>0</v>
      </c>
      <c r="AV230" s="23">
        <f t="shared" si="33"/>
        <v>0</v>
      </c>
      <c r="AW230" s="23">
        <f t="shared" si="33"/>
        <v>0</v>
      </c>
      <c r="AX230" s="23">
        <f t="shared" si="33"/>
        <v>0</v>
      </c>
      <c r="AY230" s="23">
        <f t="shared" si="33"/>
        <v>0</v>
      </c>
      <c r="AZ230" s="23">
        <f t="shared" si="33"/>
        <v>0</v>
      </c>
      <c r="BA230" s="23">
        <f t="shared" si="33"/>
        <v>0</v>
      </c>
      <c r="BB230" s="23">
        <f t="shared" si="33"/>
        <v>0</v>
      </c>
      <c r="BC230" s="23">
        <f t="shared" si="33"/>
        <v>0</v>
      </c>
      <c r="BD230" s="23">
        <f t="shared" si="33"/>
        <v>0</v>
      </c>
      <c r="BE230" s="23">
        <f t="shared" si="33"/>
        <v>0</v>
      </c>
      <c r="BF230" s="23">
        <f t="shared" si="33"/>
        <v>0</v>
      </c>
      <c r="BG230" s="23">
        <f t="shared" si="33"/>
        <v>0</v>
      </c>
      <c r="BH230" s="23">
        <f t="shared" si="33"/>
        <v>0</v>
      </c>
      <c r="BI230" s="23">
        <f t="shared" si="33"/>
        <v>0</v>
      </c>
      <c r="BJ230" s="23">
        <f t="shared" si="33"/>
        <v>0</v>
      </c>
      <c r="BK230" s="23">
        <f t="shared" si="33"/>
        <v>0</v>
      </c>
      <c r="BL230" s="23">
        <f t="shared" si="33"/>
        <v>1</v>
      </c>
      <c r="BM230" s="23">
        <f t="shared" si="33"/>
        <v>0</v>
      </c>
      <c r="BN230" s="23">
        <f t="shared" si="33"/>
        <v>0</v>
      </c>
      <c r="BO230" s="23">
        <f t="shared" si="32"/>
        <v>0</v>
      </c>
      <c r="BP230" s="23">
        <f t="shared" si="32"/>
        <v>0</v>
      </c>
      <c r="BQ230" s="23">
        <f t="shared" si="32"/>
        <v>0</v>
      </c>
      <c r="BR230" s="23">
        <f t="shared" si="32"/>
        <v>0</v>
      </c>
      <c r="BS230" s="23">
        <f t="shared" si="32"/>
        <v>0</v>
      </c>
      <c r="BT230" s="23">
        <f t="shared" si="32"/>
        <v>0</v>
      </c>
      <c r="BU230" s="23">
        <f t="shared" si="32"/>
        <v>0</v>
      </c>
      <c r="BV230" s="23">
        <f t="shared" si="32"/>
        <v>0</v>
      </c>
      <c r="BW230" s="23">
        <f t="shared" si="32"/>
        <v>0</v>
      </c>
      <c r="BX230" s="23">
        <f t="shared" si="32"/>
        <v>0</v>
      </c>
      <c r="BY230" s="23">
        <f t="shared" si="32"/>
        <v>0</v>
      </c>
      <c r="BZ230" s="23">
        <f t="shared" si="32"/>
        <v>0</v>
      </c>
      <c r="CA230" s="23">
        <f t="shared" si="32"/>
        <v>0</v>
      </c>
    </row>
    <row r="231" spans="1:79" ht="15.75" customHeight="1" x14ac:dyDescent="0.2">
      <c r="A231" s="30" t="s">
        <v>117</v>
      </c>
      <c r="B231" s="23">
        <f t="shared" si="2"/>
        <v>0</v>
      </c>
      <c r="C231" s="23">
        <f t="shared" si="33"/>
        <v>0</v>
      </c>
      <c r="D231" s="23">
        <f t="shared" si="33"/>
        <v>0</v>
      </c>
      <c r="E231" s="23">
        <f t="shared" si="33"/>
        <v>0</v>
      </c>
      <c r="F231" s="23">
        <f t="shared" si="33"/>
        <v>0</v>
      </c>
      <c r="G231" s="23">
        <f t="shared" si="33"/>
        <v>0</v>
      </c>
      <c r="H231" s="23">
        <f t="shared" si="33"/>
        <v>0</v>
      </c>
      <c r="I231" s="23">
        <f t="shared" si="33"/>
        <v>0</v>
      </c>
      <c r="J231" s="23">
        <f t="shared" si="33"/>
        <v>0</v>
      </c>
      <c r="K231" s="23">
        <f t="shared" si="33"/>
        <v>0</v>
      </c>
      <c r="L231" s="23">
        <f t="shared" si="33"/>
        <v>0</v>
      </c>
      <c r="M231" s="23">
        <f t="shared" si="33"/>
        <v>1</v>
      </c>
      <c r="N231" s="23">
        <f t="shared" si="33"/>
        <v>0</v>
      </c>
      <c r="O231" s="23">
        <f t="shared" si="33"/>
        <v>0</v>
      </c>
      <c r="P231" s="23">
        <f t="shared" si="33"/>
        <v>0</v>
      </c>
      <c r="Q231" s="23">
        <f t="shared" si="33"/>
        <v>0</v>
      </c>
      <c r="R231" s="23">
        <f t="shared" si="33"/>
        <v>0</v>
      </c>
      <c r="S231" s="23">
        <f t="shared" si="33"/>
        <v>0</v>
      </c>
      <c r="T231" s="23">
        <f t="shared" si="33"/>
        <v>0</v>
      </c>
      <c r="U231" s="23">
        <f t="shared" si="33"/>
        <v>0</v>
      </c>
      <c r="V231" s="23">
        <f t="shared" si="33"/>
        <v>0</v>
      </c>
      <c r="W231" s="23">
        <f t="shared" si="33"/>
        <v>0</v>
      </c>
      <c r="X231" s="23">
        <f t="shared" si="33"/>
        <v>0</v>
      </c>
      <c r="Y231" s="23">
        <f t="shared" si="33"/>
        <v>0</v>
      </c>
      <c r="Z231" s="23">
        <f t="shared" si="33"/>
        <v>0</v>
      </c>
      <c r="AA231" s="23">
        <f t="shared" si="33"/>
        <v>0</v>
      </c>
      <c r="AB231" s="23">
        <f t="shared" si="33"/>
        <v>0</v>
      </c>
      <c r="AC231" s="23">
        <f t="shared" si="33"/>
        <v>0</v>
      </c>
      <c r="AD231" s="23">
        <f t="shared" si="33"/>
        <v>0</v>
      </c>
      <c r="AE231" s="23">
        <f t="shared" si="33"/>
        <v>0</v>
      </c>
      <c r="AF231" s="23">
        <f t="shared" si="33"/>
        <v>0</v>
      </c>
      <c r="AG231" s="23">
        <f t="shared" si="33"/>
        <v>0</v>
      </c>
      <c r="AH231" s="23">
        <f t="shared" si="33"/>
        <v>0</v>
      </c>
      <c r="AI231" s="23">
        <f t="shared" si="33"/>
        <v>0</v>
      </c>
      <c r="AJ231" s="23">
        <f t="shared" si="33"/>
        <v>0</v>
      </c>
      <c r="AK231" s="23">
        <f t="shared" si="33"/>
        <v>0</v>
      </c>
      <c r="AL231" s="23">
        <f t="shared" si="33"/>
        <v>0</v>
      </c>
      <c r="AM231" s="23">
        <f t="shared" si="33"/>
        <v>0</v>
      </c>
      <c r="AN231" s="23">
        <f t="shared" si="33"/>
        <v>0</v>
      </c>
      <c r="AO231" s="23">
        <f t="shared" si="33"/>
        <v>0</v>
      </c>
      <c r="AP231" s="23">
        <f t="shared" si="33"/>
        <v>0</v>
      </c>
      <c r="AQ231" s="23">
        <f t="shared" si="33"/>
        <v>0</v>
      </c>
      <c r="AR231" s="23">
        <f t="shared" si="33"/>
        <v>0</v>
      </c>
      <c r="AS231" s="23">
        <f t="shared" si="33"/>
        <v>0</v>
      </c>
      <c r="AT231" s="23">
        <f t="shared" si="33"/>
        <v>0</v>
      </c>
      <c r="AU231" s="23">
        <f t="shared" si="33"/>
        <v>0</v>
      </c>
      <c r="AV231" s="23">
        <f t="shared" si="33"/>
        <v>0</v>
      </c>
      <c r="AW231" s="23">
        <f t="shared" si="33"/>
        <v>0</v>
      </c>
      <c r="AX231" s="23">
        <f t="shared" si="33"/>
        <v>0</v>
      </c>
      <c r="AY231" s="23">
        <f t="shared" si="33"/>
        <v>0</v>
      </c>
      <c r="AZ231" s="23">
        <f t="shared" si="33"/>
        <v>0</v>
      </c>
      <c r="BA231" s="23">
        <f t="shared" si="33"/>
        <v>0</v>
      </c>
      <c r="BB231" s="23">
        <f t="shared" si="33"/>
        <v>0</v>
      </c>
      <c r="BC231" s="23">
        <f t="shared" si="33"/>
        <v>0</v>
      </c>
      <c r="BD231" s="23">
        <f t="shared" si="33"/>
        <v>0</v>
      </c>
      <c r="BE231" s="23">
        <f t="shared" si="33"/>
        <v>0</v>
      </c>
      <c r="BF231" s="23">
        <f t="shared" si="33"/>
        <v>0</v>
      </c>
      <c r="BG231" s="23">
        <f t="shared" si="33"/>
        <v>0</v>
      </c>
      <c r="BH231" s="23">
        <f t="shared" si="33"/>
        <v>0</v>
      </c>
      <c r="BI231" s="23">
        <f t="shared" si="33"/>
        <v>0</v>
      </c>
      <c r="BJ231" s="23">
        <f t="shared" si="33"/>
        <v>0</v>
      </c>
      <c r="BK231" s="23">
        <f t="shared" si="33"/>
        <v>0</v>
      </c>
      <c r="BL231" s="23">
        <f t="shared" si="33"/>
        <v>0</v>
      </c>
      <c r="BM231" s="23">
        <f t="shared" si="33"/>
        <v>1</v>
      </c>
      <c r="BN231" s="23">
        <f t="shared" si="33"/>
        <v>0</v>
      </c>
      <c r="BO231" s="23">
        <f t="shared" si="32"/>
        <v>0</v>
      </c>
      <c r="BP231" s="23">
        <f t="shared" si="32"/>
        <v>0</v>
      </c>
      <c r="BQ231" s="23">
        <f t="shared" si="32"/>
        <v>0</v>
      </c>
      <c r="BR231" s="23">
        <f t="shared" si="32"/>
        <v>0</v>
      </c>
      <c r="BS231" s="23">
        <f t="shared" si="32"/>
        <v>0</v>
      </c>
      <c r="BT231" s="23">
        <f t="shared" si="32"/>
        <v>0</v>
      </c>
      <c r="BU231" s="23">
        <f t="shared" si="32"/>
        <v>0</v>
      </c>
      <c r="BV231" s="23">
        <f t="shared" si="32"/>
        <v>0</v>
      </c>
      <c r="BW231" s="23">
        <f t="shared" si="32"/>
        <v>0</v>
      </c>
      <c r="BX231" s="23">
        <f t="shared" si="32"/>
        <v>0</v>
      </c>
      <c r="BY231" s="23">
        <f t="shared" si="32"/>
        <v>0</v>
      </c>
      <c r="BZ231" s="23">
        <f t="shared" si="32"/>
        <v>0</v>
      </c>
      <c r="CA231" s="23">
        <f t="shared" si="32"/>
        <v>0</v>
      </c>
    </row>
    <row r="232" spans="1:79" ht="15.75" customHeight="1" x14ac:dyDescent="0.2">
      <c r="A232" s="30" t="s">
        <v>118</v>
      </c>
      <c r="B232" s="23">
        <f t="shared" si="2"/>
        <v>0.22560661466557774</v>
      </c>
      <c r="C232" s="23">
        <f t="shared" si="33"/>
        <v>0.17215299993428149</v>
      </c>
      <c r="D232" s="23">
        <f t="shared" si="33"/>
        <v>0.2182966372150941</v>
      </c>
      <c r="E232" s="23">
        <f t="shared" si="33"/>
        <v>0.2182966372150941</v>
      </c>
      <c r="F232" s="23">
        <f t="shared" si="33"/>
        <v>0.3003466765224802</v>
      </c>
      <c r="G232" s="23">
        <f t="shared" si="33"/>
        <v>0.11569828800414514</v>
      </c>
      <c r="H232" s="23">
        <f t="shared" si="33"/>
        <v>0.35622481651040272</v>
      </c>
      <c r="I232" s="23">
        <f t="shared" si="33"/>
        <v>0.16541955299823979</v>
      </c>
      <c r="J232" s="23">
        <f t="shared" si="33"/>
        <v>7.5820142431356055E-2</v>
      </c>
      <c r="K232" s="23">
        <f t="shared" si="33"/>
        <v>1.0423091660645429</v>
      </c>
      <c r="L232" s="23">
        <f t="shared" si="33"/>
        <v>0.1608677796299248</v>
      </c>
      <c r="M232" s="23">
        <f t="shared" si="33"/>
        <v>0</v>
      </c>
      <c r="N232" s="23">
        <f t="shared" si="33"/>
        <v>1.0192309370421597</v>
      </c>
      <c r="O232" s="23">
        <f t="shared" si="33"/>
        <v>4.0143787599110521</v>
      </c>
      <c r="P232" s="23">
        <f t="shared" si="33"/>
        <v>0.14642422042636019</v>
      </c>
      <c r="Q232" s="23">
        <f t="shared" si="33"/>
        <v>0</v>
      </c>
      <c r="R232" s="23">
        <f t="shared" si="33"/>
        <v>1</v>
      </c>
      <c r="S232" s="23">
        <f t="shared" si="33"/>
        <v>0</v>
      </c>
      <c r="T232" s="23">
        <f t="shared" si="33"/>
        <v>0.14764225073867057</v>
      </c>
      <c r="U232" s="23">
        <f t="shared" si="33"/>
        <v>0</v>
      </c>
      <c r="V232" s="23">
        <f t="shared" si="33"/>
        <v>0.2182966372150941</v>
      </c>
      <c r="W232" s="23">
        <f t="shared" si="33"/>
        <v>0.12853572554370898</v>
      </c>
      <c r="X232" s="23">
        <f t="shared" si="33"/>
        <v>1.0192309370421597</v>
      </c>
      <c r="Y232" s="23">
        <f t="shared" si="33"/>
        <v>0.15817268011337288</v>
      </c>
      <c r="Z232" s="23">
        <f t="shared" si="33"/>
        <v>0</v>
      </c>
      <c r="AA232" s="23">
        <f t="shared" si="33"/>
        <v>0.17185247157856298</v>
      </c>
      <c r="AB232" s="23">
        <f t="shared" si="33"/>
        <v>1.2465339222043326</v>
      </c>
      <c r="AC232" s="23">
        <f t="shared" si="33"/>
        <v>0.21829783677975381</v>
      </c>
      <c r="AD232" s="23">
        <f t="shared" si="33"/>
        <v>0.11994149670471894</v>
      </c>
      <c r="AE232" s="23">
        <f t="shared" si="33"/>
        <v>0.91220952832256874</v>
      </c>
      <c r="AF232" s="23">
        <f t="shared" si="33"/>
        <v>3.7380849493138268</v>
      </c>
      <c r="AG232" s="23">
        <f t="shared" si="33"/>
        <v>1.3814848283133536</v>
      </c>
      <c r="AH232" s="23">
        <f t="shared" si="33"/>
        <v>0</v>
      </c>
      <c r="AI232" s="23">
        <f t="shared" si="33"/>
        <v>0.53832192112616273</v>
      </c>
      <c r="AJ232" s="23">
        <f t="shared" si="33"/>
        <v>0.3003466765224802</v>
      </c>
      <c r="AK232" s="23">
        <f t="shared" si="33"/>
        <v>0.10983398035863605</v>
      </c>
      <c r="AL232" s="23">
        <f t="shared" si="33"/>
        <v>0.17557728974200384</v>
      </c>
      <c r="AM232" s="23">
        <f t="shared" si="33"/>
        <v>0</v>
      </c>
      <c r="AN232" s="23">
        <f t="shared" si="33"/>
        <v>0.88836955633320203</v>
      </c>
      <c r="AO232" s="23">
        <f t="shared" si="33"/>
        <v>1.0192309370421597</v>
      </c>
      <c r="AP232" s="23">
        <f t="shared" si="33"/>
        <v>0.19188270140333227</v>
      </c>
      <c r="AQ232" s="23">
        <f t="shared" si="33"/>
        <v>0.10987077173466062</v>
      </c>
      <c r="AR232" s="23">
        <f t="shared" si="33"/>
        <v>1</v>
      </c>
      <c r="AS232" s="23">
        <f t="shared" si="33"/>
        <v>0.89761856930875139</v>
      </c>
      <c r="AT232" s="23">
        <f t="shared" si="33"/>
        <v>0.134701668999713</v>
      </c>
      <c r="AU232" s="23">
        <f t="shared" si="33"/>
        <v>0.14536973456285479</v>
      </c>
      <c r="AV232" s="23">
        <f t="shared" si="33"/>
        <v>0.41385517978577269</v>
      </c>
      <c r="AW232" s="23">
        <f t="shared" si="33"/>
        <v>0.13846385883206289</v>
      </c>
      <c r="AX232" s="23">
        <f t="shared" si="33"/>
        <v>0.1519339649127818</v>
      </c>
      <c r="AY232" s="23">
        <f t="shared" si="33"/>
        <v>0</v>
      </c>
      <c r="AZ232" s="23">
        <f t="shared" si="33"/>
        <v>0.12208736558174292</v>
      </c>
      <c r="BA232" s="23">
        <f t="shared" si="33"/>
        <v>0.54062847503631506</v>
      </c>
      <c r="BB232" s="23">
        <f t="shared" si="33"/>
        <v>0.14420517875521521</v>
      </c>
      <c r="BC232" s="23">
        <f t="shared" si="33"/>
        <v>0.3003466765224802</v>
      </c>
      <c r="BD232" s="23">
        <f t="shared" si="33"/>
        <v>0.18470469553561239</v>
      </c>
      <c r="BE232" s="23">
        <f t="shared" si="33"/>
        <v>0.6376396498717305</v>
      </c>
      <c r="BF232" s="23">
        <f t="shared" si="33"/>
        <v>0.21348020201944276</v>
      </c>
      <c r="BG232" s="23">
        <f t="shared" si="33"/>
        <v>0.29270101938818238</v>
      </c>
      <c r="BH232" s="23">
        <f t="shared" si="33"/>
        <v>0.1266162408738668</v>
      </c>
      <c r="BI232" s="23">
        <f t="shared" si="33"/>
        <v>0.88890473981664586</v>
      </c>
      <c r="BJ232" s="23">
        <f t="shared" si="33"/>
        <v>0.81228606292228955</v>
      </c>
      <c r="BK232" s="23">
        <f t="shared" si="33"/>
        <v>0.5148557455405347</v>
      </c>
      <c r="BL232" s="23">
        <f t="shared" si="33"/>
        <v>0</v>
      </c>
      <c r="BM232" s="23">
        <f t="shared" si="33"/>
        <v>0</v>
      </c>
      <c r="BN232" s="23">
        <f t="shared" si="33"/>
        <v>1</v>
      </c>
      <c r="BO232" s="23">
        <f t="shared" si="32"/>
        <v>0.11860738080738341</v>
      </c>
      <c r="BP232" s="23">
        <f t="shared" si="32"/>
        <v>0.99941936268758536</v>
      </c>
      <c r="BQ232" s="23">
        <f t="shared" si="32"/>
        <v>0</v>
      </c>
      <c r="BR232" s="23">
        <f t="shared" si="32"/>
        <v>0.2182966372150941</v>
      </c>
      <c r="BS232" s="23">
        <f t="shared" si="32"/>
        <v>0.15817268011337288</v>
      </c>
      <c r="BT232" s="23">
        <f t="shared" si="32"/>
        <v>1.0192309370421597</v>
      </c>
      <c r="BU232" s="23">
        <f t="shared" si="32"/>
        <v>0.13507077422396438</v>
      </c>
      <c r="BV232" s="23">
        <f t="shared" si="32"/>
        <v>0.45434044281468178</v>
      </c>
      <c r="BW232" s="23">
        <f t="shared" si="32"/>
        <v>0.60356235134222724</v>
      </c>
      <c r="BX232" s="23">
        <f t="shared" si="32"/>
        <v>0.24602733908981478</v>
      </c>
      <c r="BY232" s="23">
        <f t="shared" si="32"/>
        <v>0</v>
      </c>
      <c r="BZ232" s="23">
        <f t="shared" si="32"/>
        <v>0</v>
      </c>
      <c r="CA232" s="23">
        <f t="shared" si="32"/>
        <v>0.1394145263546839</v>
      </c>
    </row>
    <row r="233" spans="1:79" ht="15.75" customHeight="1" x14ac:dyDescent="0.2">
      <c r="A233" s="30" t="s">
        <v>119</v>
      </c>
      <c r="B233" s="23">
        <f t="shared" ref="B233:Q245" si="34">IF(B149&gt;=0, IF(B149 = 0,  1, 1/B149*$B$165), 0)</f>
        <v>0.24973701599798523</v>
      </c>
      <c r="C233" s="23">
        <f t="shared" si="34"/>
        <v>0.16586591890370747</v>
      </c>
      <c r="D233" s="23">
        <f t="shared" si="34"/>
        <v>8.282519074819486E-2</v>
      </c>
      <c r="E233" s="23">
        <f t="shared" si="34"/>
        <v>8.282519074819486E-2</v>
      </c>
      <c r="F233" s="23">
        <f t="shared" si="34"/>
        <v>0.17938098990472362</v>
      </c>
      <c r="G233" s="23">
        <f t="shared" si="34"/>
        <v>8.1095385459096406E-2</v>
      </c>
      <c r="H233" s="23">
        <f t="shared" si="34"/>
        <v>0.17499165644933834</v>
      </c>
      <c r="I233" s="23">
        <f t="shared" si="34"/>
        <v>0.35198073412979058</v>
      </c>
      <c r="J233" s="23">
        <f t="shared" si="34"/>
        <v>0.20729964336032866</v>
      </c>
      <c r="K233" s="23">
        <f t="shared" si="34"/>
        <v>0.13254621012099305</v>
      </c>
      <c r="L233" s="23">
        <f t="shared" si="34"/>
        <v>0.4465879386955503</v>
      </c>
      <c r="M233" s="23">
        <f t="shared" si="34"/>
        <v>0</v>
      </c>
      <c r="N233" s="23">
        <f t="shared" si="34"/>
        <v>0.11306587740852253</v>
      </c>
      <c r="O233" s="23">
        <f t="shared" si="34"/>
        <v>0.12191755202377683</v>
      </c>
      <c r="P233" s="23">
        <f t="shared" si="34"/>
        <v>7.7904680418667008E-2</v>
      </c>
      <c r="Q233" s="23">
        <f t="shared" si="34"/>
        <v>0</v>
      </c>
      <c r="R233" s="23">
        <f t="shared" si="33"/>
        <v>0.11860738080738341</v>
      </c>
      <c r="S233" s="23">
        <f t="shared" si="33"/>
        <v>0</v>
      </c>
      <c r="T233" s="23">
        <f t="shared" si="33"/>
        <v>0.58053258901741245</v>
      </c>
      <c r="U233" s="23">
        <f t="shared" si="33"/>
        <v>0</v>
      </c>
      <c r="V233" s="23">
        <f t="shared" si="33"/>
        <v>8.282519074819486E-2</v>
      </c>
      <c r="W233" s="23">
        <f t="shared" si="33"/>
        <v>1.1214903537029886</v>
      </c>
      <c r="X233" s="23">
        <f t="shared" si="33"/>
        <v>0.11306587740852253</v>
      </c>
      <c r="Y233" s="23">
        <f t="shared" si="33"/>
        <v>0.28751954814576003</v>
      </c>
      <c r="Z233" s="23">
        <f t="shared" si="33"/>
        <v>0</v>
      </c>
      <c r="AA233" s="23">
        <f t="shared" si="33"/>
        <v>7.4781992983169232E-2</v>
      </c>
      <c r="AB233" s="23">
        <f t="shared" si="33"/>
        <v>0.13062348352765679</v>
      </c>
      <c r="AC233" s="23">
        <f t="shared" si="33"/>
        <v>0.17755938857554895</v>
      </c>
      <c r="AD233" s="23">
        <f t="shared" si="33"/>
        <v>0.53779450659253414</v>
      </c>
      <c r="AE233" s="23">
        <f t="shared" si="33"/>
        <v>0.12928841162886198</v>
      </c>
      <c r="AF233" s="23">
        <f t="shared" si="33"/>
        <v>0.11991884763168574</v>
      </c>
      <c r="AG233" s="23">
        <f t="shared" si="33"/>
        <v>0.12974649472640282</v>
      </c>
      <c r="AH233" s="23">
        <f t="shared" si="33"/>
        <v>0</v>
      </c>
      <c r="AI233" s="23">
        <f t="shared" si="33"/>
        <v>0.14218833284185878</v>
      </c>
      <c r="AJ233" s="23">
        <f t="shared" si="33"/>
        <v>0.17938098990472362</v>
      </c>
      <c r="AK233" s="23">
        <f t="shared" si="33"/>
        <v>0.11639400012755913</v>
      </c>
      <c r="AL233" s="23">
        <f t="shared" si="33"/>
        <v>0.36393846142548675</v>
      </c>
      <c r="AM233" s="23">
        <f t="shared" si="33"/>
        <v>0</v>
      </c>
      <c r="AN233" s="23">
        <f t="shared" si="33"/>
        <v>0.13535861633381796</v>
      </c>
      <c r="AO233" s="23">
        <f t="shared" si="33"/>
        <v>0.11306587740852253</v>
      </c>
      <c r="AP233" s="23">
        <f t="shared" si="33"/>
        <v>0.31016873896506886</v>
      </c>
      <c r="AQ233" s="23">
        <f t="shared" si="33"/>
        <v>1.4337805662768233</v>
      </c>
      <c r="AR233" s="23">
        <f t="shared" si="33"/>
        <v>0.11860738080738341</v>
      </c>
      <c r="AS233" s="23">
        <f t="shared" si="33"/>
        <v>0.12843084306281602</v>
      </c>
      <c r="AT233" s="23">
        <f t="shared" si="33"/>
        <v>0.24210305036915714</v>
      </c>
      <c r="AU233" s="23">
        <f t="shared" si="33"/>
        <v>0.27529631844895014</v>
      </c>
      <c r="AV233" s="23">
        <f t="shared" si="33"/>
        <v>0.15505530629314906</v>
      </c>
      <c r="AW233" s="23">
        <f t="shared" si="33"/>
        <v>0.69231806066163015</v>
      </c>
      <c r="AX233" s="23">
        <f t="shared" si="33"/>
        <v>7.0233609443083336E-2</v>
      </c>
      <c r="AY233" s="23">
        <f t="shared" si="33"/>
        <v>0</v>
      </c>
      <c r="AZ233" s="23">
        <f t="shared" si="33"/>
        <v>4.0733307716760647</v>
      </c>
      <c r="BA233" s="23">
        <f t="shared" si="33"/>
        <v>0.13493698240728863</v>
      </c>
      <c r="BB233" s="23">
        <f t="shared" si="33"/>
        <v>7.7518123474162676E-2</v>
      </c>
      <c r="BC233" s="23">
        <f t="shared" si="33"/>
        <v>0.17938098990472362</v>
      </c>
      <c r="BD233" s="23">
        <f t="shared" si="33"/>
        <v>0.24797934297443061</v>
      </c>
      <c r="BE233" s="23">
        <f t="shared" si="33"/>
        <v>0.10896487391730705</v>
      </c>
      <c r="BF233" s="23">
        <f t="shared" si="33"/>
        <v>0.26685923008625834</v>
      </c>
      <c r="BG233" s="23">
        <f t="shared" si="33"/>
        <v>0.19475564930442946</v>
      </c>
      <c r="BH233" s="23">
        <f t="shared" si="33"/>
        <v>6.8428477459072934E-2</v>
      </c>
      <c r="BI233" s="23">
        <f t="shared" si="33"/>
        <v>0.13686969508575375</v>
      </c>
      <c r="BJ233" s="23">
        <f t="shared" si="33"/>
        <v>0.10833283731262046</v>
      </c>
      <c r="BK233" s="23">
        <f t="shared" si="33"/>
        <v>0.15276948666732335</v>
      </c>
      <c r="BL233" s="23">
        <f t="shared" si="33"/>
        <v>0</v>
      </c>
      <c r="BM233" s="23">
        <f t="shared" si="33"/>
        <v>0</v>
      </c>
      <c r="BN233" s="23">
        <f t="shared" si="33"/>
        <v>0.11860738080738341</v>
      </c>
      <c r="BO233" s="23">
        <f t="shared" si="32"/>
        <v>1</v>
      </c>
      <c r="BP233" s="23">
        <f t="shared" si="32"/>
        <v>0.13330100195945979</v>
      </c>
      <c r="BQ233" s="23">
        <f t="shared" si="32"/>
        <v>0</v>
      </c>
      <c r="BR233" s="23">
        <f t="shared" si="32"/>
        <v>8.282519074819486E-2</v>
      </c>
      <c r="BS233" s="23">
        <f t="shared" si="32"/>
        <v>0.28751954814576003</v>
      </c>
      <c r="BT233" s="23">
        <f t="shared" si="32"/>
        <v>0.11306587740852253</v>
      </c>
      <c r="BU233" s="23">
        <f t="shared" si="32"/>
        <v>0.89807415469420926</v>
      </c>
      <c r="BV233" s="23">
        <f t="shared" si="32"/>
        <v>0.1550329543213575</v>
      </c>
      <c r="BW233" s="23">
        <f t="shared" si="32"/>
        <v>0.14757069084534222</v>
      </c>
      <c r="BX233" s="23">
        <f t="shared" si="32"/>
        <v>0.22833707205641451</v>
      </c>
      <c r="BY233" s="23">
        <f t="shared" si="32"/>
        <v>0</v>
      </c>
      <c r="BZ233" s="23">
        <f t="shared" si="32"/>
        <v>0</v>
      </c>
      <c r="CA233" s="23">
        <f t="shared" si="32"/>
        <v>0.5840566735213264</v>
      </c>
    </row>
    <row r="234" spans="1:79" ht="15.75" customHeight="1" x14ac:dyDescent="0.2">
      <c r="A234" s="30" t="s">
        <v>120</v>
      </c>
      <c r="B234" s="23">
        <f t="shared" si="34"/>
        <v>0.28576021485423786</v>
      </c>
      <c r="C234" s="23">
        <f t="shared" ref="C234:BN237" si="35">IF(C150&gt;=0, IF(C150 = 0,  1, 1/C150*$B$165), 0)</f>
        <v>0.19634747629869953</v>
      </c>
      <c r="D234" s="23">
        <f t="shared" si="35"/>
        <v>0.17946428079967858</v>
      </c>
      <c r="E234" s="23">
        <f t="shared" si="35"/>
        <v>0.17946428079967858</v>
      </c>
      <c r="F234" s="23">
        <f t="shared" si="35"/>
        <v>0.42672803135419918</v>
      </c>
      <c r="G234" s="23">
        <f t="shared" si="35"/>
        <v>0.1086328206424618</v>
      </c>
      <c r="H234" s="23">
        <f t="shared" si="35"/>
        <v>0.54961085887466798</v>
      </c>
      <c r="I234" s="23">
        <f t="shared" si="35"/>
        <v>0.18875524876016614</v>
      </c>
      <c r="J234" s="23">
        <f t="shared" si="35"/>
        <v>8.1178506887676735E-2</v>
      </c>
      <c r="K234" s="23">
        <f t="shared" si="35"/>
        <v>23.29521552368389</v>
      </c>
      <c r="L234" s="23">
        <f t="shared" si="35"/>
        <v>0.18786168200607556</v>
      </c>
      <c r="M234" s="23">
        <f t="shared" si="35"/>
        <v>0</v>
      </c>
      <c r="N234" s="23">
        <f t="shared" si="35"/>
        <v>0.692984182861764</v>
      </c>
      <c r="O234" s="23">
        <f t="shared" si="35"/>
        <v>1.3305405462747677</v>
      </c>
      <c r="P234" s="23">
        <f t="shared" si="35"/>
        <v>0.13451535530531322</v>
      </c>
      <c r="Q234" s="23">
        <f t="shared" si="35"/>
        <v>0</v>
      </c>
      <c r="R234" s="23">
        <f t="shared" si="35"/>
        <v>0.99941936268758536</v>
      </c>
      <c r="S234" s="23">
        <f t="shared" si="35"/>
        <v>0</v>
      </c>
      <c r="T234" s="23">
        <f t="shared" si="35"/>
        <v>0.16977308220430157</v>
      </c>
      <c r="U234" s="23">
        <f t="shared" si="35"/>
        <v>0</v>
      </c>
      <c r="V234" s="23">
        <f t="shared" si="35"/>
        <v>0.17946428079967858</v>
      </c>
      <c r="W234" s="23">
        <f t="shared" si="35"/>
        <v>0.14480217453408406</v>
      </c>
      <c r="X234" s="23">
        <f t="shared" si="35"/>
        <v>0.692984182861764</v>
      </c>
      <c r="Y234" s="23">
        <f t="shared" si="35"/>
        <v>0.17355932238654817</v>
      </c>
      <c r="Z234" s="23">
        <f t="shared" si="35"/>
        <v>0</v>
      </c>
      <c r="AA234" s="23">
        <f t="shared" si="35"/>
        <v>0.14664018865464543</v>
      </c>
      <c r="AB234" s="23">
        <f t="shared" si="35"/>
        <v>4.4205006373462838</v>
      </c>
      <c r="AC234" s="23">
        <f t="shared" si="35"/>
        <v>0.26819345792594618</v>
      </c>
      <c r="AD234" s="23">
        <f t="shared" si="35"/>
        <v>0.13141742043575214</v>
      </c>
      <c r="AE234" s="23">
        <f t="shared" si="35"/>
        <v>0.80529162885369721</v>
      </c>
      <c r="AF234" s="23">
        <f t="shared" si="35"/>
        <v>1.1827683444441479</v>
      </c>
      <c r="AG234" s="23">
        <f t="shared" si="35"/>
        <v>2.3317830035105866</v>
      </c>
      <c r="AH234" s="23">
        <f t="shared" si="35"/>
        <v>0</v>
      </c>
      <c r="AI234" s="23">
        <f t="shared" si="35"/>
        <v>1.0294456557241074</v>
      </c>
      <c r="AJ234" s="23">
        <f t="shared" si="35"/>
        <v>0.42672803135419918</v>
      </c>
      <c r="AK234" s="23">
        <f t="shared" si="35"/>
        <v>0.10371928762419232</v>
      </c>
      <c r="AL234" s="23">
        <f t="shared" si="35"/>
        <v>0.20840545906661329</v>
      </c>
      <c r="AM234" s="23">
        <f t="shared" si="35"/>
        <v>0</v>
      </c>
      <c r="AN234" s="23">
        <f t="shared" si="35"/>
        <v>7.9876411732637616</v>
      </c>
      <c r="AO234" s="23">
        <f t="shared" si="35"/>
        <v>0.692984182861764</v>
      </c>
      <c r="AP234" s="23">
        <f t="shared" si="35"/>
        <v>0.23370252206722208</v>
      </c>
      <c r="AQ234" s="23">
        <f t="shared" si="35"/>
        <v>0.12259662991803964</v>
      </c>
      <c r="AR234" s="23">
        <f t="shared" si="35"/>
        <v>0.99941936268758536</v>
      </c>
      <c r="AS234" s="23">
        <f t="shared" si="35"/>
        <v>1.6399452348537897</v>
      </c>
      <c r="AT234" s="23">
        <f t="shared" si="35"/>
        <v>0.14156923809398617</v>
      </c>
      <c r="AU234" s="23">
        <f t="shared" si="35"/>
        <v>0.15632446058885821</v>
      </c>
      <c r="AV234" s="23">
        <f t="shared" si="35"/>
        <v>0.6861749132667031</v>
      </c>
      <c r="AW234" s="23">
        <f t="shared" si="35"/>
        <v>0.15699055951904634</v>
      </c>
      <c r="AX234" s="23">
        <f t="shared" si="35"/>
        <v>0.13517204946827518</v>
      </c>
      <c r="AY234" s="23">
        <f t="shared" si="35"/>
        <v>0</v>
      </c>
      <c r="AZ234" s="23">
        <f t="shared" si="35"/>
        <v>0.13777069212048645</v>
      </c>
      <c r="BA234" s="23">
        <f t="shared" si="35"/>
        <v>0.85047843235173393</v>
      </c>
      <c r="BB234" s="23">
        <f t="shared" si="35"/>
        <v>0.12621438845744928</v>
      </c>
      <c r="BC234" s="23">
        <f t="shared" si="35"/>
        <v>0.42672803135419918</v>
      </c>
      <c r="BD234" s="23">
        <f t="shared" si="35"/>
        <v>0.20560028342375805</v>
      </c>
      <c r="BE234" s="23">
        <f t="shared" si="35"/>
        <v>0.50871289307101364</v>
      </c>
      <c r="BF234" s="23">
        <f t="shared" si="35"/>
        <v>0.2656885929131203</v>
      </c>
      <c r="BG234" s="23">
        <f t="shared" si="35"/>
        <v>0.41212743060590645</v>
      </c>
      <c r="BH234" s="23">
        <f t="shared" si="35"/>
        <v>0.1138750822237064</v>
      </c>
      <c r="BI234" s="23">
        <f t="shared" si="35"/>
        <v>2.421487853460385</v>
      </c>
      <c r="BJ234" s="23">
        <f t="shared" si="35"/>
        <v>0.54832130504404386</v>
      </c>
      <c r="BK234" s="23">
        <f t="shared" si="35"/>
        <v>0.78946174753170739</v>
      </c>
      <c r="BL234" s="23">
        <f t="shared" si="35"/>
        <v>0</v>
      </c>
      <c r="BM234" s="23">
        <f t="shared" si="35"/>
        <v>0</v>
      </c>
      <c r="BN234" s="23">
        <f t="shared" si="35"/>
        <v>0.99941936268758536</v>
      </c>
      <c r="BO234" s="23">
        <f t="shared" si="32"/>
        <v>0.13330100195945979</v>
      </c>
      <c r="BP234" s="23">
        <f t="shared" si="32"/>
        <v>1</v>
      </c>
      <c r="BQ234" s="23">
        <f t="shared" si="32"/>
        <v>0</v>
      </c>
      <c r="BR234" s="23">
        <f t="shared" si="32"/>
        <v>0.17946428079967858</v>
      </c>
      <c r="BS234" s="23">
        <f t="shared" si="32"/>
        <v>0.17355932238654817</v>
      </c>
      <c r="BT234" s="23">
        <f t="shared" si="32"/>
        <v>0.692984182861764</v>
      </c>
      <c r="BU234" s="23">
        <f t="shared" si="32"/>
        <v>0.15351836834301419</v>
      </c>
      <c r="BV234" s="23">
        <f t="shared" si="32"/>
        <v>0.83015469226466687</v>
      </c>
      <c r="BW234" s="23">
        <f t="shared" si="32"/>
        <v>1.2825670800149584</v>
      </c>
      <c r="BX234" s="23">
        <f t="shared" si="32"/>
        <v>0.31345159664583205</v>
      </c>
      <c r="BY234" s="23">
        <f t="shared" si="32"/>
        <v>0</v>
      </c>
      <c r="BZ234" s="23">
        <f t="shared" si="32"/>
        <v>0</v>
      </c>
      <c r="CA234" s="23">
        <f t="shared" si="32"/>
        <v>0.15715269393993864</v>
      </c>
    </row>
    <row r="235" spans="1:79" ht="15.75" customHeight="1" x14ac:dyDescent="0.2">
      <c r="A235" s="30" t="s">
        <v>121</v>
      </c>
      <c r="B235" s="23">
        <f t="shared" si="34"/>
        <v>0</v>
      </c>
      <c r="C235" s="23">
        <f t="shared" si="35"/>
        <v>0</v>
      </c>
      <c r="D235" s="23">
        <f t="shared" si="35"/>
        <v>0</v>
      </c>
      <c r="E235" s="23">
        <f t="shared" si="35"/>
        <v>0</v>
      </c>
      <c r="F235" s="23">
        <f t="shared" si="35"/>
        <v>0</v>
      </c>
      <c r="G235" s="23">
        <f t="shared" si="35"/>
        <v>0</v>
      </c>
      <c r="H235" s="23">
        <f t="shared" si="35"/>
        <v>0</v>
      </c>
      <c r="I235" s="23">
        <f t="shared" si="35"/>
        <v>0</v>
      </c>
      <c r="J235" s="23">
        <f t="shared" si="35"/>
        <v>0</v>
      </c>
      <c r="K235" s="23">
        <f t="shared" si="35"/>
        <v>0</v>
      </c>
      <c r="L235" s="23">
        <f t="shared" si="35"/>
        <v>0</v>
      </c>
      <c r="M235" s="23">
        <f t="shared" si="35"/>
        <v>0</v>
      </c>
      <c r="N235" s="23">
        <f t="shared" si="35"/>
        <v>0</v>
      </c>
      <c r="O235" s="23">
        <f t="shared" si="35"/>
        <v>0</v>
      </c>
      <c r="P235" s="23">
        <f t="shared" si="35"/>
        <v>0</v>
      </c>
      <c r="Q235" s="23">
        <f t="shared" si="35"/>
        <v>0</v>
      </c>
      <c r="R235" s="23">
        <f t="shared" si="35"/>
        <v>0</v>
      </c>
      <c r="S235" s="23">
        <f t="shared" si="35"/>
        <v>0</v>
      </c>
      <c r="T235" s="23">
        <f t="shared" si="35"/>
        <v>0</v>
      </c>
      <c r="U235" s="23">
        <f t="shared" si="35"/>
        <v>0</v>
      </c>
      <c r="V235" s="23">
        <f t="shared" si="35"/>
        <v>0</v>
      </c>
      <c r="W235" s="23">
        <f t="shared" si="35"/>
        <v>0</v>
      </c>
      <c r="X235" s="23">
        <f t="shared" si="35"/>
        <v>0</v>
      </c>
      <c r="Y235" s="23">
        <f t="shared" si="35"/>
        <v>0</v>
      </c>
      <c r="Z235" s="23">
        <f t="shared" si="35"/>
        <v>0</v>
      </c>
      <c r="AA235" s="23">
        <f t="shared" si="35"/>
        <v>0</v>
      </c>
      <c r="AB235" s="23">
        <f t="shared" si="35"/>
        <v>0</v>
      </c>
      <c r="AC235" s="23">
        <f t="shared" si="35"/>
        <v>0</v>
      </c>
      <c r="AD235" s="23">
        <f t="shared" si="35"/>
        <v>0</v>
      </c>
      <c r="AE235" s="23">
        <f t="shared" si="35"/>
        <v>0</v>
      </c>
      <c r="AF235" s="23">
        <f t="shared" si="35"/>
        <v>0</v>
      </c>
      <c r="AG235" s="23">
        <f t="shared" si="35"/>
        <v>0</v>
      </c>
      <c r="AH235" s="23">
        <f t="shared" si="35"/>
        <v>0</v>
      </c>
      <c r="AI235" s="23">
        <f t="shared" si="35"/>
        <v>0</v>
      </c>
      <c r="AJ235" s="23">
        <f t="shared" si="35"/>
        <v>0</v>
      </c>
      <c r="AK235" s="23">
        <f t="shared" si="35"/>
        <v>0</v>
      </c>
      <c r="AL235" s="23">
        <f t="shared" si="35"/>
        <v>0</v>
      </c>
      <c r="AM235" s="23">
        <f t="shared" si="35"/>
        <v>0</v>
      </c>
      <c r="AN235" s="23">
        <f t="shared" si="35"/>
        <v>0</v>
      </c>
      <c r="AO235" s="23">
        <f t="shared" si="35"/>
        <v>0</v>
      </c>
      <c r="AP235" s="23">
        <f t="shared" si="35"/>
        <v>0</v>
      </c>
      <c r="AQ235" s="23">
        <f t="shared" si="35"/>
        <v>0</v>
      </c>
      <c r="AR235" s="23">
        <f t="shared" si="35"/>
        <v>0</v>
      </c>
      <c r="AS235" s="23">
        <f t="shared" si="35"/>
        <v>0</v>
      </c>
      <c r="AT235" s="23">
        <f t="shared" si="35"/>
        <v>0</v>
      </c>
      <c r="AU235" s="23">
        <f t="shared" si="35"/>
        <v>0</v>
      </c>
      <c r="AV235" s="23">
        <f t="shared" si="35"/>
        <v>0</v>
      </c>
      <c r="AW235" s="23">
        <f t="shared" si="35"/>
        <v>0</v>
      </c>
      <c r="AX235" s="23">
        <f t="shared" si="35"/>
        <v>0</v>
      </c>
      <c r="AY235" s="23">
        <f t="shared" si="35"/>
        <v>0</v>
      </c>
      <c r="AZ235" s="23">
        <f t="shared" si="35"/>
        <v>0</v>
      </c>
      <c r="BA235" s="23">
        <f t="shared" si="35"/>
        <v>0</v>
      </c>
      <c r="BB235" s="23">
        <f t="shared" si="35"/>
        <v>0</v>
      </c>
      <c r="BC235" s="23">
        <f t="shared" si="35"/>
        <v>0</v>
      </c>
      <c r="BD235" s="23">
        <f t="shared" si="35"/>
        <v>0</v>
      </c>
      <c r="BE235" s="23">
        <f t="shared" si="35"/>
        <v>0</v>
      </c>
      <c r="BF235" s="23">
        <f t="shared" si="35"/>
        <v>0</v>
      </c>
      <c r="BG235" s="23">
        <f t="shared" si="35"/>
        <v>0</v>
      </c>
      <c r="BH235" s="23">
        <f t="shared" si="35"/>
        <v>0</v>
      </c>
      <c r="BI235" s="23">
        <f t="shared" si="35"/>
        <v>0</v>
      </c>
      <c r="BJ235" s="23">
        <f t="shared" si="35"/>
        <v>0</v>
      </c>
      <c r="BK235" s="23">
        <f t="shared" si="35"/>
        <v>0</v>
      </c>
      <c r="BL235" s="23">
        <f t="shared" si="35"/>
        <v>0</v>
      </c>
      <c r="BM235" s="23">
        <f t="shared" si="35"/>
        <v>0</v>
      </c>
      <c r="BN235" s="23">
        <f t="shared" si="35"/>
        <v>0</v>
      </c>
      <c r="BO235" s="23">
        <f t="shared" si="32"/>
        <v>0</v>
      </c>
      <c r="BP235" s="23">
        <f t="shared" si="32"/>
        <v>0</v>
      </c>
      <c r="BQ235" s="23">
        <f t="shared" si="32"/>
        <v>1</v>
      </c>
      <c r="BR235" s="23">
        <f t="shared" si="32"/>
        <v>0</v>
      </c>
      <c r="BS235" s="23">
        <f t="shared" si="32"/>
        <v>0</v>
      </c>
      <c r="BT235" s="23">
        <f t="shared" si="32"/>
        <v>0</v>
      </c>
      <c r="BU235" s="23">
        <f t="shared" si="32"/>
        <v>0</v>
      </c>
      <c r="BV235" s="23">
        <f t="shared" si="32"/>
        <v>0</v>
      </c>
      <c r="BW235" s="23">
        <f t="shared" si="32"/>
        <v>0</v>
      </c>
      <c r="BX235" s="23">
        <f t="shared" si="32"/>
        <v>0</v>
      </c>
      <c r="BY235" s="23">
        <f t="shared" si="32"/>
        <v>0</v>
      </c>
      <c r="BZ235" s="23">
        <f t="shared" si="32"/>
        <v>0</v>
      </c>
      <c r="CA235" s="23">
        <f t="shared" si="32"/>
        <v>0</v>
      </c>
    </row>
    <row r="236" spans="1:79" ht="15.75" customHeight="1" x14ac:dyDescent="0.2">
      <c r="A236" s="30" t="s">
        <v>122</v>
      </c>
      <c r="B236" s="23">
        <f t="shared" si="34"/>
        <v>0.11557320663341623</v>
      </c>
      <c r="C236" s="23">
        <f t="shared" si="35"/>
        <v>0.10317009435542185</v>
      </c>
      <c r="D236" s="23">
        <f t="shared" si="35"/>
        <v>1</v>
      </c>
      <c r="E236" s="23">
        <f t="shared" si="35"/>
        <v>1</v>
      </c>
      <c r="F236" s="23">
        <f t="shared" si="35"/>
        <v>0.12641572300628837</v>
      </c>
      <c r="G236" s="23">
        <f t="shared" si="35"/>
        <v>0.15334130114727154</v>
      </c>
      <c r="H236" s="23">
        <f t="shared" si="35"/>
        <v>0.13686235146523121</v>
      </c>
      <c r="I236" s="23">
        <f t="shared" si="35"/>
        <v>0.10819575593402338</v>
      </c>
      <c r="J236" s="23">
        <f t="shared" si="35"/>
        <v>8.0755373618220327E-2</v>
      </c>
      <c r="K236" s="23">
        <f t="shared" si="35"/>
        <v>0.18074080531795589</v>
      </c>
      <c r="L236" s="23">
        <f t="shared" si="35"/>
        <v>9.956515864835952E-2</v>
      </c>
      <c r="M236" s="23">
        <f t="shared" si="35"/>
        <v>0</v>
      </c>
      <c r="N236" s="23">
        <f t="shared" si="35"/>
        <v>0.21145731825122832</v>
      </c>
      <c r="O236" s="23">
        <f t="shared" si="35"/>
        <v>0.20711442388989615</v>
      </c>
      <c r="P236" s="23">
        <f t="shared" si="35"/>
        <v>0.18956400507993226</v>
      </c>
      <c r="Q236" s="23">
        <f t="shared" si="35"/>
        <v>0</v>
      </c>
      <c r="R236" s="23">
        <f t="shared" si="35"/>
        <v>0.2182966372150941</v>
      </c>
      <c r="S236" s="23">
        <f t="shared" si="35"/>
        <v>0</v>
      </c>
      <c r="T236" s="23">
        <f t="shared" si="35"/>
        <v>9.5693533760374372E-2</v>
      </c>
      <c r="U236" s="23">
        <f t="shared" si="35"/>
        <v>0</v>
      </c>
      <c r="V236" s="23">
        <f t="shared" si="35"/>
        <v>1</v>
      </c>
      <c r="W236" s="23">
        <f t="shared" si="35"/>
        <v>8.9409157024196009E-2</v>
      </c>
      <c r="X236" s="23">
        <f t="shared" si="35"/>
        <v>0.21145731825122832</v>
      </c>
      <c r="Y236" s="23">
        <f t="shared" si="35"/>
        <v>0.11551758364352958</v>
      </c>
      <c r="Z236" s="23">
        <f t="shared" si="35"/>
        <v>0</v>
      </c>
      <c r="AA236" s="23">
        <f t="shared" si="35"/>
        <v>0.70552217948976259</v>
      </c>
      <c r="AB236" s="23">
        <f t="shared" si="35"/>
        <v>0.18665958518412357</v>
      </c>
      <c r="AC236" s="23">
        <f t="shared" si="35"/>
        <v>0.11171571901604463</v>
      </c>
      <c r="AD236" s="23">
        <f t="shared" si="35"/>
        <v>9.3448100502909082E-2</v>
      </c>
      <c r="AE236" s="23">
        <f t="shared" si="35"/>
        <v>0.20692520021600544</v>
      </c>
      <c r="AF236" s="23">
        <f t="shared" si="35"/>
        <v>0.20882458998772274</v>
      </c>
      <c r="AG236" s="23">
        <f t="shared" si="35"/>
        <v>0.19184698763037078</v>
      </c>
      <c r="AH236" s="23">
        <f t="shared" si="35"/>
        <v>0</v>
      </c>
      <c r="AI236" s="23">
        <f t="shared" si="35"/>
        <v>0.15600684004032911</v>
      </c>
      <c r="AJ236" s="23">
        <f t="shared" si="35"/>
        <v>0.12641572300628837</v>
      </c>
      <c r="AK236" s="23">
        <f t="shared" si="35"/>
        <v>0.16791820484547781</v>
      </c>
      <c r="AL236" s="23">
        <f t="shared" si="35"/>
        <v>0.10394903070331557</v>
      </c>
      <c r="AM236" s="23">
        <f t="shared" si="35"/>
        <v>0</v>
      </c>
      <c r="AN236" s="23">
        <f t="shared" si="35"/>
        <v>0.17553398726133765</v>
      </c>
      <c r="AO236" s="23">
        <f t="shared" si="35"/>
        <v>0.21145731825122832</v>
      </c>
      <c r="AP236" s="23">
        <f t="shared" si="35"/>
        <v>0.10690068035859937</v>
      </c>
      <c r="AQ236" s="23">
        <f t="shared" si="35"/>
        <v>7.8704391766877213E-2</v>
      </c>
      <c r="AR236" s="23">
        <f t="shared" si="35"/>
        <v>0.2182966372150941</v>
      </c>
      <c r="AS236" s="23">
        <f t="shared" si="35"/>
        <v>0.17840519714327729</v>
      </c>
      <c r="AT236" s="23">
        <f t="shared" si="35"/>
        <v>0.11808016033704487</v>
      </c>
      <c r="AU236" s="23">
        <f t="shared" si="35"/>
        <v>0.11532841602925459</v>
      </c>
      <c r="AV236" s="23">
        <f t="shared" si="35"/>
        <v>0.14303813383679378</v>
      </c>
      <c r="AW236" s="23">
        <f t="shared" si="35"/>
        <v>9.4040394237361977E-2</v>
      </c>
      <c r="AX236" s="23">
        <f t="shared" si="35"/>
        <v>0.25330907742021996</v>
      </c>
      <c r="AY236" s="23">
        <f t="shared" si="35"/>
        <v>0</v>
      </c>
      <c r="AZ236" s="23">
        <f t="shared" si="35"/>
        <v>8.3940783346623082E-2</v>
      </c>
      <c r="BA236" s="23">
        <f t="shared" si="35"/>
        <v>0.15952826493910469</v>
      </c>
      <c r="BB236" s="23">
        <f t="shared" si="35"/>
        <v>0.42477480573069049</v>
      </c>
      <c r="BC236" s="23">
        <f t="shared" si="35"/>
        <v>0.12641572300628837</v>
      </c>
      <c r="BD236" s="23">
        <f t="shared" si="35"/>
        <v>0.12434604385473144</v>
      </c>
      <c r="BE236" s="23">
        <f t="shared" si="35"/>
        <v>0.2094882148647372</v>
      </c>
      <c r="BF236" s="23">
        <f t="shared" si="35"/>
        <v>0.11322627607551132</v>
      </c>
      <c r="BG236" s="23">
        <f t="shared" si="35"/>
        <v>0.12649984239911521</v>
      </c>
      <c r="BH236" s="23">
        <f t="shared" si="35"/>
        <v>0.22730858913539276</v>
      </c>
      <c r="BI236" s="23">
        <f t="shared" si="35"/>
        <v>0.17936687984463703</v>
      </c>
      <c r="BJ236" s="23">
        <f t="shared" si="35"/>
        <v>0.22439980720780792</v>
      </c>
      <c r="BK236" s="23">
        <f t="shared" si="35"/>
        <v>0.1645993999048235</v>
      </c>
      <c r="BL236" s="23">
        <f t="shared" si="35"/>
        <v>0</v>
      </c>
      <c r="BM236" s="23">
        <f t="shared" si="35"/>
        <v>0</v>
      </c>
      <c r="BN236" s="23">
        <f t="shared" si="35"/>
        <v>0.2182966372150941</v>
      </c>
      <c r="BO236" s="23">
        <f t="shared" si="32"/>
        <v>8.282519074819486E-2</v>
      </c>
      <c r="BP236" s="23">
        <f t="shared" si="32"/>
        <v>0.17946428079967858</v>
      </c>
      <c r="BQ236" s="23">
        <f t="shared" si="32"/>
        <v>0</v>
      </c>
      <c r="BR236" s="23">
        <f t="shared" si="32"/>
        <v>1</v>
      </c>
      <c r="BS236" s="23">
        <f t="shared" si="32"/>
        <v>0.11551758364352958</v>
      </c>
      <c r="BT236" s="23">
        <f t="shared" si="32"/>
        <v>0.21145731825122832</v>
      </c>
      <c r="BU236" s="23">
        <f t="shared" si="32"/>
        <v>9.0959288459510443E-2</v>
      </c>
      <c r="BV236" s="23">
        <f t="shared" si="32"/>
        <v>0.14756420631512723</v>
      </c>
      <c r="BW236" s="23">
        <f t="shared" si="32"/>
        <v>0.1643683125862419</v>
      </c>
      <c r="BX236" s="23">
        <f t="shared" si="32"/>
        <v>0.12298626992632598</v>
      </c>
      <c r="BY236" s="23">
        <f t="shared" si="32"/>
        <v>0</v>
      </c>
      <c r="BZ236" s="23">
        <f t="shared" si="32"/>
        <v>0</v>
      </c>
      <c r="CA236" s="23">
        <f t="shared" si="32"/>
        <v>9.6477008847337731E-2</v>
      </c>
    </row>
    <row r="237" spans="1:79" ht="15.75" customHeight="1" x14ac:dyDescent="0.2">
      <c r="A237" s="30" t="s">
        <v>123</v>
      </c>
      <c r="B237" s="23">
        <f t="shared" si="34"/>
        <v>0.30833577107048654</v>
      </c>
      <c r="C237" s="23">
        <f t="shared" si="35"/>
        <v>0.12939440260230908</v>
      </c>
      <c r="D237" s="23">
        <f t="shared" si="35"/>
        <v>0.11551758364352958</v>
      </c>
      <c r="E237" s="23">
        <f t="shared" si="35"/>
        <v>0.11551758364352958</v>
      </c>
      <c r="F237" s="23">
        <f t="shared" si="35"/>
        <v>0.19299399928061201</v>
      </c>
      <c r="G237" s="23">
        <f t="shared" si="35"/>
        <v>6.6827476225462118E-2</v>
      </c>
      <c r="H237" s="23">
        <f t="shared" si="35"/>
        <v>0.21680422691399701</v>
      </c>
      <c r="I237" s="23">
        <f t="shared" si="35"/>
        <v>0.83447440234032333</v>
      </c>
      <c r="J237" s="23">
        <f t="shared" si="35"/>
        <v>0.14292735900007095</v>
      </c>
      <c r="K237" s="23">
        <f t="shared" si="35"/>
        <v>0.1725982914967672</v>
      </c>
      <c r="L237" s="23">
        <f t="shared" si="35"/>
        <v>0.42541464108209637</v>
      </c>
      <c r="M237" s="23">
        <f t="shared" si="35"/>
        <v>0</v>
      </c>
      <c r="N237" s="23">
        <f t="shared" si="35"/>
        <v>0.1396294597391067</v>
      </c>
      <c r="O237" s="23">
        <f t="shared" si="35"/>
        <v>0.1617314850301344</v>
      </c>
      <c r="P237" s="23">
        <f t="shared" si="35"/>
        <v>7.6041014568033125E-2</v>
      </c>
      <c r="Q237" s="23">
        <f t="shared" si="35"/>
        <v>0</v>
      </c>
      <c r="R237" s="23">
        <f t="shared" si="35"/>
        <v>0.15817268011337288</v>
      </c>
      <c r="S237" s="23">
        <f t="shared" si="35"/>
        <v>0</v>
      </c>
      <c r="T237" s="23">
        <f t="shared" si="35"/>
        <v>0.43503398726787434</v>
      </c>
      <c r="U237" s="23">
        <f t="shared" si="35"/>
        <v>0</v>
      </c>
      <c r="V237" s="23">
        <f t="shared" si="35"/>
        <v>0.11551758364352958</v>
      </c>
      <c r="W237" s="23">
        <f t="shared" si="35"/>
        <v>0.3845092056692635</v>
      </c>
      <c r="X237" s="23">
        <f t="shared" si="35"/>
        <v>0.1396294597391067</v>
      </c>
      <c r="Y237" s="23">
        <f t="shared" si="35"/>
        <v>1</v>
      </c>
      <c r="Z237" s="23">
        <f t="shared" si="35"/>
        <v>0</v>
      </c>
      <c r="AA237" s="23">
        <f t="shared" si="35"/>
        <v>0.101065183123869</v>
      </c>
      <c r="AB237" s="23">
        <f t="shared" si="35"/>
        <v>0.17270147733189167</v>
      </c>
      <c r="AC237" s="23">
        <f t="shared" si="35"/>
        <v>0.15485347863863413</v>
      </c>
      <c r="AD237" s="23">
        <f t="shared" si="35"/>
        <v>0.45185279230788689</v>
      </c>
      <c r="AE237" s="23">
        <f t="shared" si="35"/>
        <v>0.18910140827478458</v>
      </c>
      <c r="AF237" s="23">
        <f t="shared" si="35"/>
        <v>0.15669743253631088</v>
      </c>
      <c r="AG237" s="23">
        <f t="shared" si="35"/>
        <v>0.17502333416316768</v>
      </c>
      <c r="AH237" s="23">
        <f t="shared" si="35"/>
        <v>0</v>
      </c>
      <c r="AI237" s="23">
        <f t="shared" si="35"/>
        <v>0.1690455910405225</v>
      </c>
      <c r="AJ237" s="23">
        <f t="shared" si="35"/>
        <v>0.19299399928061201</v>
      </c>
      <c r="AK237" s="23">
        <f t="shared" si="35"/>
        <v>0.15252027676526139</v>
      </c>
      <c r="AL237" s="23">
        <f t="shared" si="35"/>
        <v>0.40812610532409033</v>
      </c>
      <c r="AM237" s="23">
        <f t="shared" si="35"/>
        <v>0</v>
      </c>
      <c r="AN237" s="23">
        <f t="shared" si="35"/>
        <v>0.17542481791067474</v>
      </c>
      <c r="AO237" s="23">
        <f t="shared" si="35"/>
        <v>0.1396294597391067</v>
      </c>
      <c r="AP237" s="23">
        <f t="shared" si="35"/>
        <v>0.34089059462599647</v>
      </c>
      <c r="AQ237" s="23">
        <f t="shared" si="35"/>
        <v>0.24660390381992309</v>
      </c>
      <c r="AR237" s="23">
        <f t="shared" si="35"/>
        <v>0.15817268011337288</v>
      </c>
      <c r="AS237" s="23">
        <f t="shared" si="35"/>
        <v>0.15844200149498069</v>
      </c>
      <c r="AT237" s="23">
        <f t="shared" si="35"/>
        <v>0.61518596931698744</v>
      </c>
      <c r="AU237" s="23">
        <f t="shared" si="35"/>
        <v>1.3508621851140366</v>
      </c>
      <c r="AV237" s="23">
        <f t="shared" si="35"/>
        <v>0.17920904903936261</v>
      </c>
      <c r="AW237" s="23">
        <f t="shared" si="35"/>
        <v>0.46368327952636174</v>
      </c>
      <c r="AX237" s="23">
        <f t="shared" si="35"/>
        <v>8.0147342952046063E-2</v>
      </c>
      <c r="AY237" s="23">
        <f t="shared" si="35"/>
        <v>0</v>
      </c>
      <c r="AZ237" s="23">
        <f t="shared" si="35"/>
        <v>0.29606835883482496</v>
      </c>
      <c r="BA237" s="23">
        <f t="shared" si="35"/>
        <v>0.15603292557970988</v>
      </c>
      <c r="BB237" s="23">
        <f t="shared" si="35"/>
        <v>0.10334758329213112</v>
      </c>
      <c r="BC237" s="23">
        <f t="shared" si="35"/>
        <v>0.19299399928061201</v>
      </c>
      <c r="BD237" s="23">
        <f t="shared" si="35"/>
        <v>1.1005394427804798</v>
      </c>
      <c r="BE237" s="23">
        <f t="shared" si="35"/>
        <v>0.12951583888167695</v>
      </c>
      <c r="BF237" s="23">
        <f t="shared" si="35"/>
        <v>0.33166257760683754</v>
      </c>
      <c r="BG237" s="23">
        <f t="shared" si="35"/>
        <v>0.22986590394422643</v>
      </c>
      <c r="BH237" s="23">
        <f t="shared" si="35"/>
        <v>7.7342777239015795E-2</v>
      </c>
      <c r="BI237" s="23">
        <f t="shared" si="35"/>
        <v>0.18551029025197371</v>
      </c>
      <c r="BJ237" s="23">
        <f t="shared" si="35"/>
        <v>0.13319844303076547</v>
      </c>
      <c r="BK237" s="23">
        <f t="shared" si="35"/>
        <v>0.22226004807586155</v>
      </c>
      <c r="BL237" s="23">
        <f t="shared" si="35"/>
        <v>0</v>
      </c>
      <c r="BM237" s="23">
        <f t="shared" si="35"/>
        <v>0</v>
      </c>
      <c r="BN237" s="23">
        <f t="shared" ref="BN237:CA240" si="36">IF(BN153&gt;=0, IF(BN153 = 0,  1, 1/BN153*$B$165), 0)</f>
        <v>0.15817268011337288</v>
      </c>
      <c r="BO237" s="23">
        <f t="shared" si="36"/>
        <v>0.28751954814576003</v>
      </c>
      <c r="BP237" s="23">
        <f t="shared" si="36"/>
        <v>0.17355932238654817</v>
      </c>
      <c r="BQ237" s="23">
        <f t="shared" si="36"/>
        <v>0</v>
      </c>
      <c r="BR237" s="23">
        <f t="shared" si="36"/>
        <v>0.11551758364352958</v>
      </c>
      <c r="BS237" s="23">
        <f t="shared" si="36"/>
        <v>1</v>
      </c>
      <c r="BT237" s="23">
        <f t="shared" si="36"/>
        <v>0.1396294597391067</v>
      </c>
      <c r="BU237" s="23">
        <f t="shared" si="36"/>
        <v>0.39052214064418023</v>
      </c>
      <c r="BV237" s="23">
        <f t="shared" si="36"/>
        <v>0.18840632729966453</v>
      </c>
      <c r="BW237" s="23">
        <f t="shared" si="36"/>
        <v>0.19961105606300988</v>
      </c>
      <c r="BX237" s="23">
        <f t="shared" si="36"/>
        <v>0.32700554119041925</v>
      </c>
      <c r="BY237" s="23">
        <f t="shared" si="36"/>
        <v>0</v>
      </c>
      <c r="BZ237" s="23">
        <f t="shared" si="36"/>
        <v>0</v>
      </c>
      <c r="CA237" s="23">
        <f t="shared" si="36"/>
        <v>0.55321980444730512</v>
      </c>
    </row>
    <row r="238" spans="1:79" ht="15.75" customHeight="1" x14ac:dyDescent="0.2">
      <c r="A238" s="30" t="s">
        <v>124</v>
      </c>
      <c r="B238" s="23">
        <f t="shared" si="34"/>
        <v>0.20502106840005727</v>
      </c>
      <c r="C238" s="23">
        <f t="shared" ref="C238:BN241" si="37">IF(C154&gt;=0, IF(C154 = 0,  1, 1/C154*$B$165), 0)</f>
        <v>0.19134171785558249</v>
      </c>
      <c r="D238" s="23">
        <f t="shared" si="37"/>
        <v>0.21145731825122832</v>
      </c>
      <c r="E238" s="23">
        <f t="shared" si="37"/>
        <v>0.21145731825122832</v>
      </c>
      <c r="F238" s="23">
        <f t="shared" si="37"/>
        <v>0.29638386283401114</v>
      </c>
      <c r="G238" s="23">
        <f t="shared" si="37"/>
        <v>0.12816566166085433</v>
      </c>
      <c r="H238" s="23">
        <f t="shared" si="37"/>
        <v>0.3190030295779771</v>
      </c>
      <c r="I238" s="23">
        <f t="shared" si="37"/>
        <v>0.14834892327625196</v>
      </c>
      <c r="J238" s="23">
        <f t="shared" si="37"/>
        <v>7.3270033098930237E-2</v>
      </c>
      <c r="K238" s="23">
        <f t="shared" si="37"/>
        <v>0.71177971943969387</v>
      </c>
      <c r="L238" s="23">
        <f t="shared" si="37"/>
        <v>0.14876854095263922</v>
      </c>
      <c r="M238" s="23">
        <f t="shared" si="37"/>
        <v>0</v>
      </c>
      <c r="N238" s="23">
        <f t="shared" si="37"/>
        <v>1</v>
      </c>
      <c r="O238" s="23">
        <f t="shared" si="37"/>
        <v>0.97833740399933233</v>
      </c>
      <c r="P238" s="23">
        <f t="shared" si="37"/>
        <v>0.16637499528196831</v>
      </c>
      <c r="Q238" s="23">
        <f t="shared" si="37"/>
        <v>0</v>
      </c>
      <c r="R238" s="23">
        <f t="shared" si="37"/>
        <v>1.0192309370421597</v>
      </c>
      <c r="S238" s="23">
        <f t="shared" si="37"/>
        <v>0</v>
      </c>
      <c r="T238" s="23">
        <f t="shared" si="37"/>
        <v>0.13711716333363355</v>
      </c>
      <c r="U238" s="23">
        <f t="shared" si="37"/>
        <v>0</v>
      </c>
      <c r="V238" s="23">
        <f t="shared" si="37"/>
        <v>0.21145731825122832</v>
      </c>
      <c r="W238" s="23">
        <f t="shared" si="37"/>
        <v>0.12034923892611225</v>
      </c>
      <c r="X238" s="23">
        <f t="shared" si="37"/>
        <v>1</v>
      </c>
      <c r="Y238" s="23">
        <f t="shared" si="37"/>
        <v>0.1396294597391067</v>
      </c>
      <c r="Z238" s="23">
        <f t="shared" si="37"/>
        <v>0</v>
      </c>
      <c r="AA238" s="23">
        <f t="shared" si="37"/>
        <v>0.17304612308351716</v>
      </c>
      <c r="AB238" s="23">
        <f t="shared" si="37"/>
        <v>0.72659266049171023</v>
      </c>
      <c r="AC238" s="23">
        <f t="shared" si="37"/>
        <v>0.2364526636767296</v>
      </c>
      <c r="AD238" s="23">
        <f t="shared" si="37"/>
        <v>0.11046828049985975</v>
      </c>
      <c r="AE238" s="23">
        <f t="shared" si="37"/>
        <v>0.48466447224926307</v>
      </c>
      <c r="AF238" s="23">
        <f t="shared" si="37"/>
        <v>1.224226452250762</v>
      </c>
      <c r="AG238" s="23">
        <f t="shared" si="37"/>
        <v>0.68891700486784091</v>
      </c>
      <c r="AH238" s="23">
        <f t="shared" si="37"/>
        <v>0</v>
      </c>
      <c r="AI238" s="23">
        <f t="shared" si="37"/>
        <v>0.54356061122228894</v>
      </c>
      <c r="AJ238" s="23">
        <f t="shared" si="37"/>
        <v>0.29638386283401114</v>
      </c>
      <c r="AK238" s="23">
        <f t="shared" si="37"/>
        <v>0.10134864143620757</v>
      </c>
      <c r="AL238" s="23">
        <f t="shared" si="37"/>
        <v>0.16134887262872447</v>
      </c>
      <c r="AM238" s="23">
        <f t="shared" si="37"/>
        <v>0</v>
      </c>
      <c r="AN238" s="23">
        <f t="shared" si="37"/>
        <v>0.65233791908500582</v>
      </c>
      <c r="AO238" s="23">
        <f t="shared" si="37"/>
        <v>1</v>
      </c>
      <c r="AP238" s="23">
        <f t="shared" si="37"/>
        <v>0.17704001423221932</v>
      </c>
      <c r="AQ238" s="23">
        <f t="shared" si="37"/>
        <v>0.10562777414885763</v>
      </c>
      <c r="AR238" s="23">
        <f t="shared" si="37"/>
        <v>1.0192309370421597</v>
      </c>
      <c r="AS238" s="23">
        <f t="shared" si="37"/>
        <v>0.94505992392979898</v>
      </c>
      <c r="AT238" s="23">
        <f t="shared" si="37"/>
        <v>0.1196425386161394</v>
      </c>
      <c r="AU238" s="23">
        <f t="shared" si="37"/>
        <v>0.1288214264716408</v>
      </c>
      <c r="AV238" s="23">
        <f t="shared" si="37"/>
        <v>0.40918244601308551</v>
      </c>
      <c r="AW238" s="23">
        <f t="shared" si="37"/>
        <v>0.12839410378851987</v>
      </c>
      <c r="AX238" s="23">
        <f t="shared" si="37"/>
        <v>0.16748840156567724</v>
      </c>
      <c r="AY238" s="23">
        <f t="shared" si="37"/>
        <v>0</v>
      </c>
      <c r="AZ238" s="23">
        <f t="shared" si="37"/>
        <v>0.11629299961863862</v>
      </c>
      <c r="BA238" s="23">
        <f t="shared" si="37"/>
        <v>0.63724579868429421</v>
      </c>
      <c r="BB238" s="23">
        <f t="shared" si="37"/>
        <v>0.14206874337861888</v>
      </c>
      <c r="BC238" s="23">
        <f t="shared" si="37"/>
        <v>0.29638386283401114</v>
      </c>
      <c r="BD238" s="23">
        <f t="shared" si="37"/>
        <v>0.15985436565702871</v>
      </c>
      <c r="BE238" s="23">
        <f t="shared" si="37"/>
        <v>1.6839214767836834</v>
      </c>
      <c r="BF238" s="23">
        <f t="shared" si="37"/>
        <v>0.19409672075285167</v>
      </c>
      <c r="BG238" s="23">
        <f t="shared" si="37"/>
        <v>0.26955011705058801</v>
      </c>
      <c r="BH238" s="23">
        <f t="shared" si="37"/>
        <v>0.13541680759161473</v>
      </c>
      <c r="BI238" s="23">
        <f t="shared" si="37"/>
        <v>0.56242859559769143</v>
      </c>
      <c r="BJ238" s="23">
        <f t="shared" si="37"/>
        <v>2.5636035823572834</v>
      </c>
      <c r="BK238" s="23">
        <f t="shared" si="37"/>
        <v>0.37429534832429034</v>
      </c>
      <c r="BL238" s="23">
        <f t="shared" si="37"/>
        <v>0</v>
      </c>
      <c r="BM238" s="23">
        <f t="shared" si="37"/>
        <v>0</v>
      </c>
      <c r="BN238" s="23">
        <f t="shared" si="37"/>
        <v>1.0192309370421597</v>
      </c>
      <c r="BO238" s="23">
        <f t="shared" si="36"/>
        <v>0.11306587740852253</v>
      </c>
      <c r="BP238" s="23">
        <f t="shared" si="36"/>
        <v>0.692984182861764</v>
      </c>
      <c r="BQ238" s="23">
        <f t="shared" si="36"/>
        <v>0</v>
      </c>
      <c r="BR238" s="23">
        <f t="shared" si="36"/>
        <v>0.21145731825122832</v>
      </c>
      <c r="BS238" s="23">
        <f t="shared" si="36"/>
        <v>0.1396294597391067</v>
      </c>
      <c r="BT238" s="23">
        <f t="shared" si="36"/>
        <v>1</v>
      </c>
      <c r="BU238" s="23">
        <f t="shared" si="36"/>
        <v>0.12645926407627725</v>
      </c>
      <c r="BV238" s="23">
        <f t="shared" si="36"/>
        <v>0.41753648693328216</v>
      </c>
      <c r="BW238" s="23">
        <f t="shared" si="36"/>
        <v>0.44989913963888356</v>
      </c>
      <c r="BX238" s="23">
        <f t="shared" si="36"/>
        <v>0.21668017175593829</v>
      </c>
      <c r="BY238" s="23">
        <f t="shared" si="36"/>
        <v>0</v>
      </c>
      <c r="BZ238" s="23">
        <f t="shared" si="36"/>
        <v>0</v>
      </c>
      <c r="CA238" s="23">
        <f t="shared" si="36"/>
        <v>0.12823901314066111</v>
      </c>
    </row>
    <row r="239" spans="1:79" ht="15.75" customHeight="1" x14ac:dyDescent="0.2">
      <c r="A239" s="30" t="s">
        <v>125</v>
      </c>
      <c r="B239" s="23">
        <f t="shared" si="34"/>
        <v>0.32999859473664495</v>
      </c>
      <c r="C239" s="23">
        <f t="shared" si="37"/>
        <v>0.16720619795394831</v>
      </c>
      <c r="D239" s="23">
        <f t="shared" si="37"/>
        <v>9.0959288459510443E-2</v>
      </c>
      <c r="E239" s="23">
        <f t="shared" si="37"/>
        <v>9.0959288459510443E-2</v>
      </c>
      <c r="F239" s="23">
        <f t="shared" si="37"/>
        <v>0.20848521759064798</v>
      </c>
      <c r="G239" s="23">
        <f t="shared" si="37"/>
        <v>7.6312203429905745E-2</v>
      </c>
      <c r="H239" s="23">
        <f t="shared" si="37"/>
        <v>0.20916885884731803</v>
      </c>
      <c r="I239" s="23">
        <f t="shared" si="37"/>
        <v>0.57045090137663679</v>
      </c>
      <c r="J239" s="23">
        <f t="shared" si="37"/>
        <v>0.1721927053998826</v>
      </c>
      <c r="K239" s="23">
        <f t="shared" si="37"/>
        <v>0.15253388627893902</v>
      </c>
      <c r="L239" s="23">
        <f t="shared" si="37"/>
        <v>0.83964295674959688</v>
      </c>
      <c r="M239" s="23">
        <f t="shared" si="37"/>
        <v>0</v>
      </c>
      <c r="N239" s="23">
        <f t="shared" si="37"/>
        <v>0.12645926407627725</v>
      </c>
      <c r="O239" s="23">
        <f t="shared" si="37"/>
        <v>0.13919319261482052</v>
      </c>
      <c r="P239" s="23">
        <f t="shared" si="37"/>
        <v>7.7487035772395754E-2</v>
      </c>
      <c r="Q239" s="23">
        <f t="shared" si="37"/>
        <v>0</v>
      </c>
      <c r="R239" s="23">
        <f t="shared" si="37"/>
        <v>0.13507077422396438</v>
      </c>
      <c r="S239" s="23">
        <f t="shared" si="37"/>
        <v>0</v>
      </c>
      <c r="T239" s="23">
        <f t="shared" si="37"/>
        <v>1.5832143119656279</v>
      </c>
      <c r="U239" s="23">
        <f t="shared" si="37"/>
        <v>0</v>
      </c>
      <c r="V239" s="23">
        <f t="shared" si="37"/>
        <v>9.0959288459510443E-2</v>
      </c>
      <c r="W239" s="23">
        <f t="shared" si="37"/>
        <v>2.3941047959604451</v>
      </c>
      <c r="X239" s="23">
        <f t="shared" si="37"/>
        <v>0.12645926407627725</v>
      </c>
      <c r="Y239" s="23">
        <f t="shared" si="37"/>
        <v>0.39052214064418023</v>
      </c>
      <c r="Z239" s="23">
        <f t="shared" si="37"/>
        <v>0</v>
      </c>
      <c r="AA239" s="23">
        <f t="shared" si="37"/>
        <v>8.0965692088541472E-2</v>
      </c>
      <c r="AB239" s="23">
        <f t="shared" si="37"/>
        <v>0.15037454533966113</v>
      </c>
      <c r="AC239" s="23">
        <f t="shared" si="37"/>
        <v>0.19116352985509402</v>
      </c>
      <c r="AD239" s="23">
        <f t="shared" si="37"/>
        <v>0.5828018072563439</v>
      </c>
      <c r="AE239" s="23">
        <f t="shared" si="37"/>
        <v>0.15037362779263752</v>
      </c>
      <c r="AF239" s="23">
        <f t="shared" si="37"/>
        <v>0.13633601168347345</v>
      </c>
      <c r="AG239" s="23">
        <f t="shared" si="37"/>
        <v>0.14965548526925471</v>
      </c>
      <c r="AH239" s="23">
        <f t="shared" si="37"/>
        <v>0</v>
      </c>
      <c r="AI239" s="23">
        <f t="shared" si="37"/>
        <v>0.16250307996879365</v>
      </c>
      <c r="AJ239" s="23">
        <f t="shared" si="37"/>
        <v>0.20848521759064798</v>
      </c>
      <c r="AK239" s="23">
        <f t="shared" si="37"/>
        <v>0.11818078551925851</v>
      </c>
      <c r="AL239" s="23">
        <f t="shared" si="37"/>
        <v>0.58290303883545092</v>
      </c>
      <c r="AM239" s="23">
        <f t="shared" si="37"/>
        <v>0</v>
      </c>
      <c r="AN239" s="23">
        <f t="shared" si="37"/>
        <v>0.15610393511584381</v>
      </c>
      <c r="AO239" s="23">
        <f t="shared" si="37"/>
        <v>0.12645926407627725</v>
      </c>
      <c r="AP239" s="23">
        <f t="shared" si="37"/>
        <v>0.44141722085670282</v>
      </c>
      <c r="AQ239" s="23">
        <f t="shared" si="37"/>
        <v>0.55318408122255525</v>
      </c>
      <c r="AR239" s="23">
        <f t="shared" si="37"/>
        <v>0.13507077422396438</v>
      </c>
      <c r="AS239" s="23">
        <f t="shared" si="37"/>
        <v>0.14580418089295696</v>
      </c>
      <c r="AT239" s="23">
        <f t="shared" si="37"/>
        <v>0.27969020085284885</v>
      </c>
      <c r="AU239" s="23">
        <f t="shared" si="37"/>
        <v>0.34581984750670464</v>
      </c>
      <c r="AV239" s="23">
        <f t="shared" si="37"/>
        <v>0.17854345455313259</v>
      </c>
      <c r="AW239" s="23">
        <f t="shared" si="37"/>
        <v>2.475053394644573</v>
      </c>
      <c r="AX239" s="23">
        <f t="shared" si="37"/>
        <v>7.2457419232316619E-2</v>
      </c>
      <c r="AY239" s="23">
        <f t="shared" si="37"/>
        <v>0</v>
      </c>
      <c r="AZ239" s="23">
        <f t="shared" si="37"/>
        <v>1.0847036179243048</v>
      </c>
      <c r="BA239" s="23">
        <f t="shared" si="37"/>
        <v>0.15211691472988886</v>
      </c>
      <c r="BB239" s="23">
        <f t="shared" si="37"/>
        <v>8.177201206068202E-2</v>
      </c>
      <c r="BC239" s="23">
        <f t="shared" si="37"/>
        <v>0.20848521759064798</v>
      </c>
      <c r="BD239" s="23">
        <f t="shared" si="37"/>
        <v>0.33495319472331447</v>
      </c>
      <c r="BE239" s="23">
        <f t="shared" si="37"/>
        <v>0.12044437153284342</v>
      </c>
      <c r="BF239" s="23">
        <f t="shared" si="37"/>
        <v>0.36282522491609798</v>
      </c>
      <c r="BG239" s="23">
        <f t="shared" si="37"/>
        <v>0.2360691784173545</v>
      </c>
      <c r="BH239" s="23">
        <f t="shared" si="37"/>
        <v>6.5401301552326221E-2</v>
      </c>
      <c r="BI239" s="23">
        <f t="shared" si="37"/>
        <v>0.15914513401172259</v>
      </c>
      <c r="BJ239" s="23">
        <f t="shared" si="37"/>
        <v>0.12051493014419781</v>
      </c>
      <c r="BK239" s="23">
        <f t="shared" si="37"/>
        <v>0.18225180794842261</v>
      </c>
      <c r="BL239" s="23">
        <f t="shared" si="37"/>
        <v>0</v>
      </c>
      <c r="BM239" s="23">
        <f t="shared" si="37"/>
        <v>0</v>
      </c>
      <c r="BN239" s="23">
        <f t="shared" si="37"/>
        <v>0.13507077422396438</v>
      </c>
      <c r="BO239" s="23">
        <f t="shared" si="36"/>
        <v>0.89807415469420926</v>
      </c>
      <c r="BP239" s="23">
        <f t="shared" si="36"/>
        <v>0.15351836834301419</v>
      </c>
      <c r="BQ239" s="23">
        <f t="shared" si="36"/>
        <v>0</v>
      </c>
      <c r="BR239" s="23">
        <f t="shared" si="36"/>
        <v>9.0959288459510443E-2</v>
      </c>
      <c r="BS239" s="23">
        <f t="shared" si="36"/>
        <v>0.39052214064418023</v>
      </c>
      <c r="BT239" s="23">
        <f t="shared" si="36"/>
        <v>0.12645926407627725</v>
      </c>
      <c r="BU239" s="23">
        <f t="shared" si="36"/>
        <v>1</v>
      </c>
      <c r="BV239" s="23">
        <f t="shared" si="36"/>
        <v>0.18046321413350533</v>
      </c>
      <c r="BW239" s="23">
        <f t="shared" si="36"/>
        <v>0.17351373603294279</v>
      </c>
      <c r="BX239" s="23">
        <f t="shared" si="36"/>
        <v>0.29945738811944245</v>
      </c>
      <c r="BY239" s="23">
        <f t="shared" si="36"/>
        <v>0</v>
      </c>
      <c r="BZ239" s="23">
        <f t="shared" si="36"/>
        <v>0</v>
      </c>
      <c r="CA239" s="23">
        <f t="shared" si="36"/>
        <v>1.3046018736496618</v>
      </c>
    </row>
    <row r="240" spans="1:79" ht="15.75" customHeight="1" x14ac:dyDescent="0.2">
      <c r="A240" s="30" t="s">
        <v>126</v>
      </c>
      <c r="B240" s="23">
        <f t="shared" si="34"/>
        <v>0.39639403398971385</v>
      </c>
      <c r="C240" s="23">
        <f t="shared" si="37"/>
        <v>0.23763013020559365</v>
      </c>
      <c r="D240" s="23">
        <f t="shared" si="37"/>
        <v>0.14756420631512723</v>
      </c>
      <c r="E240" s="23">
        <f t="shared" si="37"/>
        <v>0.14756420631512723</v>
      </c>
      <c r="F240" s="23">
        <f t="shared" si="37"/>
        <v>0.87262902079050919</v>
      </c>
      <c r="G240" s="23">
        <f t="shared" si="37"/>
        <v>0.10318935784278223</v>
      </c>
      <c r="H240" s="23">
        <f t="shared" si="37"/>
        <v>1.2976822802217911</v>
      </c>
      <c r="I240" s="23">
        <f t="shared" si="37"/>
        <v>0.21785157756115467</v>
      </c>
      <c r="J240" s="23">
        <f t="shared" si="37"/>
        <v>8.8810995472940635E-2</v>
      </c>
      <c r="K240" s="23">
        <f t="shared" si="37"/>
        <v>0.80373860781424189</v>
      </c>
      <c r="L240" s="23">
        <f t="shared" si="37"/>
        <v>0.22883035923528411</v>
      </c>
      <c r="M240" s="23">
        <f t="shared" si="37"/>
        <v>0</v>
      </c>
      <c r="N240" s="23">
        <f t="shared" si="37"/>
        <v>0.41753648693328216</v>
      </c>
      <c r="O240" s="23">
        <f t="shared" si="37"/>
        <v>0.51225266186805873</v>
      </c>
      <c r="P240" s="23">
        <f t="shared" si="37"/>
        <v>0.12420582364419072</v>
      </c>
      <c r="Q240" s="23">
        <f t="shared" si="37"/>
        <v>0</v>
      </c>
      <c r="R240" s="23">
        <f t="shared" si="37"/>
        <v>0.45434044281468178</v>
      </c>
      <c r="S240" s="23">
        <f t="shared" si="37"/>
        <v>0</v>
      </c>
      <c r="T240" s="23">
        <f t="shared" si="37"/>
        <v>0.2023581123231441</v>
      </c>
      <c r="U240" s="23">
        <f t="shared" si="37"/>
        <v>0</v>
      </c>
      <c r="V240" s="23">
        <f t="shared" si="37"/>
        <v>0.14756420631512723</v>
      </c>
      <c r="W240" s="23">
        <f t="shared" si="37"/>
        <v>0.16804412698723536</v>
      </c>
      <c r="X240" s="23">
        <f t="shared" si="37"/>
        <v>0.41753648693328216</v>
      </c>
      <c r="Y240" s="23">
        <f t="shared" si="37"/>
        <v>0.18840632729966453</v>
      </c>
      <c r="Z240" s="23">
        <f t="shared" si="37"/>
        <v>0</v>
      </c>
      <c r="AA240" s="23">
        <f t="shared" si="37"/>
        <v>0.12479759971333634</v>
      </c>
      <c r="AB240" s="23">
        <f t="shared" si="37"/>
        <v>0.70375537789908083</v>
      </c>
      <c r="AC240" s="23">
        <f t="shared" si="37"/>
        <v>0.36941076107989534</v>
      </c>
      <c r="AD240" s="23">
        <f t="shared" si="37"/>
        <v>0.14604960268498934</v>
      </c>
      <c r="AE240" s="23">
        <f t="shared" si="37"/>
        <v>0.45318744552711254</v>
      </c>
      <c r="AF240" s="23">
        <f t="shared" si="37"/>
        <v>0.49572703401407381</v>
      </c>
      <c r="AG240" s="23">
        <f t="shared" si="37"/>
        <v>0.63202326453454782</v>
      </c>
      <c r="AH240" s="23">
        <f t="shared" si="37"/>
        <v>0</v>
      </c>
      <c r="AI240" s="23">
        <f t="shared" si="37"/>
        <v>1.5739366356594759</v>
      </c>
      <c r="AJ240" s="23">
        <f t="shared" si="37"/>
        <v>0.87262902079050919</v>
      </c>
      <c r="AK240" s="23">
        <f t="shared" si="37"/>
        <v>9.676037145392212E-2</v>
      </c>
      <c r="AL240" s="23">
        <f t="shared" si="37"/>
        <v>0.25958759061074277</v>
      </c>
      <c r="AM240" s="23">
        <f t="shared" si="37"/>
        <v>0</v>
      </c>
      <c r="AN240" s="23">
        <f t="shared" si="37"/>
        <v>0.92608549982747346</v>
      </c>
      <c r="AO240" s="23">
        <f t="shared" si="37"/>
        <v>0.41753648693328216</v>
      </c>
      <c r="AP240" s="23">
        <f t="shared" si="37"/>
        <v>0.30525851545306021</v>
      </c>
      <c r="AQ240" s="23">
        <f t="shared" si="37"/>
        <v>0.14136492065075798</v>
      </c>
      <c r="AR240" s="23">
        <f t="shared" si="37"/>
        <v>0.45434044281468178</v>
      </c>
      <c r="AS240" s="23">
        <f t="shared" si="37"/>
        <v>0.74781367483647287</v>
      </c>
      <c r="AT240" s="23">
        <f t="shared" si="37"/>
        <v>0.14690908216101636</v>
      </c>
      <c r="AU240" s="23">
        <f t="shared" si="37"/>
        <v>0.16620915620836521</v>
      </c>
      <c r="AV240" s="23">
        <f t="shared" si="37"/>
        <v>2.4288336898061815</v>
      </c>
      <c r="AW240" s="23">
        <f t="shared" si="37"/>
        <v>0.18314044931757964</v>
      </c>
      <c r="AX240" s="23">
        <f t="shared" si="37"/>
        <v>0.12055300380079823</v>
      </c>
      <c r="AY240" s="23">
        <f t="shared" si="37"/>
        <v>0</v>
      </c>
      <c r="AZ240" s="23">
        <f t="shared" si="37"/>
        <v>0.16116668212091256</v>
      </c>
      <c r="BA240" s="23">
        <f t="shared" si="37"/>
        <v>0.89570523150139936</v>
      </c>
      <c r="BB240" s="23">
        <f t="shared" si="37"/>
        <v>0.10956541323494422</v>
      </c>
      <c r="BC240" s="23">
        <f t="shared" si="37"/>
        <v>0.87262902079050919</v>
      </c>
      <c r="BD240" s="23">
        <f t="shared" si="37"/>
        <v>0.22329784010667436</v>
      </c>
      <c r="BE240" s="23">
        <f t="shared" si="37"/>
        <v>0.36206060214362046</v>
      </c>
      <c r="BF240" s="23">
        <f t="shared" si="37"/>
        <v>0.35646036955127364</v>
      </c>
      <c r="BG240" s="23">
        <f t="shared" si="37"/>
        <v>0.75991115249018559</v>
      </c>
      <c r="BH240" s="23">
        <f t="shared" si="37"/>
        <v>0.1025721343110866</v>
      </c>
      <c r="BI240" s="23">
        <f t="shared" si="37"/>
        <v>0.78464428971730549</v>
      </c>
      <c r="BJ240" s="23">
        <f t="shared" si="37"/>
        <v>0.35963668848594821</v>
      </c>
      <c r="BK240" s="23">
        <f t="shared" si="37"/>
        <v>0.7173706702273448</v>
      </c>
      <c r="BL240" s="23">
        <f t="shared" si="37"/>
        <v>0</v>
      </c>
      <c r="BM240" s="23">
        <f t="shared" si="37"/>
        <v>0</v>
      </c>
      <c r="BN240" s="23">
        <f t="shared" si="37"/>
        <v>0.45434044281468178</v>
      </c>
      <c r="BO240" s="23">
        <f t="shared" si="36"/>
        <v>0.1550329543213575</v>
      </c>
      <c r="BP240" s="23">
        <f t="shared" si="36"/>
        <v>0.83015469226466687</v>
      </c>
      <c r="BQ240" s="23">
        <f t="shared" si="36"/>
        <v>0</v>
      </c>
      <c r="BR240" s="23">
        <f t="shared" si="36"/>
        <v>0.14756420631512723</v>
      </c>
      <c r="BS240" s="23">
        <f t="shared" si="36"/>
        <v>0.18840632729966453</v>
      </c>
      <c r="BT240" s="23">
        <f t="shared" si="36"/>
        <v>0.41753648693328216</v>
      </c>
      <c r="BU240" s="23">
        <f t="shared" si="36"/>
        <v>0.18046321413350533</v>
      </c>
      <c r="BV240" s="23">
        <f t="shared" si="36"/>
        <v>1</v>
      </c>
      <c r="BW240" s="23">
        <f t="shared" si="36"/>
        <v>1.086643643592458</v>
      </c>
      <c r="BX240" s="23">
        <f t="shared" si="36"/>
        <v>0.42184009190576327</v>
      </c>
      <c r="BY240" s="23">
        <f t="shared" si="36"/>
        <v>0</v>
      </c>
      <c r="BZ240" s="23">
        <f t="shared" si="36"/>
        <v>0</v>
      </c>
      <c r="CA240" s="23">
        <f t="shared" si="36"/>
        <v>0.18114703612084682</v>
      </c>
    </row>
    <row r="241" spans="1:79" ht="15.75" customHeight="1" x14ac:dyDescent="0.2">
      <c r="A241" s="30" t="s">
        <v>127</v>
      </c>
      <c r="B241" s="23">
        <f t="shared" si="34"/>
        <v>0.36027109110264977</v>
      </c>
      <c r="C241" s="23">
        <f t="shared" si="37"/>
        <v>0.19514863740570143</v>
      </c>
      <c r="D241" s="23">
        <f t="shared" si="37"/>
        <v>0.1643683125862419</v>
      </c>
      <c r="E241" s="23">
        <f t="shared" si="37"/>
        <v>0.1643683125862419</v>
      </c>
      <c r="F241" s="23">
        <f t="shared" si="37"/>
        <v>0.50320731820979836</v>
      </c>
      <c r="G241" s="23">
        <f t="shared" si="37"/>
        <v>0.10039609970761007</v>
      </c>
      <c r="H241" s="23">
        <f t="shared" si="37"/>
        <v>0.81681223377021817</v>
      </c>
      <c r="I241" s="23">
        <f t="shared" si="37"/>
        <v>0.2213265398876125</v>
      </c>
      <c r="J241" s="23">
        <f t="shared" si="37"/>
        <v>8.6431927615058857E-2</v>
      </c>
      <c r="K241" s="23">
        <f t="shared" si="37"/>
        <v>1.2222345538509709</v>
      </c>
      <c r="L241" s="23">
        <f t="shared" si="37"/>
        <v>0.21868349601704648</v>
      </c>
      <c r="M241" s="23">
        <f t="shared" si="37"/>
        <v>0</v>
      </c>
      <c r="N241" s="23">
        <f t="shared" si="37"/>
        <v>0.44989913963888356</v>
      </c>
      <c r="O241" s="23">
        <f t="shared" si="37"/>
        <v>0.70129331008209439</v>
      </c>
      <c r="P241" s="23">
        <f t="shared" si="37"/>
        <v>0.12189672033509608</v>
      </c>
      <c r="Q241" s="23">
        <f t="shared" si="37"/>
        <v>0</v>
      </c>
      <c r="R241" s="23">
        <f t="shared" si="37"/>
        <v>0.60356235134222724</v>
      </c>
      <c r="S241" s="23">
        <f t="shared" si="37"/>
        <v>0</v>
      </c>
      <c r="T241" s="23">
        <f t="shared" si="37"/>
        <v>0.19471445730104348</v>
      </c>
      <c r="U241" s="23">
        <f t="shared" si="37"/>
        <v>0</v>
      </c>
      <c r="V241" s="23">
        <f t="shared" si="37"/>
        <v>0.1643683125862419</v>
      </c>
      <c r="W241" s="23">
        <f t="shared" si="37"/>
        <v>0.16262968097167141</v>
      </c>
      <c r="X241" s="23">
        <f t="shared" si="37"/>
        <v>0.44989913963888356</v>
      </c>
      <c r="Y241" s="23">
        <f t="shared" si="37"/>
        <v>0.19961105606300988</v>
      </c>
      <c r="Z241" s="23">
        <f t="shared" si="37"/>
        <v>0</v>
      </c>
      <c r="AA241" s="23">
        <f t="shared" si="37"/>
        <v>0.13511687441489381</v>
      </c>
      <c r="AB241" s="23">
        <f t="shared" si="37"/>
        <v>1.1267238509278987</v>
      </c>
      <c r="AC241" s="23">
        <f t="shared" si="37"/>
        <v>0.27577344770147738</v>
      </c>
      <c r="AD241" s="23">
        <f t="shared" si="37"/>
        <v>0.14642019527959926</v>
      </c>
      <c r="AE241" s="23">
        <f t="shared" si="37"/>
        <v>0.75066998529312368</v>
      </c>
      <c r="AF241" s="23">
        <f t="shared" si="37"/>
        <v>0.63626210409034345</v>
      </c>
      <c r="AG241" s="23">
        <f t="shared" si="37"/>
        <v>1.0694824099752829</v>
      </c>
      <c r="AH241" s="23">
        <f t="shared" si="37"/>
        <v>0</v>
      </c>
      <c r="AI241" s="23">
        <f t="shared" si="37"/>
        <v>0.86575367182136864</v>
      </c>
      <c r="AJ241" s="23">
        <f t="shared" si="37"/>
        <v>0.50320731820979836</v>
      </c>
      <c r="AK241" s="23">
        <f t="shared" si="37"/>
        <v>0.10579648390179347</v>
      </c>
      <c r="AL241" s="23">
        <f t="shared" si="37"/>
        <v>0.24694286915984709</v>
      </c>
      <c r="AM241" s="23">
        <f t="shared" si="37"/>
        <v>0</v>
      </c>
      <c r="AN241" s="23">
        <f t="shared" si="37"/>
        <v>1.4327610418854801</v>
      </c>
      <c r="AO241" s="23">
        <f t="shared" si="37"/>
        <v>0.44989913963888356</v>
      </c>
      <c r="AP241" s="23">
        <f t="shared" si="37"/>
        <v>0.28130014916586066</v>
      </c>
      <c r="AQ241" s="23">
        <f t="shared" si="37"/>
        <v>0.13432091090792178</v>
      </c>
      <c r="AR241" s="23">
        <f t="shared" si="37"/>
        <v>0.60356235134222724</v>
      </c>
      <c r="AS241" s="23">
        <f t="shared" si="37"/>
        <v>0.76778520940342754</v>
      </c>
      <c r="AT241" s="23">
        <f t="shared" si="37"/>
        <v>0.1570290616574827</v>
      </c>
      <c r="AU241" s="23">
        <f t="shared" si="37"/>
        <v>0.17655415187069776</v>
      </c>
      <c r="AV241" s="23">
        <f t="shared" si="37"/>
        <v>0.75943509945338861</v>
      </c>
      <c r="AW241" s="23">
        <f t="shared" si="37"/>
        <v>0.17842385650299813</v>
      </c>
      <c r="AX241" s="23">
        <f t="shared" si="37"/>
        <v>0.12240208518521062</v>
      </c>
      <c r="AY241" s="23">
        <f t="shared" si="37"/>
        <v>0</v>
      </c>
      <c r="AZ241" s="23">
        <f t="shared" si="37"/>
        <v>0.15301381179296603</v>
      </c>
      <c r="BA241" s="23">
        <f t="shared" si="37"/>
        <v>0.63245497705541265</v>
      </c>
      <c r="BB241" s="23">
        <f t="shared" si="37"/>
        <v>0.11903208112962441</v>
      </c>
      <c r="BC241" s="23">
        <f t="shared" si="37"/>
        <v>0.50320731820979836</v>
      </c>
      <c r="BD241" s="23">
        <f t="shared" si="37"/>
        <v>0.24268679860540271</v>
      </c>
      <c r="BE241" s="23">
        <f t="shared" si="37"/>
        <v>0.36536086948044866</v>
      </c>
      <c r="BF241" s="23">
        <f t="shared" si="37"/>
        <v>0.33012595800805022</v>
      </c>
      <c r="BG241" s="23">
        <f t="shared" si="37"/>
        <v>0.54885998734997188</v>
      </c>
      <c r="BH241" s="23">
        <f t="shared" si="37"/>
        <v>0.10488025851232695</v>
      </c>
      <c r="BI241" s="23">
        <f t="shared" si="37"/>
        <v>1.8686464439019814</v>
      </c>
      <c r="BJ241" s="23">
        <f t="shared" si="37"/>
        <v>0.38422027739395609</v>
      </c>
      <c r="BK241" s="23">
        <f t="shared" si="37"/>
        <v>1.704168929759833</v>
      </c>
      <c r="BL241" s="23">
        <f t="shared" si="37"/>
        <v>0</v>
      </c>
      <c r="BM241" s="23">
        <f t="shared" si="37"/>
        <v>0</v>
      </c>
      <c r="BN241" s="23">
        <f t="shared" ref="BN241:CA244" si="38">IF(BN157&gt;=0, IF(BN157 = 0,  1, 1/BN157*$B$165), 0)</f>
        <v>0.60356235134222724</v>
      </c>
      <c r="BO241" s="23">
        <f t="shared" si="38"/>
        <v>0.14757069084534222</v>
      </c>
      <c r="BP241" s="23">
        <f t="shared" si="38"/>
        <v>1.2825670800149584</v>
      </c>
      <c r="BQ241" s="23">
        <f t="shared" si="38"/>
        <v>0</v>
      </c>
      <c r="BR241" s="23">
        <f t="shared" si="38"/>
        <v>0.1643683125862419</v>
      </c>
      <c r="BS241" s="23">
        <f t="shared" si="38"/>
        <v>0.19961105606300988</v>
      </c>
      <c r="BT241" s="23">
        <f t="shared" si="38"/>
        <v>0.44989913963888356</v>
      </c>
      <c r="BU241" s="23">
        <f t="shared" si="38"/>
        <v>0.17351373603294279</v>
      </c>
      <c r="BV241" s="23">
        <f t="shared" si="38"/>
        <v>1.086643643592458</v>
      </c>
      <c r="BW241" s="23">
        <f t="shared" si="38"/>
        <v>1</v>
      </c>
      <c r="BX241" s="23">
        <f t="shared" si="38"/>
        <v>0.4119565670976803</v>
      </c>
      <c r="BY241" s="23">
        <f t="shared" si="38"/>
        <v>0</v>
      </c>
      <c r="BZ241" s="23">
        <f t="shared" si="38"/>
        <v>0</v>
      </c>
      <c r="CA241" s="23">
        <f t="shared" si="38"/>
        <v>0.17893927521317679</v>
      </c>
    </row>
    <row r="242" spans="1:79" ht="15.75" customHeight="1" x14ac:dyDescent="0.2">
      <c r="A242" s="30" t="s">
        <v>128</v>
      </c>
      <c r="B242" s="23">
        <f t="shared" si="34"/>
        <v>1.7204905456140995</v>
      </c>
      <c r="C242" s="23">
        <f t="shared" ref="C242:BN245" si="39">IF(C158&gt;=0, IF(C158 = 0,  1, 1/C158*$B$165), 0)</f>
        <v>0.19514279085459019</v>
      </c>
      <c r="D242" s="23">
        <f t="shared" si="39"/>
        <v>0.12298626992632598</v>
      </c>
      <c r="E242" s="23">
        <f t="shared" si="39"/>
        <v>0.12298626992632598</v>
      </c>
      <c r="F242" s="23">
        <f t="shared" si="39"/>
        <v>0.46888384859472565</v>
      </c>
      <c r="G242" s="23">
        <f t="shared" si="39"/>
        <v>8.3440944597328218E-2</v>
      </c>
      <c r="H242" s="23">
        <f t="shared" si="39"/>
        <v>0.61934137455697302</v>
      </c>
      <c r="I242" s="23">
        <f t="shared" si="39"/>
        <v>0.45007671490084522</v>
      </c>
      <c r="J242" s="23">
        <f t="shared" si="39"/>
        <v>0.10937524424180607</v>
      </c>
      <c r="K242" s="23">
        <f t="shared" si="39"/>
        <v>0.30945540143144867</v>
      </c>
      <c r="L242" s="23">
        <f t="shared" si="39"/>
        <v>0.46470382592590387</v>
      </c>
      <c r="M242" s="23">
        <f t="shared" si="39"/>
        <v>0</v>
      </c>
      <c r="N242" s="23">
        <f t="shared" si="39"/>
        <v>0.21668017175593829</v>
      </c>
      <c r="O242" s="23">
        <f t="shared" si="39"/>
        <v>0.26007204467501771</v>
      </c>
      <c r="P242" s="23">
        <f t="shared" si="39"/>
        <v>9.5991231862409709E-2</v>
      </c>
      <c r="Q242" s="23">
        <f t="shared" si="39"/>
        <v>0</v>
      </c>
      <c r="R242" s="23">
        <f t="shared" si="39"/>
        <v>0.24602733908981478</v>
      </c>
      <c r="S242" s="23">
        <f t="shared" si="39"/>
        <v>0</v>
      </c>
      <c r="T242" s="23">
        <f t="shared" si="39"/>
        <v>0.36901076187774967</v>
      </c>
      <c r="U242" s="23">
        <f t="shared" si="39"/>
        <v>0</v>
      </c>
      <c r="V242" s="23">
        <f t="shared" si="39"/>
        <v>0.12298626992632598</v>
      </c>
      <c r="W242" s="23">
        <f t="shared" si="39"/>
        <v>0.26869488215112691</v>
      </c>
      <c r="X242" s="23">
        <f t="shared" si="39"/>
        <v>0.21668017175593829</v>
      </c>
      <c r="Y242" s="23">
        <f t="shared" si="39"/>
        <v>0.32700554119041925</v>
      </c>
      <c r="Z242" s="23">
        <f t="shared" si="39"/>
        <v>0</v>
      </c>
      <c r="AA242" s="23">
        <f t="shared" si="39"/>
        <v>0.10485572030266048</v>
      </c>
      <c r="AB242" s="23">
        <f t="shared" si="39"/>
        <v>0.30166259248490535</v>
      </c>
      <c r="AC242" s="23">
        <f t="shared" si="39"/>
        <v>0.27577317570928056</v>
      </c>
      <c r="AD242" s="23">
        <f t="shared" si="39"/>
        <v>0.22293483194887831</v>
      </c>
      <c r="AE242" s="23">
        <f t="shared" si="39"/>
        <v>0.29531876970189752</v>
      </c>
      <c r="AF242" s="23">
        <f t="shared" si="39"/>
        <v>0.25009208542412387</v>
      </c>
      <c r="AG242" s="23">
        <f t="shared" si="39"/>
        <v>0.29916336567912244</v>
      </c>
      <c r="AH242" s="23">
        <f t="shared" si="39"/>
        <v>0</v>
      </c>
      <c r="AI242" s="23">
        <f t="shared" si="39"/>
        <v>0.3327258422093281</v>
      </c>
      <c r="AJ242" s="23">
        <f t="shared" si="39"/>
        <v>0.46888384859472565</v>
      </c>
      <c r="AK242" s="23">
        <f t="shared" si="39"/>
        <v>0.10914700088401098</v>
      </c>
      <c r="AL242" s="23">
        <f t="shared" si="39"/>
        <v>0.61227989398772942</v>
      </c>
      <c r="AM242" s="23">
        <f t="shared" si="39"/>
        <v>0</v>
      </c>
      <c r="AN242" s="23">
        <f t="shared" si="39"/>
        <v>0.32377049050748741</v>
      </c>
      <c r="AO242" s="23">
        <f t="shared" si="39"/>
        <v>0.21668017175593829</v>
      </c>
      <c r="AP242" s="23">
        <f t="shared" si="39"/>
        <v>0.81508860143470629</v>
      </c>
      <c r="AQ242" s="23">
        <f t="shared" si="39"/>
        <v>0.19748312693691375</v>
      </c>
      <c r="AR242" s="23">
        <f t="shared" si="39"/>
        <v>0.24602733908981478</v>
      </c>
      <c r="AS242" s="23">
        <f t="shared" si="39"/>
        <v>0.27802423618055627</v>
      </c>
      <c r="AT242" s="23">
        <f t="shared" si="39"/>
        <v>0.21472557622126801</v>
      </c>
      <c r="AU242" s="23">
        <f t="shared" si="39"/>
        <v>0.2634655055661887</v>
      </c>
      <c r="AV242" s="23">
        <f t="shared" si="39"/>
        <v>0.3887680985283426</v>
      </c>
      <c r="AW242" s="23">
        <f t="shared" si="39"/>
        <v>0.31450941560649787</v>
      </c>
      <c r="AX242" s="23">
        <f t="shared" si="39"/>
        <v>9.4471753800841468E-2</v>
      </c>
      <c r="AY242" s="23">
        <f t="shared" si="39"/>
        <v>0</v>
      </c>
      <c r="AZ242" s="23">
        <f t="shared" si="39"/>
        <v>0.24132827638110024</v>
      </c>
      <c r="BA242" s="23">
        <f t="shared" si="39"/>
        <v>0.2870367209706563</v>
      </c>
      <c r="BB242" s="23">
        <f t="shared" si="39"/>
        <v>9.7833772028199692E-2</v>
      </c>
      <c r="BC242" s="23">
        <f t="shared" si="39"/>
        <v>0.46888384859472565</v>
      </c>
      <c r="BD242" s="23">
        <f t="shared" si="39"/>
        <v>0.42350728963107309</v>
      </c>
      <c r="BE242" s="23">
        <f t="shared" si="39"/>
        <v>0.19716287315840672</v>
      </c>
      <c r="BF242" s="23">
        <f t="shared" si="39"/>
        <v>1.4252811445409999</v>
      </c>
      <c r="BG242" s="23">
        <f t="shared" si="39"/>
        <v>0.77337506764942943</v>
      </c>
      <c r="BH242" s="23">
        <f t="shared" si="39"/>
        <v>8.3609119019495387E-2</v>
      </c>
      <c r="BI242" s="23">
        <f t="shared" si="39"/>
        <v>0.3396337763083716</v>
      </c>
      <c r="BJ242" s="23">
        <f t="shared" si="39"/>
        <v>0.19987909383987357</v>
      </c>
      <c r="BK242" s="23">
        <f t="shared" si="39"/>
        <v>0.46105081702071271</v>
      </c>
      <c r="BL242" s="23">
        <f t="shared" si="39"/>
        <v>0</v>
      </c>
      <c r="BM242" s="23">
        <f t="shared" si="39"/>
        <v>0</v>
      </c>
      <c r="BN242" s="23">
        <f t="shared" si="39"/>
        <v>0.24602733908981478</v>
      </c>
      <c r="BO242" s="23">
        <f t="shared" si="38"/>
        <v>0.22833707205641451</v>
      </c>
      <c r="BP242" s="23">
        <f t="shared" si="38"/>
        <v>0.31345159664583205</v>
      </c>
      <c r="BQ242" s="23">
        <f t="shared" si="38"/>
        <v>0</v>
      </c>
      <c r="BR242" s="23">
        <f t="shared" si="38"/>
        <v>0.12298626992632598</v>
      </c>
      <c r="BS242" s="23">
        <f t="shared" si="38"/>
        <v>0.32700554119041925</v>
      </c>
      <c r="BT242" s="23">
        <f t="shared" si="38"/>
        <v>0.21668017175593829</v>
      </c>
      <c r="BU242" s="23">
        <f t="shared" si="38"/>
        <v>0.29945738811944245</v>
      </c>
      <c r="BV242" s="23">
        <f t="shared" si="38"/>
        <v>0.42184009190576327</v>
      </c>
      <c r="BW242" s="23">
        <f t="shared" si="38"/>
        <v>0.4119565670976803</v>
      </c>
      <c r="BX242" s="23">
        <f t="shared" si="38"/>
        <v>1</v>
      </c>
      <c r="BY242" s="23">
        <f t="shared" si="38"/>
        <v>0</v>
      </c>
      <c r="BZ242" s="23">
        <f t="shared" si="38"/>
        <v>0</v>
      </c>
      <c r="CA242" s="23">
        <f t="shared" si="38"/>
        <v>0.3138436096824494</v>
      </c>
    </row>
    <row r="243" spans="1:79" ht="15.75" customHeight="1" x14ac:dyDescent="0.2">
      <c r="A243" s="30" t="s">
        <v>129</v>
      </c>
      <c r="B243" s="23">
        <f t="shared" si="34"/>
        <v>0</v>
      </c>
      <c r="C243" s="23">
        <f t="shared" si="39"/>
        <v>0</v>
      </c>
      <c r="D243" s="23">
        <f t="shared" si="39"/>
        <v>0</v>
      </c>
      <c r="E243" s="23">
        <f t="shared" si="39"/>
        <v>0</v>
      </c>
      <c r="F243" s="23">
        <f t="shared" si="39"/>
        <v>0</v>
      </c>
      <c r="G243" s="23">
        <f t="shared" si="39"/>
        <v>0</v>
      </c>
      <c r="H243" s="23">
        <f t="shared" si="39"/>
        <v>0</v>
      </c>
      <c r="I243" s="23">
        <f t="shared" si="39"/>
        <v>0</v>
      </c>
      <c r="J243" s="23">
        <f t="shared" si="39"/>
        <v>0</v>
      </c>
      <c r="K243" s="23">
        <f t="shared" si="39"/>
        <v>0</v>
      </c>
      <c r="L243" s="23">
        <f t="shared" si="39"/>
        <v>0</v>
      </c>
      <c r="M243" s="23">
        <f t="shared" si="39"/>
        <v>0</v>
      </c>
      <c r="N243" s="23">
        <f t="shared" si="39"/>
        <v>0</v>
      </c>
      <c r="O243" s="23">
        <f t="shared" si="39"/>
        <v>0</v>
      </c>
      <c r="P243" s="23">
        <f t="shared" si="39"/>
        <v>0</v>
      </c>
      <c r="Q243" s="23">
        <f t="shared" si="39"/>
        <v>0</v>
      </c>
      <c r="R243" s="23">
        <f t="shared" si="39"/>
        <v>0</v>
      </c>
      <c r="S243" s="23">
        <f t="shared" si="39"/>
        <v>0</v>
      </c>
      <c r="T243" s="23">
        <f t="shared" si="39"/>
        <v>0</v>
      </c>
      <c r="U243" s="23">
        <f t="shared" si="39"/>
        <v>0</v>
      </c>
      <c r="V243" s="23">
        <f t="shared" si="39"/>
        <v>0</v>
      </c>
      <c r="W243" s="23">
        <f t="shared" si="39"/>
        <v>0</v>
      </c>
      <c r="X243" s="23">
        <f t="shared" si="39"/>
        <v>0</v>
      </c>
      <c r="Y243" s="23">
        <f t="shared" si="39"/>
        <v>0</v>
      </c>
      <c r="Z243" s="23">
        <f t="shared" si="39"/>
        <v>0</v>
      </c>
      <c r="AA243" s="23">
        <f t="shared" si="39"/>
        <v>0</v>
      </c>
      <c r="AB243" s="23">
        <f t="shared" si="39"/>
        <v>0</v>
      </c>
      <c r="AC243" s="23">
        <f t="shared" si="39"/>
        <v>0</v>
      </c>
      <c r="AD243" s="23">
        <f t="shared" si="39"/>
        <v>0</v>
      </c>
      <c r="AE243" s="23">
        <f t="shared" si="39"/>
        <v>0</v>
      </c>
      <c r="AF243" s="23">
        <f t="shared" si="39"/>
        <v>0</v>
      </c>
      <c r="AG243" s="23">
        <f t="shared" si="39"/>
        <v>0</v>
      </c>
      <c r="AH243" s="23">
        <f t="shared" si="39"/>
        <v>0</v>
      </c>
      <c r="AI243" s="23">
        <f t="shared" si="39"/>
        <v>0</v>
      </c>
      <c r="AJ243" s="23">
        <f t="shared" si="39"/>
        <v>0</v>
      </c>
      <c r="AK243" s="23">
        <f t="shared" si="39"/>
        <v>0</v>
      </c>
      <c r="AL243" s="23">
        <f t="shared" si="39"/>
        <v>0</v>
      </c>
      <c r="AM243" s="23">
        <f t="shared" si="39"/>
        <v>0</v>
      </c>
      <c r="AN243" s="23">
        <f t="shared" si="39"/>
        <v>0</v>
      </c>
      <c r="AO243" s="23">
        <f t="shared" si="39"/>
        <v>0</v>
      </c>
      <c r="AP243" s="23">
        <f t="shared" si="39"/>
        <v>0</v>
      </c>
      <c r="AQ243" s="23">
        <f t="shared" si="39"/>
        <v>0</v>
      </c>
      <c r="AR243" s="23">
        <f t="shared" si="39"/>
        <v>0</v>
      </c>
      <c r="AS243" s="23">
        <f t="shared" si="39"/>
        <v>0</v>
      </c>
      <c r="AT243" s="23">
        <f t="shared" si="39"/>
        <v>0</v>
      </c>
      <c r="AU243" s="23">
        <f t="shared" si="39"/>
        <v>0</v>
      </c>
      <c r="AV243" s="23">
        <f t="shared" si="39"/>
        <v>0</v>
      </c>
      <c r="AW243" s="23">
        <f t="shared" si="39"/>
        <v>0</v>
      </c>
      <c r="AX243" s="23">
        <f t="shared" si="39"/>
        <v>0</v>
      </c>
      <c r="AY243" s="23">
        <f t="shared" si="39"/>
        <v>0</v>
      </c>
      <c r="AZ243" s="23">
        <f t="shared" si="39"/>
        <v>0</v>
      </c>
      <c r="BA243" s="23">
        <f t="shared" si="39"/>
        <v>0</v>
      </c>
      <c r="BB243" s="23">
        <f t="shared" si="39"/>
        <v>0</v>
      </c>
      <c r="BC243" s="23">
        <f t="shared" si="39"/>
        <v>0</v>
      </c>
      <c r="BD243" s="23">
        <f t="shared" si="39"/>
        <v>0</v>
      </c>
      <c r="BE243" s="23">
        <f t="shared" si="39"/>
        <v>0</v>
      </c>
      <c r="BF243" s="23">
        <f t="shared" si="39"/>
        <v>0</v>
      </c>
      <c r="BG243" s="23">
        <f t="shared" si="39"/>
        <v>0</v>
      </c>
      <c r="BH243" s="23">
        <f t="shared" si="39"/>
        <v>0</v>
      </c>
      <c r="BI243" s="23">
        <f t="shared" si="39"/>
        <v>0</v>
      </c>
      <c r="BJ243" s="23">
        <f t="shared" si="39"/>
        <v>0</v>
      </c>
      <c r="BK243" s="23">
        <f t="shared" si="39"/>
        <v>0</v>
      </c>
      <c r="BL243" s="23">
        <f t="shared" si="39"/>
        <v>0</v>
      </c>
      <c r="BM243" s="23">
        <f t="shared" si="39"/>
        <v>0</v>
      </c>
      <c r="BN243" s="23">
        <f t="shared" si="39"/>
        <v>0</v>
      </c>
      <c r="BO243" s="23">
        <f t="shared" si="38"/>
        <v>0</v>
      </c>
      <c r="BP243" s="23">
        <f t="shared" si="38"/>
        <v>0</v>
      </c>
      <c r="BQ243" s="23">
        <f t="shared" si="38"/>
        <v>0</v>
      </c>
      <c r="BR243" s="23">
        <f t="shared" si="38"/>
        <v>0</v>
      </c>
      <c r="BS243" s="23">
        <f t="shared" si="38"/>
        <v>0</v>
      </c>
      <c r="BT243" s="23">
        <f t="shared" si="38"/>
        <v>0</v>
      </c>
      <c r="BU243" s="23">
        <f t="shared" si="38"/>
        <v>0</v>
      </c>
      <c r="BV243" s="23">
        <f t="shared" si="38"/>
        <v>0</v>
      </c>
      <c r="BW243" s="23">
        <f t="shared" si="38"/>
        <v>0</v>
      </c>
      <c r="BX243" s="23">
        <f t="shared" si="38"/>
        <v>0</v>
      </c>
      <c r="BY243" s="23">
        <f t="shared" si="38"/>
        <v>1</v>
      </c>
      <c r="BZ243" s="23">
        <f t="shared" si="38"/>
        <v>0</v>
      </c>
      <c r="CA243" s="23">
        <f t="shared" si="38"/>
        <v>0</v>
      </c>
    </row>
    <row r="244" spans="1:79" ht="15.75" customHeight="1" x14ac:dyDescent="0.2">
      <c r="A244" s="30" t="s">
        <v>130</v>
      </c>
      <c r="B244" s="23">
        <f t="shared" si="34"/>
        <v>0</v>
      </c>
      <c r="C244" s="23">
        <f t="shared" si="39"/>
        <v>0</v>
      </c>
      <c r="D244" s="23">
        <f t="shared" si="39"/>
        <v>0</v>
      </c>
      <c r="E244" s="23">
        <f t="shared" si="39"/>
        <v>0</v>
      </c>
      <c r="F244" s="23">
        <f t="shared" si="39"/>
        <v>0</v>
      </c>
      <c r="G244" s="23">
        <f t="shared" si="39"/>
        <v>0</v>
      </c>
      <c r="H244" s="23">
        <f t="shared" si="39"/>
        <v>0</v>
      </c>
      <c r="I244" s="23">
        <f t="shared" si="39"/>
        <v>0</v>
      </c>
      <c r="J244" s="23">
        <f t="shared" si="39"/>
        <v>0</v>
      </c>
      <c r="K244" s="23">
        <f t="shared" si="39"/>
        <v>0</v>
      </c>
      <c r="L244" s="23">
        <f t="shared" si="39"/>
        <v>0</v>
      </c>
      <c r="M244" s="23">
        <f t="shared" si="39"/>
        <v>0</v>
      </c>
      <c r="N244" s="23">
        <f t="shared" si="39"/>
        <v>0</v>
      </c>
      <c r="O244" s="23">
        <f t="shared" si="39"/>
        <v>0</v>
      </c>
      <c r="P244" s="23">
        <f t="shared" si="39"/>
        <v>0</v>
      </c>
      <c r="Q244" s="23">
        <f t="shared" si="39"/>
        <v>0</v>
      </c>
      <c r="R244" s="23">
        <f t="shared" si="39"/>
        <v>0</v>
      </c>
      <c r="S244" s="23">
        <f t="shared" si="39"/>
        <v>0</v>
      </c>
      <c r="T244" s="23">
        <f t="shared" si="39"/>
        <v>0</v>
      </c>
      <c r="U244" s="23">
        <f t="shared" si="39"/>
        <v>0</v>
      </c>
      <c r="V244" s="23">
        <f t="shared" si="39"/>
        <v>0</v>
      </c>
      <c r="W244" s="23">
        <f t="shared" si="39"/>
        <v>0</v>
      </c>
      <c r="X244" s="23">
        <f t="shared" si="39"/>
        <v>0</v>
      </c>
      <c r="Y244" s="23">
        <f t="shared" si="39"/>
        <v>0</v>
      </c>
      <c r="Z244" s="23">
        <f t="shared" si="39"/>
        <v>0</v>
      </c>
      <c r="AA244" s="23">
        <f t="shared" si="39"/>
        <v>0</v>
      </c>
      <c r="AB244" s="23">
        <f t="shared" si="39"/>
        <v>0</v>
      </c>
      <c r="AC244" s="23">
        <f t="shared" si="39"/>
        <v>0</v>
      </c>
      <c r="AD244" s="23">
        <f t="shared" si="39"/>
        <v>0</v>
      </c>
      <c r="AE244" s="23">
        <f t="shared" si="39"/>
        <v>0</v>
      </c>
      <c r="AF244" s="23">
        <f t="shared" si="39"/>
        <v>0</v>
      </c>
      <c r="AG244" s="23">
        <f t="shared" si="39"/>
        <v>0</v>
      </c>
      <c r="AH244" s="23">
        <f t="shared" si="39"/>
        <v>0</v>
      </c>
      <c r="AI244" s="23">
        <f t="shared" si="39"/>
        <v>0</v>
      </c>
      <c r="AJ244" s="23">
        <f t="shared" si="39"/>
        <v>0</v>
      </c>
      <c r="AK244" s="23">
        <f t="shared" si="39"/>
        <v>0</v>
      </c>
      <c r="AL244" s="23">
        <f t="shared" si="39"/>
        <v>0</v>
      </c>
      <c r="AM244" s="23">
        <f t="shared" si="39"/>
        <v>0</v>
      </c>
      <c r="AN244" s="23">
        <f t="shared" si="39"/>
        <v>0</v>
      </c>
      <c r="AO244" s="23">
        <f t="shared" si="39"/>
        <v>0</v>
      </c>
      <c r="AP244" s="23">
        <f t="shared" si="39"/>
        <v>0</v>
      </c>
      <c r="AQ244" s="23">
        <f t="shared" si="39"/>
        <v>0</v>
      </c>
      <c r="AR244" s="23">
        <f t="shared" si="39"/>
        <v>0</v>
      </c>
      <c r="AS244" s="23">
        <f t="shared" si="39"/>
        <v>0</v>
      </c>
      <c r="AT244" s="23">
        <f t="shared" si="39"/>
        <v>0</v>
      </c>
      <c r="AU244" s="23">
        <f t="shared" si="39"/>
        <v>0</v>
      </c>
      <c r="AV244" s="23">
        <f t="shared" si="39"/>
        <v>0</v>
      </c>
      <c r="AW244" s="23">
        <f t="shared" si="39"/>
        <v>0</v>
      </c>
      <c r="AX244" s="23">
        <f t="shared" si="39"/>
        <v>0</v>
      </c>
      <c r="AY244" s="23">
        <f t="shared" si="39"/>
        <v>0</v>
      </c>
      <c r="AZ244" s="23">
        <f t="shared" si="39"/>
        <v>0</v>
      </c>
      <c r="BA244" s="23">
        <f t="shared" si="39"/>
        <v>0</v>
      </c>
      <c r="BB244" s="23">
        <f t="shared" si="39"/>
        <v>0</v>
      </c>
      <c r="BC244" s="23">
        <f t="shared" si="39"/>
        <v>0</v>
      </c>
      <c r="BD244" s="23">
        <f t="shared" si="39"/>
        <v>0</v>
      </c>
      <c r="BE244" s="23">
        <f t="shared" si="39"/>
        <v>0</v>
      </c>
      <c r="BF244" s="23">
        <f t="shared" si="39"/>
        <v>0</v>
      </c>
      <c r="BG244" s="23">
        <f t="shared" si="39"/>
        <v>0</v>
      </c>
      <c r="BH244" s="23">
        <f t="shared" si="39"/>
        <v>0</v>
      </c>
      <c r="BI244" s="23">
        <f t="shared" si="39"/>
        <v>0</v>
      </c>
      <c r="BJ244" s="23">
        <f t="shared" si="39"/>
        <v>0</v>
      </c>
      <c r="BK244" s="23">
        <f t="shared" si="39"/>
        <v>0</v>
      </c>
      <c r="BL244" s="23">
        <f t="shared" si="39"/>
        <v>0</v>
      </c>
      <c r="BM244" s="23">
        <f t="shared" si="39"/>
        <v>0</v>
      </c>
      <c r="BN244" s="23">
        <f t="shared" si="39"/>
        <v>0</v>
      </c>
      <c r="BO244" s="23">
        <f t="shared" si="38"/>
        <v>0</v>
      </c>
      <c r="BP244" s="23">
        <f t="shared" si="38"/>
        <v>0</v>
      </c>
      <c r="BQ244" s="23">
        <f t="shared" si="38"/>
        <v>0</v>
      </c>
      <c r="BR244" s="23">
        <f t="shared" si="38"/>
        <v>0</v>
      </c>
      <c r="BS244" s="23">
        <f t="shared" si="38"/>
        <v>0</v>
      </c>
      <c r="BT244" s="23">
        <f t="shared" si="38"/>
        <v>0</v>
      </c>
      <c r="BU244" s="23">
        <f t="shared" si="38"/>
        <v>0</v>
      </c>
      <c r="BV244" s="23">
        <f t="shared" si="38"/>
        <v>0</v>
      </c>
      <c r="BW244" s="23">
        <f t="shared" si="38"/>
        <v>0</v>
      </c>
      <c r="BX244" s="23">
        <f t="shared" si="38"/>
        <v>0</v>
      </c>
      <c r="BY244" s="23">
        <f t="shared" si="38"/>
        <v>0</v>
      </c>
      <c r="BZ244" s="23">
        <f t="shared" si="38"/>
        <v>1</v>
      </c>
      <c r="CA244" s="23">
        <f t="shared" si="38"/>
        <v>0</v>
      </c>
    </row>
    <row r="245" spans="1:79" ht="15.75" customHeight="1" x14ac:dyDescent="0.2">
      <c r="A245" s="30" t="s">
        <v>131</v>
      </c>
      <c r="B245" s="23">
        <f t="shared" si="34"/>
        <v>0.33176196127199786</v>
      </c>
      <c r="C245" s="23">
        <f t="shared" si="39"/>
        <v>0.15219049386767403</v>
      </c>
      <c r="D245" s="23">
        <f t="shared" si="39"/>
        <v>9.6477008847337731E-2</v>
      </c>
      <c r="E245" s="23">
        <f t="shared" si="39"/>
        <v>9.6477008847337731E-2</v>
      </c>
      <c r="F245" s="23">
        <f t="shared" si="39"/>
        <v>0.20236663263737709</v>
      </c>
      <c r="G245" s="23">
        <f t="shared" si="39"/>
        <v>7.2112498403022252E-2</v>
      </c>
      <c r="H245" s="23">
        <f t="shared" si="39"/>
        <v>0.21053113499340739</v>
      </c>
      <c r="I245" s="23">
        <f t="shared" si="39"/>
        <v>0.83787377870955737</v>
      </c>
      <c r="J245" s="23">
        <f t="shared" si="39"/>
        <v>0.16620904384912655</v>
      </c>
      <c r="K245" s="23">
        <f t="shared" si="39"/>
        <v>0.15616701800683236</v>
      </c>
      <c r="L245" s="23">
        <f t="shared" si="39"/>
        <v>0.79786767142223203</v>
      </c>
      <c r="M245" s="23">
        <f t="shared" si="39"/>
        <v>0</v>
      </c>
      <c r="N245" s="23">
        <f t="shared" si="39"/>
        <v>0.12823901314066111</v>
      </c>
      <c r="O245" s="23">
        <f t="shared" si="39"/>
        <v>0.14339734471944857</v>
      </c>
      <c r="P245" s="23">
        <f t="shared" si="39"/>
        <v>7.4897963050423871E-2</v>
      </c>
      <c r="Q245" s="23">
        <f t="shared" si="39"/>
        <v>0</v>
      </c>
      <c r="R245" s="23">
        <f t="shared" si="39"/>
        <v>0.1394145263546839</v>
      </c>
      <c r="S245" s="23">
        <f t="shared" si="39"/>
        <v>0</v>
      </c>
      <c r="T245" s="23">
        <f t="shared" si="39"/>
        <v>1.2601735738980702</v>
      </c>
      <c r="U245" s="23">
        <f t="shared" si="39"/>
        <v>0</v>
      </c>
      <c r="V245" s="23">
        <f t="shared" si="39"/>
        <v>9.6477008847337731E-2</v>
      </c>
      <c r="W245" s="23">
        <f t="shared" si="39"/>
        <v>1.2187231284780065</v>
      </c>
      <c r="X245" s="23">
        <f t="shared" si="39"/>
        <v>0.12823901314066111</v>
      </c>
      <c r="Y245" s="23">
        <f t="shared" si="39"/>
        <v>0.55321980444730512</v>
      </c>
      <c r="Z245" s="23">
        <f t="shared" si="39"/>
        <v>0</v>
      </c>
      <c r="AA245" s="23">
        <f t="shared" si="39"/>
        <v>8.5689093128585025E-2</v>
      </c>
      <c r="AB245" s="23">
        <f t="shared" si="39"/>
        <v>0.15456859490439209</v>
      </c>
      <c r="AC245" s="23">
        <f t="shared" si="39"/>
        <v>0.17685303854140375</v>
      </c>
      <c r="AD245" s="23">
        <f t="shared" si="39"/>
        <v>0.73439580767764145</v>
      </c>
      <c r="AE245" s="23">
        <f t="shared" si="39"/>
        <v>0.15844155107289287</v>
      </c>
      <c r="AF245" s="23">
        <f t="shared" si="39"/>
        <v>0.13998786326261034</v>
      </c>
      <c r="AG245" s="23">
        <f t="shared" si="39"/>
        <v>0.15460152190820478</v>
      </c>
      <c r="AH245" s="23">
        <f t="shared" si="39"/>
        <v>0</v>
      </c>
      <c r="AI245" s="23">
        <f t="shared" si="39"/>
        <v>0.16253706997608591</v>
      </c>
      <c r="AJ245" s="23">
        <f t="shared" si="39"/>
        <v>0.20236663263737709</v>
      </c>
      <c r="AK245" s="23">
        <f t="shared" si="39"/>
        <v>0.12793712518531308</v>
      </c>
      <c r="AL245" s="23">
        <f t="shared" si="39"/>
        <v>0.58425718923137637</v>
      </c>
      <c r="AM245" s="23">
        <f t="shared" si="39"/>
        <v>0</v>
      </c>
      <c r="AN245" s="23">
        <f t="shared" si="39"/>
        <v>0.15957342155643062</v>
      </c>
      <c r="AO245" s="23">
        <f t="shared" si="39"/>
        <v>0.12823901314066111</v>
      </c>
      <c r="AP245" s="23">
        <f t="shared" si="39"/>
        <v>0.42898375900418606</v>
      </c>
      <c r="AQ245" s="23">
        <f t="shared" si="39"/>
        <v>0.42495152939734709</v>
      </c>
      <c r="AR245" s="23">
        <f t="shared" si="39"/>
        <v>0.1394145263546839</v>
      </c>
      <c r="AS245" s="23">
        <f t="shared" si="39"/>
        <v>0.14743919691261187</v>
      </c>
      <c r="AT245" s="23">
        <f t="shared" si="39"/>
        <v>0.35113309474270149</v>
      </c>
      <c r="AU245" s="23">
        <f t="shared" si="39"/>
        <v>0.46949858816969747</v>
      </c>
      <c r="AV245" s="23">
        <f t="shared" si="39"/>
        <v>0.17703501019776816</v>
      </c>
      <c r="AW245" s="23">
        <f t="shared" si="39"/>
        <v>2.6828459775936975</v>
      </c>
      <c r="AX245" s="23">
        <f t="shared" si="39"/>
        <v>7.2706475866320813E-2</v>
      </c>
      <c r="AY245" s="23">
        <f t="shared" si="39"/>
        <v>0</v>
      </c>
      <c r="AZ245" s="23">
        <f t="shared" si="39"/>
        <v>0.6316823743740988</v>
      </c>
      <c r="BA245" s="23">
        <f t="shared" si="39"/>
        <v>0.15131588852080594</v>
      </c>
      <c r="BB245" s="23">
        <f t="shared" si="39"/>
        <v>8.7230511449370912E-2</v>
      </c>
      <c r="BC245" s="23">
        <f t="shared" si="39"/>
        <v>0.20236663263737709</v>
      </c>
      <c r="BD245" s="23">
        <f t="shared" si="39"/>
        <v>0.43040093241275157</v>
      </c>
      <c r="BE245" s="23">
        <f t="shared" si="39"/>
        <v>0.12111896866718434</v>
      </c>
      <c r="BF245" s="23">
        <f t="shared" si="39"/>
        <v>0.36645478316509139</v>
      </c>
      <c r="BG245" s="23">
        <f t="shared" si="39"/>
        <v>0.23425245632798897</v>
      </c>
      <c r="BH245" s="23">
        <f t="shared" si="39"/>
        <v>6.7869217831418971E-2</v>
      </c>
      <c r="BI245" s="23">
        <f t="shared" si="39"/>
        <v>0.16442001465737272</v>
      </c>
      <c r="BJ245" s="23">
        <f t="shared" si="39"/>
        <v>0.12218700628353193</v>
      </c>
      <c r="BK245" s="23">
        <f t="shared" si="39"/>
        <v>0.19118172011919032</v>
      </c>
      <c r="BL245" s="23">
        <f t="shared" si="39"/>
        <v>0</v>
      </c>
      <c r="BM245" s="23">
        <f t="shared" si="39"/>
        <v>0</v>
      </c>
      <c r="BN245" s="23">
        <f t="shared" ref="BN245:CA245" si="40">IF(BN161&gt;=0, IF(BN161 = 0,  1, 1/BN161*$B$165), 0)</f>
        <v>0.1394145263546839</v>
      </c>
      <c r="BO245" s="23">
        <f t="shared" si="40"/>
        <v>0.5840566735213264</v>
      </c>
      <c r="BP245" s="23">
        <f t="shared" si="40"/>
        <v>0.15715269393993864</v>
      </c>
      <c r="BQ245" s="23">
        <f t="shared" si="40"/>
        <v>0</v>
      </c>
      <c r="BR245" s="23">
        <f t="shared" si="40"/>
        <v>9.6477008847337731E-2</v>
      </c>
      <c r="BS245" s="23">
        <f t="shared" si="40"/>
        <v>0.55321980444730512</v>
      </c>
      <c r="BT245" s="23">
        <f t="shared" si="40"/>
        <v>0.12823901314066111</v>
      </c>
      <c r="BU245" s="23">
        <f t="shared" si="40"/>
        <v>1.3046018736496618</v>
      </c>
      <c r="BV245" s="23">
        <f t="shared" si="40"/>
        <v>0.18114703612084682</v>
      </c>
      <c r="BW245" s="23">
        <f t="shared" si="40"/>
        <v>0.17893927521317679</v>
      </c>
      <c r="BX245" s="23">
        <f t="shared" si="40"/>
        <v>0.3138436096824494</v>
      </c>
      <c r="BY245" s="23">
        <f t="shared" si="40"/>
        <v>0</v>
      </c>
      <c r="BZ245" s="23">
        <f t="shared" si="40"/>
        <v>0</v>
      </c>
      <c r="CA245" s="23">
        <f t="shared" si="40"/>
        <v>1</v>
      </c>
    </row>
  </sheetData>
  <conditionalFormatting sqref="B2:CA79 B84:CA161">
    <cfRule type="cellIs" dxfId="5" priority="2" operator="between">
      <formula>30%</formula>
      <formula>99%</formula>
    </cfRule>
  </conditionalFormatting>
  <conditionalFormatting sqref="B168:CA245">
    <cfRule type="cellIs" dxfId="4" priority="1" operator="between">
      <formula>30%</formula>
      <formula>99%</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41"/>
  <sheetViews>
    <sheetView topLeftCell="B8" workbookViewId="0">
      <selection activeCell="G36" sqref="G36"/>
    </sheetView>
  </sheetViews>
  <sheetFormatPr defaultColWidth="14.42578125" defaultRowHeight="15.75" customHeight="1" x14ac:dyDescent="0.2"/>
  <cols>
    <col min="1" max="1" width="18" customWidth="1"/>
    <col min="4" max="4" width="17.7109375" customWidth="1"/>
    <col min="5" max="5" width="19.5703125" customWidth="1"/>
    <col min="6" max="6" width="13.85546875" customWidth="1"/>
    <col min="7" max="7" width="19.5703125" customWidth="1"/>
    <col min="8" max="8" width="12.28515625" customWidth="1"/>
    <col min="9" max="9" width="12" customWidth="1"/>
    <col min="10" max="10" width="9.42578125" customWidth="1"/>
    <col min="11" max="11" width="13.85546875" customWidth="1"/>
    <col min="12" max="12" width="18.85546875" customWidth="1"/>
    <col min="13" max="13" width="15.140625" customWidth="1"/>
    <col min="15" max="15" width="6.140625" customWidth="1"/>
    <col min="16" max="16" width="6.5703125" customWidth="1"/>
  </cols>
  <sheetData>
    <row r="1" spans="1:16" ht="15.75" customHeight="1" thickBot="1" x14ac:dyDescent="0.25">
      <c r="A1" s="5" t="s">
        <v>33</v>
      </c>
      <c r="B1" s="5" t="s">
        <v>37</v>
      </c>
      <c r="C1" s="8" t="s">
        <v>38</v>
      </c>
      <c r="D1" s="9" t="s">
        <v>40</v>
      </c>
      <c r="E1" s="9" t="s">
        <v>41</v>
      </c>
      <c r="F1" s="1"/>
      <c r="G1" s="12" t="s">
        <v>41</v>
      </c>
      <c r="H1" s="9" t="s">
        <v>63</v>
      </c>
      <c r="I1" s="9" t="s">
        <v>65</v>
      </c>
      <c r="J1" s="9" t="s">
        <v>67</v>
      </c>
      <c r="K1" s="9" t="s">
        <v>68</v>
      </c>
      <c r="L1" s="9" t="s">
        <v>70</v>
      </c>
      <c r="M1" s="9" t="s">
        <v>71</v>
      </c>
      <c r="N1" s="1"/>
      <c r="O1" s="1" t="s">
        <v>73</v>
      </c>
      <c r="P1" s="1" t="s">
        <v>75</v>
      </c>
    </row>
    <row r="2" spans="1:16" ht="15.75" customHeight="1" thickBot="1" x14ac:dyDescent="0.25">
      <c r="A2" s="5" t="s">
        <v>77</v>
      </c>
      <c r="B2" s="14"/>
      <c r="C2" s="5" t="s">
        <v>133</v>
      </c>
      <c r="D2" t="str">
        <f t="shared" ref="D2:D122" si="0">IF(ISBLANK(A2),SUBSTITUTE(B2," ","_"),SUBSTITUTE(A2," ","_"))</f>
        <v>Afghan</v>
      </c>
      <c r="E2" t="str">
        <f t="shared" ref="E2:E14" si="1">IF(ISBLANK(A2),E1,D2)</f>
        <v>Afghan</v>
      </c>
      <c r="G2" s="37" t="s">
        <v>31</v>
      </c>
      <c r="H2" s="37" t="s">
        <v>138</v>
      </c>
      <c r="I2" s="37"/>
      <c r="J2" s="37"/>
      <c r="K2" s="37"/>
      <c r="L2" s="37" t="s">
        <v>139</v>
      </c>
      <c r="M2" s="37"/>
      <c r="O2">
        <f>IF(H2="","",VLOOKUP(H2,Countries!A:D,3,0))</f>
        <v>34.53</v>
      </c>
      <c r="P2">
        <f>IF(H2="","",VLOOKUP(H2,Countries!A:D,4,0))</f>
        <v>69.17</v>
      </c>
    </row>
    <row r="3" spans="1:16" ht="15.75" customHeight="1" thickBot="1" x14ac:dyDescent="0.25">
      <c r="A3" s="5" t="s">
        <v>140</v>
      </c>
      <c r="B3" s="14"/>
      <c r="C3" s="5" t="s">
        <v>141</v>
      </c>
      <c r="D3" t="str">
        <f t="shared" si="0"/>
        <v>African</v>
      </c>
      <c r="E3" t="str">
        <f t="shared" si="1"/>
        <v>African</v>
      </c>
      <c r="G3" s="37" t="s">
        <v>42</v>
      </c>
      <c r="H3" s="37" t="s">
        <v>150</v>
      </c>
      <c r="I3" s="37"/>
      <c r="J3" s="37"/>
      <c r="K3" s="37" t="s">
        <v>150</v>
      </c>
      <c r="L3" s="38"/>
      <c r="M3" s="38"/>
      <c r="O3">
        <f>IF(H3="","",VLOOKUP(H3,Countries!A:D,3,0))</f>
        <v>-8.7831949999999992</v>
      </c>
      <c r="P3">
        <f>IF(H3="","",VLOOKUP(H3,Countries!A:D,4,0))</f>
        <v>34.508522999999997</v>
      </c>
    </row>
    <row r="4" spans="1:16" ht="15.75" customHeight="1" thickBot="1" x14ac:dyDescent="0.25">
      <c r="A4" s="14"/>
      <c r="B4" s="5" t="s">
        <v>152</v>
      </c>
      <c r="C4" s="5" t="s">
        <v>153</v>
      </c>
      <c r="D4" t="str">
        <f t="shared" si="0"/>
        <v>Senegalese</v>
      </c>
      <c r="E4" t="str">
        <f t="shared" si="1"/>
        <v>African</v>
      </c>
      <c r="G4" s="37" t="s">
        <v>43</v>
      </c>
      <c r="H4" s="37" t="s">
        <v>155</v>
      </c>
      <c r="I4" s="37" t="s">
        <v>780</v>
      </c>
      <c r="J4" s="38"/>
      <c r="K4" s="37" t="s">
        <v>158</v>
      </c>
      <c r="L4" s="38"/>
      <c r="M4" s="38"/>
      <c r="O4">
        <f>IF(H4="","",VLOOKUP(H4,Countries!A:D,3,0))</f>
        <v>38.9</v>
      </c>
      <c r="P4">
        <f>IF(H4="","",VLOOKUP(H4,Countries!A:D,4,0))</f>
        <v>-77.040000000000006</v>
      </c>
    </row>
    <row r="5" spans="1:16" ht="15.75" customHeight="1" thickBot="1" x14ac:dyDescent="0.25">
      <c r="A5" s="14"/>
      <c r="B5" s="5" t="s">
        <v>252</v>
      </c>
      <c r="C5" s="5" t="s">
        <v>255</v>
      </c>
      <c r="D5" t="str">
        <f t="shared" si="0"/>
        <v>South_African</v>
      </c>
      <c r="E5" t="str">
        <f t="shared" si="1"/>
        <v>African</v>
      </c>
      <c r="G5" s="37" t="s">
        <v>44</v>
      </c>
      <c r="H5" s="37" t="s">
        <v>155</v>
      </c>
      <c r="I5" s="37"/>
      <c r="J5" s="38"/>
      <c r="K5" s="37" t="s">
        <v>158</v>
      </c>
      <c r="L5" s="38"/>
      <c r="M5" s="38"/>
      <c r="O5">
        <f>IF(H5="","",VLOOKUP(H5,Countries!A:D,3,0))</f>
        <v>38.9</v>
      </c>
      <c r="P5">
        <f>IF(H5="","",VLOOKUP(H5,Countries!A:D,4,0))</f>
        <v>-77.040000000000006</v>
      </c>
    </row>
    <row r="6" spans="1:16" ht="15.75" customHeight="1" thickBot="1" x14ac:dyDescent="0.25">
      <c r="A6" s="5" t="s">
        <v>350</v>
      </c>
      <c r="B6" s="14"/>
      <c r="C6" s="5" t="s">
        <v>353</v>
      </c>
      <c r="D6" t="str">
        <f t="shared" si="0"/>
        <v>American_(New)</v>
      </c>
      <c r="E6" t="str">
        <f t="shared" si="1"/>
        <v>American_(New)</v>
      </c>
      <c r="G6" s="37" t="s">
        <v>45</v>
      </c>
      <c r="H6" s="37" t="s">
        <v>1209</v>
      </c>
      <c r="I6" s="38"/>
      <c r="J6" s="38"/>
      <c r="K6" s="37" t="s">
        <v>361</v>
      </c>
      <c r="L6" s="37" t="s">
        <v>362</v>
      </c>
      <c r="M6" s="38"/>
      <c r="O6">
        <f>IF(H6="","",VLOOKUP(H6,Countries!A:D,3,0))</f>
        <v>29.298528000000001</v>
      </c>
      <c r="P6">
        <f>IF(H6="","",VLOOKUP(H6,Countries!A:D,4,0))</f>
        <v>42.551000000000002</v>
      </c>
    </row>
    <row r="7" spans="1:16" ht="15.75" customHeight="1" thickBot="1" x14ac:dyDescent="0.25">
      <c r="A7" s="5" t="s">
        <v>378</v>
      </c>
      <c r="B7" s="14"/>
      <c r="C7" s="5" t="s">
        <v>379</v>
      </c>
      <c r="D7" t="str">
        <f t="shared" si="0"/>
        <v>American_(Traditional)</v>
      </c>
      <c r="E7" t="str">
        <f t="shared" si="1"/>
        <v>American_(Traditional)</v>
      </c>
      <c r="G7" s="37" t="s">
        <v>46</v>
      </c>
      <c r="H7" s="37" t="s">
        <v>174</v>
      </c>
      <c r="I7" s="38"/>
      <c r="J7" s="38"/>
      <c r="K7" s="37" t="s">
        <v>389</v>
      </c>
      <c r="L7" s="38"/>
      <c r="M7" s="38"/>
      <c r="O7">
        <f>IF(H7="","",VLOOKUP(H7,Countries!A:D,3,0))</f>
        <v>-34.61</v>
      </c>
      <c r="P7">
        <f>IF(H7="","",VLOOKUP(H7,Countries!A:D,4,0))</f>
        <v>-58.38</v>
      </c>
    </row>
    <row r="8" spans="1:16" ht="15.75" customHeight="1" thickBot="1" x14ac:dyDescent="0.25">
      <c r="A8" s="5" t="s">
        <v>420</v>
      </c>
      <c r="B8" s="14"/>
      <c r="C8" s="5" t="s">
        <v>422</v>
      </c>
      <c r="D8" t="str">
        <f t="shared" si="0"/>
        <v>Arabian</v>
      </c>
      <c r="E8" t="str">
        <f t="shared" si="1"/>
        <v>Arabian</v>
      </c>
      <c r="G8" s="37" t="s">
        <v>47</v>
      </c>
      <c r="H8" s="37" t="s">
        <v>176</v>
      </c>
      <c r="I8" s="38"/>
      <c r="J8" s="38"/>
      <c r="K8" s="38"/>
      <c r="L8" s="38"/>
      <c r="M8" s="38"/>
      <c r="O8">
        <f>IF(H8="","",VLOOKUP(H8,Countries!A:D,3,0))</f>
        <v>40.18</v>
      </c>
      <c r="P8">
        <f>IF(H8="","",VLOOKUP(H8,Countries!A:D,4,0))</f>
        <v>44.51</v>
      </c>
    </row>
    <row r="9" spans="1:16" ht="15.75" customHeight="1" thickBot="1" x14ac:dyDescent="0.25">
      <c r="A9" s="5" t="s">
        <v>450</v>
      </c>
      <c r="B9" s="14"/>
      <c r="C9" s="5" t="s">
        <v>451</v>
      </c>
      <c r="D9" t="str">
        <f t="shared" si="0"/>
        <v>Argentine</v>
      </c>
      <c r="E9" t="str">
        <f t="shared" si="1"/>
        <v>Argentine</v>
      </c>
      <c r="G9" s="37" t="s">
        <v>48</v>
      </c>
      <c r="H9" s="37" t="s">
        <v>1210</v>
      </c>
      <c r="I9" s="38"/>
      <c r="J9" s="38"/>
      <c r="K9" s="37" t="s">
        <v>1210</v>
      </c>
      <c r="L9" s="38"/>
      <c r="M9" s="38"/>
      <c r="O9">
        <f>IF(H9="","",VLOOKUP(H9,Countries!A:D,3,0))</f>
        <v>34.047863</v>
      </c>
      <c r="P9">
        <f>IF(H9="","",VLOOKUP(H9,Countries!A:D,4,0))</f>
        <v>100.61969999999999</v>
      </c>
    </row>
    <row r="10" spans="1:16" ht="15.75" customHeight="1" thickBot="1" x14ac:dyDescent="0.25">
      <c r="A10" s="5" t="s">
        <v>469</v>
      </c>
      <c r="B10" s="14"/>
      <c r="C10" s="5" t="s">
        <v>470</v>
      </c>
      <c r="D10" t="str">
        <f t="shared" si="0"/>
        <v>Armenian</v>
      </c>
      <c r="E10" t="str">
        <f t="shared" si="1"/>
        <v>Armenian</v>
      </c>
      <c r="G10" s="37" t="s">
        <v>49</v>
      </c>
      <c r="H10" s="37" t="s">
        <v>180</v>
      </c>
      <c r="I10" s="38"/>
      <c r="J10" s="38"/>
      <c r="K10" s="37" t="s">
        <v>480</v>
      </c>
      <c r="L10" s="38"/>
      <c r="M10" s="38"/>
      <c r="O10">
        <f>IF(H10="","",VLOOKUP(H10,Countries!A:D,3,0))</f>
        <v>-35.28</v>
      </c>
      <c r="P10">
        <f>IF(H10="","",VLOOKUP(H10,Countries!A:D,4,0))</f>
        <v>149.13</v>
      </c>
    </row>
    <row r="11" spans="1:16" ht="15.75" customHeight="1" thickBot="1" x14ac:dyDescent="0.25">
      <c r="A11" s="5" t="s">
        <v>511</v>
      </c>
      <c r="B11" s="14"/>
      <c r="C11" s="5" t="s">
        <v>512</v>
      </c>
      <c r="D11" t="str">
        <f t="shared" si="0"/>
        <v>Asian_Fusion</v>
      </c>
      <c r="E11" t="str">
        <f t="shared" si="1"/>
        <v>Asian_Fusion</v>
      </c>
      <c r="G11" s="37" t="s">
        <v>50</v>
      </c>
      <c r="H11" s="37" t="s">
        <v>182</v>
      </c>
      <c r="I11" s="38"/>
      <c r="J11" s="38"/>
      <c r="K11" s="38"/>
      <c r="L11" s="38"/>
      <c r="M11" s="38"/>
      <c r="O11">
        <f>IF(H11="","",VLOOKUP(H11,Countries!A:D,3,0))</f>
        <v>48.21</v>
      </c>
      <c r="P11">
        <f>IF(H11="","",VLOOKUP(H11,Countries!A:D,4,0))</f>
        <v>16.37</v>
      </c>
    </row>
    <row r="12" spans="1:16" ht="15.75" customHeight="1" thickBot="1" x14ac:dyDescent="0.25">
      <c r="A12" s="5" t="s">
        <v>535</v>
      </c>
      <c r="B12" s="14"/>
      <c r="C12" s="5" t="s">
        <v>538</v>
      </c>
      <c r="D12" t="str">
        <f t="shared" si="0"/>
        <v>Australian</v>
      </c>
      <c r="E12" t="str">
        <f t="shared" si="1"/>
        <v>Australian</v>
      </c>
      <c r="G12" s="37" t="s">
        <v>51</v>
      </c>
      <c r="H12" s="37" t="s">
        <v>190</v>
      </c>
      <c r="I12" s="38"/>
      <c r="J12" s="38"/>
      <c r="K12" s="38"/>
      <c r="L12" s="38"/>
      <c r="M12" s="38"/>
      <c r="O12">
        <f>IF(H12="","",VLOOKUP(H12,Countries!A:D,3,0))</f>
        <v>23.71</v>
      </c>
      <c r="P12">
        <f>IF(H12="","",VLOOKUP(H12,Countries!A:D,4,0))</f>
        <v>90.41</v>
      </c>
    </row>
    <row r="13" spans="1:16" ht="15.75" customHeight="1" thickBot="1" x14ac:dyDescent="0.25">
      <c r="A13" s="5" t="s">
        <v>565</v>
      </c>
      <c r="B13" s="14"/>
      <c r="C13" s="5" t="s">
        <v>566</v>
      </c>
      <c r="D13" t="str">
        <f t="shared" si="0"/>
        <v>Austrian</v>
      </c>
      <c r="E13" t="str">
        <f t="shared" si="1"/>
        <v>Austrian</v>
      </c>
      <c r="G13" s="37" t="s">
        <v>52</v>
      </c>
      <c r="H13" s="37"/>
      <c r="I13" s="37" t="s">
        <v>655</v>
      </c>
      <c r="J13" s="38"/>
      <c r="K13" s="38"/>
      <c r="L13" s="38"/>
      <c r="M13" s="37" t="s">
        <v>829</v>
      </c>
      <c r="O13" t="str">
        <f>IF(H13="","",VLOOKUP(H13,Countries!A:D,3,0))</f>
        <v/>
      </c>
      <c r="P13" t="str">
        <f>IF(H13="","",VLOOKUP(H13,Countries!A:D,4,0))</f>
        <v/>
      </c>
    </row>
    <row r="14" spans="1:16" ht="15.75" customHeight="1" thickBot="1" x14ac:dyDescent="0.25">
      <c r="A14" s="5" t="s">
        <v>608</v>
      </c>
      <c r="B14" s="14"/>
      <c r="C14" s="5" t="s">
        <v>611</v>
      </c>
      <c r="D14" t="str">
        <f t="shared" si="0"/>
        <v>Bangladeshi</v>
      </c>
      <c r="E14" t="str">
        <f t="shared" si="1"/>
        <v>Bangladeshi</v>
      </c>
      <c r="G14" s="37" t="s">
        <v>53</v>
      </c>
      <c r="H14" s="37" t="s">
        <v>622</v>
      </c>
      <c r="I14" s="37" t="s">
        <v>1211</v>
      </c>
      <c r="J14" s="38"/>
      <c r="K14" s="38"/>
      <c r="L14" s="37" t="s">
        <v>53</v>
      </c>
      <c r="M14" s="38"/>
      <c r="O14">
        <f>IF(H14="","",VLOOKUP(H14,Countries!A:D,3,0))</f>
        <v>40.42</v>
      </c>
      <c r="P14">
        <f>IF(H14="","",VLOOKUP(H14,Countries!A:D,4,0))</f>
        <v>-3.7</v>
      </c>
    </row>
    <row r="15" spans="1:16" ht="15.75" customHeight="1" thickBot="1" x14ac:dyDescent="0.25">
      <c r="A15" s="5" t="s">
        <v>646</v>
      </c>
      <c r="B15" s="14"/>
      <c r="C15" s="5" t="s">
        <v>647</v>
      </c>
      <c r="D15" t="str">
        <f t="shared" si="0"/>
        <v>Barbeque</v>
      </c>
      <c r="E15" s="1" t="s">
        <v>652</v>
      </c>
      <c r="G15" s="37" t="s">
        <v>54</v>
      </c>
      <c r="H15" s="37" t="s">
        <v>204</v>
      </c>
      <c r="I15" s="38"/>
      <c r="J15" s="38"/>
      <c r="K15" s="37" t="s">
        <v>1212</v>
      </c>
      <c r="L15" s="38"/>
      <c r="M15" s="38"/>
      <c r="O15">
        <f>IF(H15="","",VLOOKUP(H15,Countries!A:D,3,0))</f>
        <v>50.85</v>
      </c>
      <c r="P15">
        <f>IF(H15="","",VLOOKUP(H15,Countries!A:D,4,0))</f>
        <v>4.3499999999999996</v>
      </c>
    </row>
    <row r="16" spans="1:16" ht="15.75" customHeight="1" thickBot="1" x14ac:dyDescent="0.25">
      <c r="A16" s="5" t="s">
        <v>686</v>
      </c>
      <c r="B16" s="14"/>
      <c r="C16" s="5" t="s">
        <v>691</v>
      </c>
      <c r="D16" t="str">
        <f t="shared" si="0"/>
        <v>Basque</v>
      </c>
      <c r="E16" t="str">
        <f t="shared" ref="E16:E17" si="2">IF(ISBLANK(A16),E15,D16)</f>
        <v>Basque</v>
      </c>
      <c r="G16" s="37" t="s">
        <v>55</v>
      </c>
      <c r="H16" s="37" t="s">
        <v>246</v>
      </c>
      <c r="I16" s="38"/>
      <c r="J16" s="38"/>
      <c r="K16" s="37" t="s">
        <v>389</v>
      </c>
      <c r="L16" s="38"/>
      <c r="M16" s="38"/>
      <c r="O16">
        <f>IF(H16="","",VLOOKUP(H16,Countries!A:D,3,0))</f>
        <v>-15.78</v>
      </c>
      <c r="P16">
        <f>IF(H16="","",VLOOKUP(H16,Countries!A:D,4,0))</f>
        <v>-47.93</v>
      </c>
    </row>
    <row r="17" spans="1:16" ht="15.75" customHeight="1" thickBot="1" x14ac:dyDescent="0.25">
      <c r="A17" s="5" t="s">
        <v>754</v>
      </c>
      <c r="B17" s="14"/>
      <c r="C17" s="5" t="s">
        <v>755</v>
      </c>
      <c r="D17" t="str">
        <f t="shared" si="0"/>
        <v>Belgian</v>
      </c>
      <c r="E17" t="str">
        <f t="shared" si="2"/>
        <v>Belgian</v>
      </c>
      <c r="G17" s="37" t="s">
        <v>56</v>
      </c>
      <c r="H17" s="37"/>
      <c r="I17" s="38"/>
      <c r="J17" s="38"/>
      <c r="K17" s="38"/>
      <c r="L17" s="38"/>
      <c r="M17" s="37" t="s">
        <v>829</v>
      </c>
      <c r="O17" t="str">
        <f>IF(H17="","",VLOOKUP(H17,Countries!A:D,3,0))</f>
        <v/>
      </c>
      <c r="P17" t="str">
        <f>IF(H17="","",VLOOKUP(H17,Countries!A:D,4,0))</f>
        <v/>
      </c>
    </row>
    <row r="18" spans="1:16" ht="15.75" customHeight="1" thickBot="1" x14ac:dyDescent="0.25">
      <c r="A18" s="5" t="s">
        <v>771</v>
      </c>
      <c r="B18" s="14"/>
      <c r="C18" s="5" t="s">
        <v>772</v>
      </c>
      <c r="D18" t="str">
        <f t="shared" si="0"/>
        <v>Brasseries</v>
      </c>
      <c r="E18" t="s">
        <v>777</v>
      </c>
      <c r="G18" s="37" t="s">
        <v>57</v>
      </c>
      <c r="H18" s="37" t="s">
        <v>796</v>
      </c>
      <c r="I18" s="37"/>
      <c r="J18" s="38"/>
      <c r="K18" s="38"/>
      <c r="L18" s="38"/>
      <c r="M18" s="38"/>
      <c r="O18">
        <f>IF(H18="","",VLOOKUP(H18,Countries!A:D,3,0))</f>
        <v>51.51</v>
      </c>
      <c r="P18">
        <f>IF(H18="","",VLOOKUP(H18,Countries!A:D,4,0))</f>
        <v>-0.13</v>
      </c>
    </row>
    <row r="19" spans="1:16" ht="15.75" customHeight="1" thickBot="1" x14ac:dyDescent="0.25">
      <c r="A19" s="5" t="s">
        <v>806</v>
      </c>
      <c r="B19" s="14"/>
      <c r="C19" s="5" t="s">
        <v>807</v>
      </c>
      <c r="D19" t="str">
        <f t="shared" si="0"/>
        <v>Brazilian</v>
      </c>
      <c r="E19" t="str">
        <f t="shared" ref="E19:E22" si="3">IF(ISBLANK(A19),E18,D19)</f>
        <v>Brazilian</v>
      </c>
      <c r="G19" s="37" t="s">
        <v>58</v>
      </c>
      <c r="H19" s="37"/>
      <c r="I19" s="37" t="s">
        <v>655</v>
      </c>
      <c r="J19" s="38"/>
      <c r="K19" s="38"/>
      <c r="L19" s="38"/>
      <c r="M19" s="37"/>
      <c r="O19" t="str">
        <f>IF(H19="","",VLOOKUP(H19,Countries!A:D,3,0))</f>
        <v/>
      </c>
      <c r="P19" t="str">
        <f>IF(H19="","",VLOOKUP(H19,Countries!A:D,4,0))</f>
        <v/>
      </c>
    </row>
    <row r="20" spans="1:16" ht="15.75" customHeight="1" thickBot="1" x14ac:dyDescent="0.25">
      <c r="A20" s="5" t="s">
        <v>826</v>
      </c>
      <c r="B20" s="14"/>
      <c r="C20" s="5" t="s">
        <v>827</v>
      </c>
      <c r="D20" t="str">
        <f t="shared" si="0"/>
        <v>Breakfast_&amp;_Brunch</v>
      </c>
      <c r="E20" t="str">
        <f t="shared" si="3"/>
        <v>Breakfast_&amp;_Brunch</v>
      </c>
      <c r="G20" s="37" t="s">
        <v>59</v>
      </c>
      <c r="H20" s="37" t="s">
        <v>606</v>
      </c>
      <c r="I20" s="38"/>
      <c r="J20" s="38"/>
      <c r="K20" s="38"/>
      <c r="L20" s="38"/>
      <c r="M20" s="37" t="s">
        <v>829</v>
      </c>
      <c r="O20">
        <f>IF(H20="","",VLOOKUP(H20,Countries!A:D,3,0))</f>
        <v>19.75</v>
      </c>
      <c r="P20">
        <f>IF(H20="","",VLOOKUP(H20,Countries!A:D,4,0))</f>
        <v>96.13</v>
      </c>
    </row>
    <row r="21" spans="1:16" ht="15.75" customHeight="1" thickBot="1" x14ac:dyDescent="0.25">
      <c r="A21" s="5" t="s">
        <v>831</v>
      </c>
      <c r="B21" s="14"/>
      <c r="C21" s="5" t="s">
        <v>832</v>
      </c>
      <c r="D21" t="str">
        <f t="shared" si="0"/>
        <v>British</v>
      </c>
      <c r="E21" t="str">
        <f t="shared" si="3"/>
        <v>British</v>
      </c>
      <c r="G21" s="37" t="s">
        <v>60</v>
      </c>
      <c r="H21" s="37"/>
      <c r="I21" s="37" t="s">
        <v>834</v>
      </c>
      <c r="J21" s="38"/>
      <c r="K21" s="38"/>
      <c r="L21" s="38"/>
      <c r="M21" s="37" t="s">
        <v>829</v>
      </c>
      <c r="O21" t="str">
        <f>IF(H21="","",VLOOKUP(H21,Countries!A:D,3,0))</f>
        <v/>
      </c>
      <c r="P21" t="str">
        <f>IF(H21="","",VLOOKUP(H21,Countries!A:D,4,0))</f>
        <v/>
      </c>
    </row>
    <row r="22" spans="1:16" ht="15.75" customHeight="1" thickBot="1" x14ac:dyDescent="0.25">
      <c r="A22" s="5" t="s">
        <v>835</v>
      </c>
      <c r="B22" s="14"/>
      <c r="C22" s="5" t="s">
        <v>836</v>
      </c>
      <c r="D22" t="str">
        <f t="shared" si="0"/>
        <v>Buffets</v>
      </c>
      <c r="E22" t="str">
        <f t="shared" si="3"/>
        <v>Buffets</v>
      </c>
      <c r="G22" s="37" t="s">
        <v>61</v>
      </c>
      <c r="H22" s="37" t="s">
        <v>155</v>
      </c>
      <c r="I22" s="38"/>
      <c r="J22" s="38"/>
      <c r="K22" s="37" t="s">
        <v>158</v>
      </c>
      <c r="L22" s="38"/>
      <c r="M22" s="38"/>
      <c r="O22">
        <f>IF(H22="","",VLOOKUP(H22,Countries!A:D,3,0))</f>
        <v>38.9</v>
      </c>
      <c r="P22">
        <f>IF(H22="","",VLOOKUP(H22,Countries!A:D,4,0))</f>
        <v>-77.040000000000006</v>
      </c>
    </row>
    <row r="23" spans="1:16" ht="15.75" customHeight="1" thickBot="1" x14ac:dyDescent="0.25">
      <c r="A23" s="5" t="s">
        <v>840</v>
      </c>
      <c r="B23" s="14"/>
      <c r="C23" s="5" t="s">
        <v>841</v>
      </c>
      <c r="D23" t="str">
        <f t="shared" si="0"/>
        <v>Burgers</v>
      </c>
      <c r="E23" s="1" t="s">
        <v>842</v>
      </c>
      <c r="G23" s="37" t="s">
        <v>62</v>
      </c>
      <c r="H23" s="37" t="s">
        <v>314</v>
      </c>
      <c r="I23" s="38"/>
      <c r="J23" s="38"/>
      <c r="K23" s="37" t="s">
        <v>843</v>
      </c>
      <c r="L23" s="38"/>
      <c r="M23" s="38"/>
      <c r="O23">
        <f>IF(H23="","",VLOOKUP(H23,Countries!A:D,3,0))</f>
        <v>11.56</v>
      </c>
      <c r="P23">
        <f>IF(H23="","",VLOOKUP(H23,Countries!A:D,4,0))</f>
        <v>104.92</v>
      </c>
    </row>
    <row r="24" spans="1:16" ht="15.75" customHeight="1" thickBot="1" x14ac:dyDescent="0.25">
      <c r="A24" s="5" t="s">
        <v>846</v>
      </c>
      <c r="B24" s="14"/>
      <c r="C24" s="5" t="s">
        <v>847</v>
      </c>
      <c r="D24" t="str">
        <f t="shared" si="0"/>
        <v>Burmese</v>
      </c>
      <c r="E24" t="str">
        <f t="shared" ref="E24:E25" si="4">IF(ISBLANK(A24),E23,D24)</f>
        <v>Burmese</v>
      </c>
      <c r="G24" s="39" t="s">
        <v>64</v>
      </c>
      <c r="H24" s="37" t="s">
        <v>622</v>
      </c>
      <c r="I24" s="37" t="s">
        <v>1211</v>
      </c>
      <c r="J24" s="38"/>
      <c r="K24" s="38"/>
      <c r="L24" s="37" t="s">
        <v>64</v>
      </c>
      <c r="M24" s="38"/>
      <c r="O24">
        <f>IF(H24="","",VLOOKUP(H24,Countries!A:D,3,0))</f>
        <v>40.42</v>
      </c>
      <c r="P24">
        <f>IF(H24="","",VLOOKUP(H24,Countries!A:D,4,0))</f>
        <v>-3.7</v>
      </c>
    </row>
    <row r="25" spans="1:16" ht="15.75" customHeight="1" thickBot="1" x14ac:dyDescent="0.25">
      <c r="A25" s="5" t="s">
        <v>851</v>
      </c>
      <c r="B25" s="14"/>
      <c r="C25" s="5" t="s">
        <v>852</v>
      </c>
      <c r="D25" t="str">
        <f t="shared" si="0"/>
        <v>Cafes</v>
      </c>
      <c r="E25" t="str">
        <f t="shared" si="4"/>
        <v>Cafes</v>
      </c>
      <c r="G25" s="37" t="s">
        <v>66</v>
      </c>
      <c r="H25" s="37" t="s">
        <v>343</v>
      </c>
      <c r="I25" s="37" t="s">
        <v>655</v>
      </c>
      <c r="J25" s="38"/>
      <c r="K25" s="37" t="s">
        <v>854</v>
      </c>
      <c r="L25" s="38"/>
      <c r="M25" s="38"/>
      <c r="O25">
        <f>IF(H25="","",VLOOKUP(H25,Countries!A:D,3,0))</f>
        <v>39.909999999999997</v>
      </c>
      <c r="P25">
        <f>IF(H25="","",VLOOKUP(H25,Countries!A:D,4,0))</f>
        <v>116.4</v>
      </c>
    </row>
    <row r="26" spans="1:16" ht="15.75" customHeight="1" thickBot="1" x14ac:dyDescent="0.25">
      <c r="A26" s="5" t="s">
        <v>856</v>
      </c>
      <c r="B26" s="14"/>
      <c r="C26" s="5" t="s">
        <v>857</v>
      </c>
      <c r="D26" t="str">
        <f t="shared" si="0"/>
        <v>Cafeteria</v>
      </c>
      <c r="E26" s="24" t="s">
        <v>859</v>
      </c>
      <c r="G26" s="37" t="s">
        <v>69</v>
      </c>
      <c r="H26" s="37"/>
      <c r="I26" s="37" t="s">
        <v>866</v>
      </c>
      <c r="J26" s="38"/>
      <c r="K26" s="38"/>
      <c r="L26" s="38"/>
      <c r="M26" s="38"/>
      <c r="O26" t="str">
        <f>IF(H26="","",VLOOKUP(H26,Countries!A:D,3,0))</f>
        <v/>
      </c>
      <c r="P26" t="str">
        <f>IF(H26="","",VLOOKUP(H26,Countries!A:D,4,0))</f>
        <v/>
      </c>
    </row>
    <row r="27" spans="1:16" ht="15.75" customHeight="1" thickBot="1" x14ac:dyDescent="0.25">
      <c r="A27" s="5" t="s">
        <v>862</v>
      </c>
      <c r="B27" s="14"/>
      <c r="C27" s="5" t="s">
        <v>863</v>
      </c>
      <c r="D27" t="str">
        <f t="shared" si="0"/>
        <v>Cajun/Creole</v>
      </c>
      <c r="E27" s="24" t="s">
        <v>865</v>
      </c>
      <c r="G27" s="37" t="s">
        <v>72</v>
      </c>
      <c r="H27" s="37" t="s">
        <v>372</v>
      </c>
      <c r="I27" s="37" t="s">
        <v>655</v>
      </c>
      <c r="J27" s="38"/>
      <c r="K27" s="37" t="s">
        <v>389</v>
      </c>
      <c r="L27" s="38"/>
      <c r="M27" s="38"/>
      <c r="O27">
        <f>IF(H27="","",VLOOKUP(H27,Countries!A:D,3,0))</f>
        <v>23.13</v>
      </c>
      <c r="P27">
        <f>IF(H27="","",VLOOKUP(H27,Countries!A:D,4,0))</f>
        <v>-82.38</v>
      </c>
    </row>
    <row r="28" spans="1:16" ht="15.75" customHeight="1" thickBot="1" x14ac:dyDescent="0.25">
      <c r="A28" s="5" t="s">
        <v>869</v>
      </c>
      <c r="B28" s="14"/>
      <c r="C28" s="5" t="s">
        <v>870</v>
      </c>
      <c r="D28" t="str">
        <f t="shared" si="0"/>
        <v>Cambodian</v>
      </c>
      <c r="E28" t="str">
        <f t="shared" ref="E28:E34" si="5">IF(ISBLANK(A28),E27,D28)</f>
        <v>Cambodian</v>
      </c>
      <c r="G28" s="37" t="s">
        <v>74</v>
      </c>
      <c r="H28" s="37" t="s">
        <v>383</v>
      </c>
      <c r="I28" s="38"/>
      <c r="J28" s="38"/>
      <c r="K28" s="37" t="s">
        <v>872</v>
      </c>
      <c r="L28" s="38"/>
      <c r="M28" s="38"/>
      <c r="O28">
        <f>IF(H28="","",VLOOKUP(H28,Countries!A:D,3,0))</f>
        <v>50.09</v>
      </c>
      <c r="P28">
        <f>IF(H28="","",VLOOKUP(H28,Countries!A:D,4,0))</f>
        <v>14.42</v>
      </c>
    </row>
    <row r="29" spans="1:16" ht="15.75" customHeight="1" thickBot="1" x14ac:dyDescent="0.25">
      <c r="A29" s="14"/>
      <c r="B29" s="5" t="s">
        <v>875</v>
      </c>
      <c r="C29" s="5" t="s">
        <v>876</v>
      </c>
      <c r="D29" t="str">
        <f t="shared" si="0"/>
        <v>Caribbean</v>
      </c>
      <c r="E29" t="str">
        <f t="shared" si="5"/>
        <v>Cambodian</v>
      </c>
      <c r="G29" s="37" t="s">
        <v>76</v>
      </c>
      <c r="H29" s="37" t="s">
        <v>416</v>
      </c>
      <c r="I29" s="38"/>
      <c r="J29" s="38"/>
      <c r="K29" s="37" t="s">
        <v>878</v>
      </c>
      <c r="L29" s="38"/>
      <c r="M29" s="38"/>
      <c r="O29">
        <f>IF(H29="","",VLOOKUP(H29,Countries!A:D,3,0))</f>
        <v>9.02</v>
      </c>
      <c r="P29">
        <f>IF(H29="","",VLOOKUP(H29,Countries!A:D,4,0))</f>
        <v>38.75</v>
      </c>
    </row>
    <row r="30" spans="1:16" ht="15.75" customHeight="1" thickBot="1" x14ac:dyDescent="0.25">
      <c r="A30" s="14"/>
      <c r="B30" s="5" t="s">
        <v>881</v>
      </c>
      <c r="C30" s="5" t="s">
        <v>882</v>
      </c>
      <c r="D30" t="str">
        <f t="shared" si="0"/>
        <v>Dominican</v>
      </c>
      <c r="E30" t="str">
        <f t="shared" si="5"/>
        <v>Cambodian</v>
      </c>
      <c r="G30" s="37" t="s">
        <v>78</v>
      </c>
      <c r="H30" s="37" t="s">
        <v>662</v>
      </c>
      <c r="I30" s="38"/>
      <c r="J30" s="38"/>
      <c r="K30" s="37" t="s">
        <v>843</v>
      </c>
      <c r="L30" s="38"/>
      <c r="M30" s="38"/>
      <c r="O30">
        <f>IF(H30="","",VLOOKUP(H30,Countries!A:D,3,0))</f>
        <v>14.6</v>
      </c>
      <c r="P30">
        <f>IF(H30="","",VLOOKUP(H30,Countries!A:D,4,0))</f>
        <v>120.98</v>
      </c>
    </row>
    <row r="31" spans="1:16" ht="15.75" customHeight="1" thickBot="1" x14ac:dyDescent="0.25">
      <c r="A31" s="14"/>
      <c r="B31" s="5" t="s">
        <v>885</v>
      </c>
      <c r="C31" s="5" t="s">
        <v>886</v>
      </c>
      <c r="D31" t="str">
        <f t="shared" si="0"/>
        <v>Haitian</v>
      </c>
      <c r="E31" t="str">
        <f t="shared" si="5"/>
        <v>Cambodian</v>
      </c>
      <c r="G31" s="37" t="s">
        <v>117</v>
      </c>
      <c r="H31" s="37" t="s">
        <v>1213</v>
      </c>
      <c r="I31" s="37" t="s">
        <v>1214</v>
      </c>
      <c r="J31" s="38"/>
      <c r="K31" s="37" t="s">
        <v>1213</v>
      </c>
      <c r="L31" s="38"/>
      <c r="M31" s="38"/>
      <c r="O31">
        <f>IF(H31="","",VLOOKUP(H31,Countries!A:D,3,0))</f>
        <v>62.278647999999997</v>
      </c>
      <c r="P31">
        <f>IF(H31="","",VLOOKUP(H31,Countries!A:D,4,0))</f>
        <v>12.340171</v>
      </c>
    </row>
    <row r="32" spans="1:16" ht="15.75" customHeight="1" thickBot="1" x14ac:dyDescent="0.25">
      <c r="A32" s="14"/>
      <c r="B32" s="5" t="s">
        <v>889</v>
      </c>
      <c r="C32" s="5" t="s">
        <v>890</v>
      </c>
      <c r="D32" t="str">
        <f t="shared" si="0"/>
        <v>Puerto_Rican</v>
      </c>
      <c r="E32" t="str">
        <f t="shared" si="5"/>
        <v>Cambodian</v>
      </c>
      <c r="G32" s="37" t="s">
        <v>80</v>
      </c>
      <c r="H32" s="37" t="s">
        <v>428</v>
      </c>
      <c r="I32" s="37" t="s">
        <v>780</v>
      </c>
      <c r="J32" s="38"/>
      <c r="K32" s="38"/>
      <c r="L32" s="38"/>
      <c r="M32" s="38"/>
      <c r="O32">
        <f>IF(H32="","",VLOOKUP(H32,Countries!A:D,3,0))</f>
        <v>48.85</v>
      </c>
      <c r="P32">
        <f>IF(H32="","",VLOOKUP(H32,Countries!A:D,4,0))</f>
        <v>2.35</v>
      </c>
    </row>
    <row r="33" spans="1:16" ht="15.75" customHeight="1" thickBot="1" x14ac:dyDescent="0.25">
      <c r="A33" s="14"/>
      <c r="B33" s="5" t="s">
        <v>892</v>
      </c>
      <c r="C33" s="5" t="s">
        <v>893</v>
      </c>
      <c r="D33" t="str">
        <f t="shared" si="0"/>
        <v>Trinidadian</v>
      </c>
      <c r="E33" t="str">
        <f t="shared" si="5"/>
        <v>Cambodian</v>
      </c>
      <c r="G33" s="37" t="s">
        <v>81</v>
      </c>
      <c r="H33" s="37" t="s">
        <v>442</v>
      </c>
      <c r="I33" s="38"/>
      <c r="J33" s="38"/>
      <c r="K33" s="38"/>
      <c r="L33" s="38"/>
      <c r="M33" s="38"/>
      <c r="O33">
        <f>IF(H33="","",VLOOKUP(H33,Countries!A:D,3,0))</f>
        <v>52.52</v>
      </c>
      <c r="P33">
        <f>IF(H33="","",VLOOKUP(H33,Countries!A:D,4,0))</f>
        <v>13.41</v>
      </c>
    </row>
    <row r="34" spans="1:16" ht="15.75" customHeight="1" thickBot="1" x14ac:dyDescent="0.25">
      <c r="A34" s="5" t="s">
        <v>895</v>
      </c>
      <c r="B34" s="14"/>
      <c r="C34" s="5" t="s">
        <v>896</v>
      </c>
      <c r="D34" t="str">
        <f t="shared" si="0"/>
        <v>Catalan</v>
      </c>
      <c r="E34" t="str">
        <f t="shared" si="5"/>
        <v>Catalan</v>
      </c>
      <c r="G34" s="37" t="s">
        <v>82</v>
      </c>
      <c r="H34" s="37"/>
      <c r="I34" s="37" t="s">
        <v>1019</v>
      </c>
      <c r="J34" s="38"/>
      <c r="K34" s="38"/>
      <c r="L34" s="38"/>
      <c r="M34" s="38"/>
      <c r="O34" t="str">
        <f>IF(H34="","",VLOOKUP(H34,Countries!A:D,3,0))</f>
        <v/>
      </c>
      <c r="P34" t="str">
        <f>IF(H34="","",VLOOKUP(H34,Countries!A:D,4,0))</f>
        <v/>
      </c>
    </row>
    <row r="35" spans="1:16" ht="15.75" customHeight="1" thickBot="1" x14ac:dyDescent="0.25">
      <c r="A35" s="5" t="s">
        <v>898</v>
      </c>
      <c r="B35" s="14"/>
      <c r="C35" s="5" t="s">
        <v>899</v>
      </c>
      <c r="D35" t="str">
        <f t="shared" si="0"/>
        <v>Cheesesteaks</v>
      </c>
      <c r="E35" s="24" t="s">
        <v>900</v>
      </c>
      <c r="G35" s="37" t="s">
        <v>83</v>
      </c>
      <c r="H35" s="37" t="s">
        <v>448</v>
      </c>
      <c r="I35" s="38"/>
      <c r="J35" s="38"/>
      <c r="K35" s="38"/>
      <c r="L35" s="38"/>
      <c r="M35" s="38"/>
      <c r="O35">
        <f>IF(H35="","",VLOOKUP(H35,Countries!A:D,3,0))</f>
        <v>37.979999999999997</v>
      </c>
      <c r="P35">
        <f>IF(H35="","",VLOOKUP(H35,Countries!A:D,4,0))</f>
        <v>23.72</v>
      </c>
    </row>
    <row r="36" spans="1:16" ht="15.75" customHeight="1" thickBot="1" x14ac:dyDescent="0.25">
      <c r="A36" s="5" t="s">
        <v>902</v>
      </c>
      <c r="B36" s="14"/>
      <c r="C36" s="5" t="s">
        <v>903</v>
      </c>
      <c r="D36" t="str">
        <f t="shared" si="0"/>
        <v>Chicken_Wings</v>
      </c>
      <c r="E36" s="24" t="s">
        <v>904</v>
      </c>
      <c r="G36" s="37" t="s">
        <v>84</v>
      </c>
      <c r="H36" s="37" t="s">
        <v>1209</v>
      </c>
      <c r="I36" s="37" t="s">
        <v>1214</v>
      </c>
      <c r="J36" s="38"/>
      <c r="K36" s="37" t="s">
        <v>361</v>
      </c>
      <c r="L36" s="37" t="s">
        <v>1215</v>
      </c>
      <c r="M36" s="38"/>
      <c r="O36">
        <f>IF(H36="","",VLOOKUP(H36,Countries!A:D,3,0))</f>
        <v>29.298528000000001</v>
      </c>
      <c r="P36">
        <f>IF(H36="","",VLOOKUP(H36,Countries!A:D,4,0))</f>
        <v>42.551000000000002</v>
      </c>
    </row>
    <row r="37" spans="1:16" ht="15.75" customHeight="1" thickBot="1" x14ac:dyDescent="0.25">
      <c r="A37" s="5" t="s">
        <v>906</v>
      </c>
      <c r="B37" s="14"/>
      <c r="C37" s="5" t="s">
        <v>907</v>
      </c>
      <c r="D37" t="str">
        <f t="shared" si="0"/>
        <v>Chinese</v>
      </c>
      <c r="E37" t="str">
        <f t="shared" ref="E37:E42" si="6">IF(ISBLANK(A37),E36,D37)</f>
        <v>Chinese</v>
      </c>
      <c r="G37" s="37" t="s">
        <v>85</v>
      </c>
      <c r="H37" s="37" t="s">
        <v>914</v>
      </c>
      <c r="I37" s="37" t="s">
        <v>915</v>
      </c>
      <c r="J37" s="38"/>
      <c r="K37" s="38"/>
      <c r="L37" s="38"/>
      <c r="M37" s="38"/>
      <c r="O37">
        <f>IF(H37="","",VLOOKUP(H37,Countries!A:D,3,0))</f>
        <v>19.896766</v>
      </c>
      <c r="P37">
        <f>IF(H37="","",VLOOKUP(H37,Countries!A:D,4,0))</f>
        <v>-155.58278200000001</v>
      </c>
    </row>
    <row r="38" spans="1:16" ht="15.75" customHeight="1" thickBot="1" x14ac:dyDescent="0.25">
      <c r="A38" s="14"/>
      <c r="B38" s="5" t="s">
        <v>911</v>
      </c>
      <c r="C38" s="5" t="s">
        <v>912</v>
      </c>
      <c r="D38" t="str">
        <f t="shared" si="0"/>
        <v>Cantonese</v>
      </c>
      <c r="E38" t="str">
        <f t="shared" si="6"/>
        <v>Chinese</v>
      </c>
      <c r="G38" s="37" t="s">
        <v>86</v>
      </c>
      <c r="H38" s="37" t="s">
        <v>614</v>
      </c>
      <c r="I38" s="38"/>
      <c r="J38" s="38"/>
      <c r="K38" s="38"/>
      <c r="L38" s="38"/>
      <c r="M38" s="38"/>
      <c r="O38">
        <f>IF(H38="","",VLOOKUP(H38,Countries!A:D,3,0))</f>
        <v>27.7</v>
      </c>
      <c r="P38">
        <f>IF(H38="","",VLOOKUP(H38,Countries!A:D,4,0))</f>
        <v>85.32</v>
      </c>
    </row>
    <row r="39" spans="1:16" ht="15.75" customHeight="1" thickBot="1" x14ac:dyDescent="0.25">
      <c r="A39" s="14"/>
      <c r="B39" s="5" t="s">
        <v>917</v>
      </c>
      <c r="C39" s="5" t="s">
        <v>918</v>
      </c>
      <c r="D39" t="str">
        <f t="shared" si="0"/>
        <v>Dim_Sum</v>
      </c>
      <c r="E39" t="str">
        <f t="shared" si="6"/>
        <v>Chinese</v>
      </c>
      <c r="G39" s="39" t="s">
        <v>87</v>
      </c>
      <c r="H39" s="38"/>
      <c r="I39" s="37" t="s">
        <v>1216</v>
      </c>
      <c r="J39" s="37"/>
      <c r="K39" s="37"/>
      <c r="L39" s="38"/>
      <c r="M39" s="38"/>
      <c r="O39" t="str">
        <f>IF(H39="","",VLOOKUP(H39,Countries!A:D,3,0))</f>
        <v/>
      </c>
      <c r="P39" t="str">
        <f>IF(H39="","",VLOOKUP(H39,Countries!A:D,4,0))</f>
        <v/>
      </c>
    </row>
    <row r="40" spans="1:16" ht="15.75" customHeight="1" thickBot="1" x14ac:dyDescent="0.25">
      <c r="A40" s="14"/>
      <c r="B40" s="5" t="s">
        <v>921</v>
      </c>
      <c r="C40" s="5" t="s">
        <v>922</v>
      </c>
      <c r="D40" t="str">
        <f t="shared" si="0"/>
        <v>Shanghainese</v>
      </c>
      <c r="E40" t="str">
        <f t="shared" si="6"/>
        <v>Chinese</v>
      </c>
      <c r="G40" s="37" t="s">
        <v>88</v>
      </c>
      <c r="H40" s="37" t="s">
        <v>485</v>
      </c>
      <c r="I40" s="38"/>
      <c r="J40" s="38"/>
      <c r="K40" s="38"/>
      <c r="L40" s="38"/>
      <c r="M40" s="38"/>
      <c r="O40">
        <f>IF(H40="","",VLOOKUP(H40,Countries!A:D,3,0))</f>
        <v>47.5</v>
      </c>
      <c r="P40">
        <f>IF(H40="","",VLOOKUP(H40,Countries!A:D,4,0))</f>
        <v>19.04</v>
      </c>
    </row>
    <row r="41" spans="1:16" ht="15.75" customHeight="1" thickBot="1" x14ac:dyDescent="0.25">
      <c r="A41" s="14"/>
      <c r="B41" s="5" t="s">
        <v>924</v>
      </c>
      <c r="C41" s="5" t="s">
        <v>925</v>
      </c>
      <c r="D41" t="str">
        <f t="shared" si="0"/>
        <v>Szechuan</v>
      </c>
      <c r="E41" t="str">
        <f t="shared" si="6"/>
        <v>Chinese</v>
      </c>
      <c r="G41" s="37" t="s">
        <v>89</v>
      </c>
      <c r="H41" s="37" t="s">
        <v>622</v>
      </c>
      <c r="I41" s="38"/>
      <c r="J41" s="38"/>
      <c r="K41" s="38"/>
      <c r="L41" s="38"/>
      <c r="M41" s="38"/>
      <c r="O41">
        <f>IF(H41="","",VLOOKUP(H41,Countries!A:D,3,0))</f>
        <v>40.42</v>
      </c>
      <c r="P41">
        <f>IF(H41="","",VLOOKUP(H41,Countries!A:D,4,0))</f>
        <v>-3.7</v>
      </c>
    </row>
    <row r="42" spans="1:16" ht="15.75" customHeight="1" thickBot="1" x14ac:dyDescent="0.25">
      <c r="A42" s="5" t="s">
        <v>928</v>
      </c>
      <c r="B42" s="14"/>
      <c r="C42" s="5" t="s">
        <v>929</v>
      </c>
      <c r="D42" t="str">
        <f t="shared" si="0"/>
        <v>Comfort_Food</v>
      </c>
      <c r="E42" t="str">
        <f t="shared" si="6"/>
        <v>Comfort_Food</v>
      </c>
      <c r="G42" s="37" t="s">
        <v>93</v>
      </c>
      <c r="H42" s="37" t="s">
        <v>491</v>
      </c>
      <c r="I42" s="37" t="s">
        <v>655</v>
      </c>
      <c r="J42" s="38"/>
      <c r="K42" s="38"/>
      <c r="L42" s="38"/>
      <c r="M42" s="38"/>
      <c r="O42">
        <f>IF(H42="","",VLOOKUP(H42,Countries!A:D,3,0))</f>
        <v>28.64</v>
      </c>
      <c r="P42">
        <f>IF(H42="","",VLOOKUP(H42,Countries!A:D,4,0))</f>
        <v>77.22</v>
      </c>
    </row>
    <row r="43" spans="1:16" ht="15.75" customHeight="1" thickBot="1" x14ac:dyDescent="0.25">
      <c r="A43" s="5" t="s">
        <v>933</v>
      </c>
      <c r="B43" s="14"/>
      <c r="C43" s="5" t="s">
        <v>934</v>
      </c>
      <c r="D43" t="str">
        <f t="shared" si="0"/>
        <v>Creperies</v>
      </c>
      <c r="E43" s="24" t="s">
        <v>935</v>
      </c>
      <c r="G43" s="37" t="s">
        <v>94</v>
      </c>
      <c r="H43" s="37" t="s">
        <v>493</v>
      </c>
      <c r="I43" s="38"/>
      <c r="J43" s="38"/>
      <c r="K43" s="38"/>
      <c r="L43" s="38"/>
      <c r="M43" s="38"/>
      <c r="O43">
        <f>IF(H43="","",VLOOKUP(H43,Countries!A:D,3,0))</f>
        <v>-6.21</v>
      </c>
      <c r="P43">
        <f>IF(H43="","",VLOOKUP(H43,Countries!A:D,4,0))</f>
        <v>106.85</v>
      </c>
    </row>
    <row r="44" spans="1:16" ht="26.25" thickBot="1" x14ac:dyDescent="0.25">
      <c r="A44" s="5" t="s">
        <v>937</v>
      </c>
      <c r="B44" s="14"/>
      <c r="C44" s="5" t="s">
        <v>938</v>
      </c>
      <c r="D44" t="str">
        <f t="shared" si="0"/>
        <v>Cuban</v>
      </c>
      <c r="E44" t="str">
        <f t="shared" ref="E44:E45" si="7">IF(ISBLANK(A44),E43,D44)</f>
        <v>Cuban</v>
      </c>
      <c r="G44" s="37" t="s">
        <v>96</v>
      </c>
      <c r="H44" s="37" t="s">
        <v>796</v>
      </c>
      <c r="I44" s="38"/>
      <c r="J44" s="38"/>
      <c r="K44" s="38"/>
      <c r="L44" s="38"/>
      <c r="M44" s="38"/>
      <c r="O44">
        <f>IF(H44="","",VLOOKUP(H44,Countries!A:D,3,0))</f>
        <v>51.51</v>
      </c>
      <c r="P44">
        <f>IF(H44="","",VLOOKUP(H44,Countries!A:D,4,0))</f>
        <v>-0.13</v>
      </c>
    </row>
    <row r="45" spans="1:16" ht="13.5" thickBot="1" x14ac:dyDescent="0.25">
      <c r="A45" s="5" t="s">
        <v>941</v>
      </c>
      <c r="B45" s="14"/>
      <c r="C45" s="5" t="s">
        <v>942</v>
      </c>
      <c r="D45" t="str">
        <f t="shared" si="0"/>
        <v>Czech</v>
      </c>
      <c r="E45" t="str">
        <f t="shared" si="7"/>
        <v>Czech</v>
      </c>
      <c r="G45" s="37" t="s">
        <v>97</v>
      </c>
      <c r="H45" s="37" t="s">
        <v>507</v>
      </c>
      <c r="I45" s="38"/>
      <c r="J45" s="38"/>
      <c r="K45" s="38"/>
      <c r="L45" s="38"/>
      <c r="M45" s="38"/>
      <c r="O45">
        <f>IF(H45="","",VLOOKUP(H45,Countries!A:D,3,0))</f>
        <v>41.89</v>
      </c>
      <c r="P45">
        <f>IF(H45="","",VLOOKUP(H45,Countries!A:D,4,0))</f>
        <v>12.48</v>
      </c>
    </row>
    <row r="46" spans="1:16" ht="13.5" thickBot="1" x14ac:dyDescent="0.25">
      <c r="A46" s="5" t="s">
        <v>945</v>
      </c>
      <c r="B46" s="14"/>
      <c r="C46" s="5" t="s">
        <v>946</v>
      </c>
      <c r="D46" t="str">
        <f t="shared" si="0"/>
        <v>Delis</v>
      </c>
      <c r="E46" s="24" t="s">
        <v>947</v>
      </c>
      <c r="G46" s="37" t="s">
        <v>98</v>
      </c>
      <c r="H46" s="37" t="s">
        <v>517</v>
      </c>
      <c r="I46" s="38"/>
      <c r="J46" s="38"/>
      <c r="K46" s="38"/>
      <c r="L46" s="38"/>
      <c r="M46" s="38"/>
      <c r="O46">
        <f>IF(H46="","",VLOOKUP(H46,Countries!A:D,3,0))</f>
        <v>35.69</v>
      </c>
      <c r="P46">
        <f>IF(H46="","",VLOOKUP(H46,Countries!A:D,4,0))</f>
        <v>139.69</v>
      </c>
    </row>
    <row r="47" spans="1:16" ht="13.5" thickBot="1" x14ac:dyDescent="0.25">
      <c r="A47" s="5" t="s">
        <v>950</v>
      </c>
      <c r="B47" s="14"/>
      <c r="C47" s="5" t="s">
        <v>951</v>
      </c>
      <c r="D47" t="str">
        <f t="shared" si="0"/>
        <v>Diners</v>
      </c>
      <c r="E47" s="24" t="s">
        <v>952</v>
      </c>
      <c r="G47" s="37" t="s">
        <v>99</v>
      </c>
      <c r="H47" s="37" t="s">
        <v>733</v>
      </c>
      <c r="I47" s="38"/>
      <c r="J47" s="38"/>
      <c r="K47" s="38"/>
      <c r="L47" s="38"/>
      <c r="M47" s="38"/>
      <c r="O47">
        <f>IF(H47="","",VLOOKUP(H47,Countries!A:D,3,0))</f>
        <v>37.57</v>
      </c>
      <c r="P47">
        <f>IF(H47="","",VLOOKUP(H47,Countries!A:D,4,0))</f>
        <v>126.98</v>
      </c>
    </row>
    <row r="48" spans="1:16" ht="13.5" thickBot="1" x14ac:dyDescent="0.25">
      <c r="A48" s="5" t="s">
        <v>955</v>
      </c>
      <c r="B48" s="14"/>
      <c r="C48" s="5" t="s">
        <v>956</v>
      </c>
      <c r="D48" t="str">
        <f t="shared" si="0"/>
        <v>Ethiopian</v>
      </c>
      <c r="E48" t="str">
        <f t="shared" ref="E48:E50" si="8">IF(ISBLANK(A48),E47,D48)</f>
        <v>Ethiopian</v>
      </c>
      <c r="G48" s="37" t="s">
        <v>100</v>
      </c>
      <c r="H48" s="37" t="s">
        <v>505</v>
      </c>
      <c r="I48" s="37" t="s">
        <v>1217</v>
      </c>
      <c r="J48" s="38"/>
      <c r="K48" s="38"/>
      <c r="L48" s="37" t="s">
        <v>961</v>
      </c>
      <c r="M48" s="38"/>
      <c r="O48">
        <f>IF(H48="","",VLOOKUP(H48,Countries!A:D,3,0))</f>
        <v>35.229999999999997</v>
      </c>
      <c r="P48">
        <f>IF(H48="","",VLOOKUP(H48,Countries!A:D,4,0))</f>
        <v>31.77</v>
      </c>
    </row>
    <row r="49" spans="1:16" ht="13.5" thickBot="1" x14ac:dyDescent="0.25">
      <c r="A49" s="5" t="s">
        <v>959</v>
      </c>
      <c r="B49" s="14"/>
      <c r="C49" s="5" t="s">
        <v>960</v>
      </c>
      <c r="D49" t="str">
        <f t="shared" si="0"/>
        <v>Fast_Food</v>
      </c>
      <c r="E49" t="str">
        <f t="shared" si="8"/>
        <v>Fast_Food</v>
      </c>
      <c r="G49" s="37" t="s">
        <v>101</v>
      </c>
      <c r="H49" s="37" t="s">
        <v>536</v>
      </c>
      <c r="I49" s="38"/>
      <c r="J49" s="38"/>
      <c r="K49" s="38"/>
      <c r="L49" s="38"/>
      <c r="M49" s="38"/>
      <c r="O49">
        <f>IF(H49="","",VLOOKUP(H49,Countries!A:D,3,0))</f>
        <v>17.97</v>
      </c>
      <c r="P49">
        <f>IF(H49="","",VLOOKUP(H49,Countries!A:D,4,0))</f>
        <v>102.6</v>
      </c>
    </row>
    <row r="50" spans="1:16" ht="26.25" thickBot="1" x14ac:dyDescent="0.25">
      <c r="A50" s="5" t="s">
        <v>963</v>
      </c>
      <c r="B50" s="14"/>
      <c r="C50" s="5" t="s">
        <v>964</v>
      </c>
      <c r="D50" t="str">
        <f t="shared" si="0"/>
        <v>Filipino</v>
      </c>
      <c r="E50" t="str">
        <f t="shared" si="8"/>
        <v>Filipino</v>
      </c>
      <c r="G50" s="37" t="s">
        <v>102</v>
      </c>
      <c r="H50" s="37" t="s">
        <v>1218</v>
      </c>
      <c r="I50" s="38"/>
      <c r="J50" s="38"/>
      <c r="K50" s="37" t="s">
        <v>1218</v>
      </c>
      <c r="L50" s="38"/>
      <c r="M50" s="38"/>
      <c r="O50">
        <f>IF(H50="","",VLOOKUP(H50,Countries!A:D,3,0))</f>
        <v>-4.4420380000000002</v>
      </c>
      <c r="P50">
        <f>IF(H50="","",VLOOKUP(H50,Countries!A:D,4,0))</f>
        <v>-61.326853999999997</v>
      </c>
    </row>
    <row r="51" spans="1:16" ht="13.5" thickBot="1" x14ac:dyDescent="0.25">
      <c r="A51" s="5" t="s">
        <v>966</v>
      </c>
      <c r="B51" s="14"/>
      <c r="C51" s="5" t="s">
        <v>967</v>
      </c>
      <c r="D51" t="str">
        <f t="shared" si="0"/>
        <v>Fish_&amp;_Chips</v>
      </c>
      <c r="E51" s="24" t="s">
        <v>968</v>
      </c>
      <c r="G51" s="37" t="s">
        <v>103</v>
      </c>
      <c r="H51" s="38"/>
      <c r="I51" s="37" t="s">
        <v>780</v>
      </c>
      <c r="J51" s="37"/>
      <c r="K51" s="37"/>
      <c r="L51" s="38"/>
      <c r="M51" s="38"/>
      <c r="O51" t="str">
        <f>IF(H51="","",VLOOKUP(H51,Countries!A:D,3,0))</f>
        <v/>
      </c>
      <c r="P51" t="str">
        <f>IF(H51="","",VLOOKUP(H51,Countries!A:D,4,0))</f>
        <v/>
      </c>
    </row>
    <row r="52" spans="1:16" ht="13.5" thickBot="1" x14ac:dyDescent="0.25">
      <c r="A52" s="5" t="s">
        <v>970</v>
      </c>
      <c r="B52" s="14"/>
      <c r="C52" s="5" t="s">
        <v>971</v>
      </c>
      <c r="D52" t="str">
        <f t="shared" si="0"/>
        <v>Fondue</v>
      </c>
      <c r="E52" t="s">
        <v>974</v>
      </c>
      <c r="G52" s="37" t="s">
        <v>104</v>
      </c>
      <c r="H52" s="37" t="s">
        <v>567</v>
      </c>
      <c r="I52" s="38"/>
      <c r="J52" s="38"/>
      <c r="K52" s="38"/>
      <c r="L52" s="38"/>
      <c r="M52" s="38"/>
      <c r="O52">
        <f>IF(H52="","",VLOOKUP(H52,Countries!A:D,3,0))</f>
        <v>3.14</v>
      </c>
      <c r="P52">
        <f>IF(H52="","",VLOOKUP(H52,Countries!A:D,4,0))</f>
        <v>101.69</v>
      </c>
    </row>
    <row r="53" spans="1:16" ht="26.25" thickBot="1" x14ac:dyDescent="0.25">
      <c r="A53" s="5" t="s">
        <v>976</v>
      </c>
      <c r="B53" s="14"/>
      <c r="C53" s="5" t="s">
        <v>977</v>
      </c>
      <c r="D53" t="str">
        <f t="shared" si="0"/>
        <v>Food_Court</v>
      </c>
      <c r="E53" s="24" t="s">
        <v>979</v>
      </c>
      <c r="G53" s="37" t="s">
        <v>105</v>
      </c>
      <c r="H53" s="37" t="s">
        <v>105</v>
      </c>
      <c r="I53" s="38"/>
      <c r="J53" s="38"/>
      <c r="K53" s="37" t="s">
        <v>105</v>
      </c>
      <c r="L53" s="38"/>
      <c r="M53" s="38"/>
      <c r="O53">
        <f>IF(H53="","",VLOOKUP(H53,Countries!A:D,3,0))</f>
        <v>34.553128000000001</v>
      </c>
      <c r="P53">
        <f>IF(H53="","",VLOOKUP(H53,Countries!A:D,4,0))</f>
        <v>18.048010999999999</v>
      </c>
    </row>
    <row r="54" spans="1:16" ht="13.5" thickBot="1" x14ac:dyDescent="0.25">
      <c r="A54" s="5" t="s">
        <v>981</v>
      </c>
      <c r="B54" s="14"/>
      <c r="C54" s="5" t="s">
        <v>982</v>
      </c>
      <c r="D54" t="str">
        <f t="shared" si="0"/>
        <v>Food_Stands</v>
      </c>
      <c r="E54" s="24" t="s">
        <v>983</v>
      </c>
      <c r="G54" s="37" t="s">
        <v>106</v>
      </c>
      <c r="H54" s="37" t="s">
        <v>587</v>
      </c>
      <c r="I54" s="38"/>
      <c r="J54" s="38"/>
      <c r="K54" s="38"/>
      <c r="L54" s="38"/>
      <c r="M54" s="38"/>
      <c r="O54">
        <f>IF(H54="","",VLOOKUP(H54,Countries!A:D,3,0))</f>
        <v>19.43</v>
      </c>
      <c r="P54">
        <f>IF(H54="","",VLOOKUP(H54,Countries!A:D,4,0))</f>
        <v>-99.13</v>
      </c>
    </row>
    <row r="55" spans="1:16" ht="13.5" thickBot="1" x14ac:dyDescent="0.25">
      <c r="A55" s="5" t="s">
        <v>985</v>
      </c>
      <c r="B55" s="14"/>
      <c r="C55" s="5" t="s">
        <v>986</v>
      </c>
      <c r="D55" t="str">
        <f t="shared" si="0"/>
        <v>French</v>
      </c>
      <c r="E55" t="str">
        <f>IF(ISBLANK(A55),E54,D55)</f>
        <v>French</v>
      </c>
      <c r="G55" s="37" t="s">
        <v>107</v>
      </c>
      <c r="H55" s="37" t="s">
        <v>1209</v>
      </c>
      <c r="I55" s="38"/>
      <c r="J55" s="38"/>
      <c r="K55" s="37" t="s">
        <v>1209</v>
      </c>
      <c r="L55" s="38"/>
      <c r="M55" s="38"/>
      <c r="O55">
        <f>IF(H55="","",VLOOKUP(H55,Countries!A:D,3,0))</f>
        <v>29.298528000000001</v>
      </c>
      <c r="P55">
        <f>IF(H55="","",VLOOKUP(H55,Countries!A:D,4,0))</f>
        <v>42.551000000000002</v>
      </c>
    </row>
    <row r="56" spans="1:16" ht="13.5" thickBot="1" x14ac:dyDescent="0.25">
      <c r="A56" s="5" t="s">
        <v>988</v>
      </c>
      <c r="B56" s="14"/>
      <c r="C56" s="5" t="s">
        <v>989</v>
      </c>
      <c r="D56" t="str">
        <f t="shared" si="0"/>
        <v>Gastropubs</v>
      </c>
      <c r="E56" s="24" t="s">
        <v>990</v>
      </c>
      <c r="G56" s="37" t="s">
        <v>108</v>
      </c>
      <c r="H56" s="37" t="s">
        <v>595</v>
      </c>
      <c r="I56" s="38"/>
      <c r="J56" s="38"/>
      <c r="K56" s="38"/>
      <c r="L56" s="38"/>
      <c r="M56" s="38"/>
      <c r="O56">
        <f>IF(H56="","",VLOOKUP(H56,Countries!A:D,3,0))</f>
        <v>47.91</v>
      </c>
      <c r="P56">
        <f>IF(H56="","",VLOOKUP(H56,Countries!A:D,4,0))</f>
        <v>106.88</v>
      </c>
    </row>
    <row r="57" spans="1:16" ht="13.5" thickBot="1" x14ac:dyDescent="0.25">
      <c r="A57" s="5" t="s">
        <v>992</v>
      </c>
      <c r="B57" s="14"/>
      <c r="C57" s="5" t="s">
        <v>993</v>
      </c>
      <c r="D57" t="str">
        <f t="shared" si="0"/>
        <v>German</v>
      </c>
      <c r="E57" t="str">
        <f t="shared" ref="E57:E62" si="9">IF(ISBLANK(A57),E56,D57)</f>
        <v>German</v>
      </c>
      <c r="G57" s="37" t="s">
        <v>109</v>
      </c>
      <c r="H57" s="37" t="s">
        <v>601</v>
      </c>
      <c r="I57" s="38"/>
      <c r="J57" s="38"/>
      <c r="K57" s="38"/>
      <c r="L57" s="38"/>
      <c r="M57" s="38"/>
      <c r="O57">
        <f>IF(H57="","",VLOOKUP(H57,Countries!A:D,3,0))</f>
        <v>34.01</v>
      </c>
      <c r="P57">
        <f>IF(H57="","",VLOOKUP(H57,Countries!A:D,4,0))</f>
        <v>-6.83</v>
      </c>
    </row>
    <row r="58" spans="1:16" ht="13.5" thickBot="1" x14ac:dyDescent="0.25">
      <c r="A58" s="5" t="s">
        <v>995</v>
      </c>
      <c r="B58" s="14"/>
      <c r="C58" s="5" t="s">
        <v>997</v>
      </c>
      <c r="D58" t="str">
        <f t="shared" si="0"/>
        <v>Gluten-Free</v>
      </c>
      <c r="E58" t="str">
        <f t="shared" si="9"/>
        <v>Gluten-Free</v>
      </c>
      <c r="G58" s="37" t="s">
        <v>110</v>
      </c>
      <c r="H58" s="37" t="s">
        <v>644</v>
      </c>
      <c r="I58" s="38"/>
      <c r="J58" s="38"/>
      <c r="K58" s="38"/>
      <c r="L58" s="38"/>
      <c r="M58" s="38"/>
      <c r="O58">
        <f>IF(H58="","",VLOOKUP(H58,Countries!A:D,3,0))</f>
        <v>33.72</v>
      </c>
      <c r="P58">
        <f>IF(H58="","",VLOOKUP(H58,Countries!A:D,4,0))</f>
        <v>73.040000000000006</v>
      </c>
    </row>
    <row r="59" spans="1:16" ht="13.5" thickBot="1" x14ac:dyDescent="0.25">
      <c r="A59" s="5" t="s">
        <v>998</v>
      </c>
      <c r="B59" s="14"/>
      <c r="C59" s="5" t="s">
        <v>999</v>
      </c>
      <c r="D59" t="str">
        <f t="shared" si="0"/>
        <v>Greek</v>
      </c>
      <c r="E59" t="str">
        <f t="shared" si="9"/>
        <v>Greek</v>
      </c>
      <c r="G59" s="37" t="s">
        <v>111</v>
      </c>
      <c r="H59" s="37" t="s">
        <v>495</v>
      </c>
      <c r="I59" s="38"/>
      <c r="J59" s="38"/>
      <c r="K59" s="38"/>
      <c r="L59" s="38"/>
      <c r="M59" s="38"/>
      <c r="O59">
        <f>IF(H59="","",VLOOKUP(H59,Countries!A:D,3,0))</f>
        <v>35.69</v>
      </c>
      <c r="P59">
        <f>IF(H59="","",VLOOKUP(H59,Countries!A:D,4,0))</f>
        <v>51.42</v>
      </c>
    </row>
    <row r="60" spans="1:16" ht="13.5" thickBot="1" x14ac:dyDescent="0.25">
      <c r="A60" s="5" t="s">
        <v>1000</v>
      </c>
      <c r="B60" s="14"/>
      <c r="C60" s="5" t="s">
        <v>1001</v>
      </c>
      <c r="D60" t="str">
        <f t="shared" si="0"/>
        <v>Halal</v>
      </c>
      <c r="E60" t="str">
        <f t="shared" si="9"/>
        <v>Halal</v>
      </c>
      <c r="G60" s="37" t="s">
        <v>112</v>
      </c>
      <c r="H60" s="37" t="s">
        <v>660</v>
      </c>
      <c r="I60" s="38"/>
      <c r="J60" s="38"/>
      <c r="K60" s="38"/>
      <c r="L60" s="38"/>
      <c r="M60" s="38"/>
      <c r="O60">
        <f>IF(H60="","",VLOOKUP(H60,Countries!A:D,3,0))</f>
        <v>-12.04</v>
      </c>
      <c r="P60">
        <f>IF(H60="","",VLOOKUP(H60,Countries!A:D,4,0))</f>
        <v>-77.03</v>
      </c>
    </row>
    <row r="61" spans="1:16" ht="13.5" thickBot="1" x14ac:dyDescent="0.25">
      <c r="A61" s="5" t="s">
        <v>1003</v>
      </c>
      <c r="B61" s="14"/>
      <c r="C61" s="5" t="s">
        <v>1004</v>
      </c>
      <c r="D61" t="str">
        <f t="shared" si="0"/>
        <v>Hawaiian</v>
      </c>
      <c r="E61" t="str">
        <f t="shared" si="9"/>
        <v>Hawaiian</v>
      </c>
      <c r="G61" s="37" t="s">
        <v>113</v>
      </c>
      <c r="H61" s="37" t="s">
        <v>667</v>
      </c>
      <c r="I61" s="38"/>
      <c r="J61" s="38"/>
      <c r="K61" s="38"/>
      <c r="L61" s="38"/>
      <c r="M61" s="38"/>
      <c r="O61">
        <f>IF(H61="","",VLOOKUP(H61,Countries!A:D,3,0))</f>
        <v>52.23</v>
      </c>
      <c r="P61">
        <f>IF(H61="","",VLOOKUP(H61,Countries!A:D,4,0))</f>
        <v>21.01</v>
      </c>
    </row>
    <row r="62" spans="1:16" ht="13.5" thickBot="1" x14ac:dyDescent="0.25">
      <c r="A62" s="5" t="s">
        <v>1006</v>
      </c>
      <c r="B62" s="14"/>
      <c r="C62" s="5" t="s">
        <v>1007</v>
      </c>
      <c r="D62" t="str">
        <f t="shared" si="0"/>
        <v>Himalayan/Nepalese</v>
      </c>
      <c r="E62" t="str">
        <f t="shared" si="9"/>
        <v>Himalayan/Nepalese</v>
      </c>
      <c r="G62" s="37" t="s">
        <v>114</v>
      </c>
      <c r="H62" s="37" t="s">
        <v>669</v>
      </c>
      <c r="I62" s="38"/>
      <c r="J62" s="38"/>
      <c r="K62" s="38"/>
      <c r="L62" s="38"/>
      <c r="M62" s="38"/>
      <c r="O62">
        <f>IF(H62="","",VLOOKUP(H62,Countries!A:D,3,0))</f>
        <v>38.72</v>
      </c>
      <c r="P62">
        <f>IF(H62="","",VLOOKUP(H62,Countries!A:D,4,0))</f>
        <v>-9.1300000000000008</v>
      </c>
    </row>
    <row r="63" spans="1:16" ht="13.5" thickBot="1" x14ac:dyDescent="0.25">
      <c r="A63" s="5" t="s">
        <v>1009</v>
      </c>
      <c r="B63" s="14"/>
      <c r="C63" s="5" t="s">
        <v>1010</v>
      </c>
      <c r="D63" t="str">
        <f t="shared" si="0"/>
        <v>Hot_Dogs</v>
      </c>
      <c r="E63" s="24" t="s">
        <v>1011</v>
      </c>
      <c r="G63" s="37" t="s">
        <v>115</v>
      </c>
      <c r="H63" s="37" t="s">
        <v>682</v>
      </c>
      <c r="I63" s="38"/>
      <c r="J63" s="38"/>
      <c r="K63" s="37" t="s">
        <v>1014</v>
      </c>
      <c r="L63" s="38"/>
      <c r="M63" s="38"/>
      <c r="O63">
        <f>IF(H63="","",VLOOKUP(H63,Countries!A:D,3,0))</f>
        <v>55.75</v>
      </c>
      <c r="P63">
        <f>IF(H63="","",VLOOKUP(H63,Countries!A:D,4,0))</f>
        <v>37.619999999999997</v>
      </c>
    </row>
    <row r="64" spans="1:16" ht="13.5" thickBot="1" x14ac:dyDescent="0.25">
      <c r="A64" s="5" t="s">
        <v>1012</v>
      </c>
      <c r="B64" s="14"/>
      <c r="C64" s="5" t="s">
        <v>1013</v>
      </c>
      <c r="D64" t="str">
        <f t="shared" si="0"/>
        <v>Hot_Pot</v>
      </c>
      <c r="E64" t="str">
        <f t="shared" ref="E64:E65" si="10">IF(ISBLANK(A64),E63,D64)</f>
        <v>Hot_Pot</v>
      </c>
      <c r="G64" s="37" t="s">
        <v>116</v>
      </c>
      <c r="H64" s="38"/>
      <c r="I64" s="37" t="s">
        <v>1019</v>
      </c>
      <c r="J64" s="38"/>
      <c r="K64" s="38"/>
      <c r="L64" s="38"/>
      <c r="M64" s="38"/>
      <c r="O64" t="str">
        <f>IF(H64="","",VLOOKUP(H64,Countries!A:D,3,0))</f>
        <v/>
      </c>
      <c r="P64" t="str">
        <f>IF(H64="","",VLOOKUP(H64,Countries!A:D,4,0))</f>
        <v/>
      </c>
    </row>
    <row r="65" spans="1:16" ht="13.5" thickBot="1" x14ac:dyDescent="0.25">
      <c r="A65" s="5" t="s">
        <v>1016</v>
      </c>
      <c r="B65" s="14"/>
      <c r="C65" s="5" t="s">
        <v>1017</v>
      </c>
      <c r="D65" t="str">
        <f t="shared" si="0"/>
        <v>Hungarian</v>
      </c>
      <c r="E65" t="str">
        <f t="shared" si="10"/>
        <v>Hungarian</v>
      </c>
      <c r="G65" s="37" t="s">
        <v>1018</v>
      </c>
      <c r="H65" s="37"/>
      <c r="I65" s="37" t="s">
        <v>655</v>
      </c>
      <c r="J65" s="38"/>
      <c r="K65" s="38"/>
      <c r="L65" s="38"/>
      <c r="M65" s="37" t="s">
        <v>829</v>
      </c>
      <c r="O65" t="str">
        <f>IF(H65="","",VLOOKUP(H65,Countries!A:D,3,0))</f>
        <v/>
      </c>
      <c r="P65" t="str">
        <f>IF(H65="","",VLOOKUP(H65,Countries!A:D,4,0))</f>
        <v/>
      </c>
    </row>
    <row r="66" spans="1:16" ht="26.25" thickBot="1" x14ac:dyDescent="0.25">
      <c r="A66" s="5" t="s">
        <v>1020</v>
      </c>
      <c r="B66" s="14"/>
      <c r="C66" s="5" t="s">
        <v>1021</v>
      </c>
      <c r="D66" t="str">
        <f t="shared" si="0"/>
        <v>Iberian</v>
      </c>
      <c r="E66" s="1" t="s">
        <v>1022</v>
      </c>
      <c r="G66" s="37" t="s">
        <v>118</v>
      </c>
      <c r="H66" s="37" t="s">
        <v>796</v>
      </c>
      <c r="I66" s="38"/>
      <c r="J66" s="38"/>
      <c r="K66" s="37" t="s">
        <v>1023</v>
      </c>
      <c r="L66" s="38"/>
      <c r="M66" s="38"/>
      <c r="O66">
        <f>IF(H66="","",VLOOKUP(H66,Countries!A:D,3,0))</f>
        <v>51.51</v>
      </c>
      <c r="P66">
        <f>IF(H66="","",VLOOKUP(H66,Countries!A:D,4,0))</f>
        <v>-0.13</v>
      </c>
    </row>
    <row r="67" spans="1:16" ht="13.5" thickBot="1" x14ac:dyDescent="0.25">
      <c r="A67" s="5" t="s">
        <v>1024</v>
      </c>
      <c r="B67" s="14"/>
      <c r="C67" s="5" t="s">
        <v>1025</v>
      </c>
      <c r="D67" t="str">
        <f t="shared" si="0"/>
        <v>Indian</v>
      </c>
      <c r="E67" t="str">
        <f t="shared" ref="E67:E80" si="11">IF(ISBLANK(A67),E66,D67)</f>
        <v>Indian</v>
      </c>
      <c r="G67" s="37" t="s">
        <v>119</v>
      </c>
      <c r="H67" s="37" t="s">
        <v>719</v>
      </c>
      <c r="I67" s="38"/>
      <c r="J67" s="38"/>
      <c r="K67" s="37" t="s">
        <v>843</v>
      </c>
      <c r="L67" s="38"/>
      <c r="M67" s="38"/>
      <c r="O67">
        <f>IF(H67="","",VLOOKUP(H67,Countries!A:D,3,0))</f>
        <v>1.29</v>
      </c>
      <c r="P67">
        <f>IF(H67="","",VLOOKUP(H67,Countries!A:D,4,0))</f>
        <v>103.85</v>
      </c>
    </row>
    <row r="68" spans="1:16" ht="26.25" thickBot="1" x14ac:dyDescent="0.25">
      <c r="A68" s="5" t="s">
        <v>1026</v>
      </c>
      <c r="B68" s="14"/>
      <c r="C68" s="5" t="s">
        <v>1027</v>
      </c>
      <c r="D68" t="str">
        <f t="shared" si="0"/>
        <v>Indonesian</v>
      </c>
      <c r="E68" t="str">
        <f t="shared" si="11"/>
        <v>Indonesian</v>
      </c>
      <c r="G68" s="37" t="s">
        <v>120</v>
      </c>
      <c r="H68" s="37" t="s">
        <v>721</v>
      </c>
      <c r="I68" s="38"/>
      <c r="J68" s="38"/>
      <c r="K68" s="37" t="s">
        <v>872</v>
      </c>
      <c r="L68" s="38"/>
      <c r="M68" s="38"/>
      <c r="O68">
        <f>IF(H68="","",VLOOKUP(H68,Countries!A:D,3,0))</f>
        <v>48.15</v>
      </c>
      <c r="P68">
        <f>IF(H68="","",VLOOKUP(H68,Countries!A:D,4,0))</f>
        <v>17.11</v>
      </c>
    </row>
    <row r="69" spans="1:16" ht="13.5" thickBot="1" x14ac:dyDescent="0.25">
      <c r="A69" s="5" t="s">
        <v>1028</v>
      </c>
      <c r="B69" s="14"/>
      <c r="C69" s="5" t="s">
        <v>1029</v>
      </c>
      <c r="D69" t="str">
        <f t="shared" si="0"/>
        <v>Irish</v>
      </c>
      <c r="E69" t="str">
        <f t="shared" si="11"/>
        <v>Irish</v>
      </c>
      <c r="G69" s="37" t="s">
        <v>121</v>
      </c>
      <c r="H69" s="38"/>
      <c r="I69" s="37" t="s">
        <v>866</v>
      </c>
      <c r="J69" s="38"/>
      <c r="K69" s="38"/>
      <c r="L69" s="38"/>
      <c r="M69" s="38"/>
      <c r="O69" t="str">
        <f>IF(H69="","",VLOOKUP(H69,Countries!A:D,3,0))</f>
        <v/>
      </c>
      <c r="P69" t="str">
        <f>IF(H69="","",VLOOKUP(H69,Countries!A:D,4,0))</f>
        <v/>
      </c>
    </row>
    <row r="70" spans="1:16" ht="13.5" thickBot="1" x14ac:dyDescent="0.25">
      <c r="A70" s="5" t="s">
        <v>1030</v>
      </c>
      <c r="B70" s="14"/>
      <c r="C70" s="5" t="s">
        <v>1031</v>
      </c>
      <c r="D70" t="str">
        <f t="shared" si="0"/>
        <v>Italian</v>
      </c>
      <c r="E70" t="str">
        <f t="shared" si="11"/>
        <v>Italian</v>
      </c>
      <c r="G70" s="37" t="s">
        <v>122</v>
      </c>
      <c r="H70" s="37" t="s">
        <v>155</v>
      </c>
      <c r="I70" s="37" t="s">
        <v>780</v>
      </c>
      <c r="J70" s="38"/>
      <c r="K70" s="38"/>
      <c r="L70" s="38"/>
      <c r="M70" s="37" t="s">
        <v>1219</v>
      </c>
      <c r="O70">
        <f>IF(H70="","",VLOOKUP(H70,Countries!A:D,3,0))</f>
        <v>38.9</v>
      </c>
      <c r="P70">
        <f>IF(H70="","",VLOOKUP(H70,Countries!A:D,4,0))</f>
        <v>-77.040000000000006</v>
      </c>
    </row>
    <row r="71" spans="1:16" ht="13.5" thickBot="1" x14ac:dyDescent="0.25">
      <c r="A71" s="5" t="s">
        <v>1032</v>
      </c>
      <c r="B71" s="14"/>
      <c r="C71" s="5" t="s">
        <v>1033</v>
      </c>
      <c r="D71" t="str">
        <f t="shared" si="0"/>
        <v>Japanese</v>
      </c>
      <c r="E71" t="str">
        <f t="shared" si="11"/>
        <v>Japanese</v>
      </c>
      <c r="G71" s="37" t="s">
        <v>123</v>
      </c>
      <c r="H71" s="37" t="s">
        <v>343</v>
      </c>
      <c r="I71" s="38"/>
      <c r="J71" s="38"/>
      <c r="K71" s="37" t="s">
        <v>854</v>
      </c>
      <c r="L71" s="38"/>
      <c r="M71" s="38"/>
      <c r="O71">
        <f>IF(H71="","",VLOOKUP(H71,Countries!A:D,3,0))</f>
        <v>39.909999999999997</v>
      </c>
      <c r="P71">
        <f>IF(H71="","",VLOOKUP(H71,Countries!A:D,4,0))</f>
        <v>116.4</v>
      </c>
    </row>
    <row r="72" spans="1:16" ht="13.5" thickBot="1" x14ac:dyDescent="0.25">
      <c r="A72" s="14"/>
      <c r="B72" s="5" t="s">
        <v>1034</v>
      </c>
      <c r="C72" s="5" t="s">
        <v>1035</v>
      </c>
      <c r="D72" t="str">
        <f t="shared" si="0"/>
        <v>Ramen</v>
      </c>
      <c r="E72" t="str">
        <f t="shared" si="11"/>
        <v>Japanese</v>
      </c>
      <c r="G72" s="37" t="s">
        <v>124</v>
      </c>
      <c r="H72" s="37" t="s">
        <v>622</v>
      </c>
      <c r="I72" s="37" t="s">
        <v>1220</v>
      </c>
      <c r="J72" s="38"/>
      <c r="K72" s="38"/>
      <c r="L72" s="38"/>
      <c r="M72" s="37" t="s">
        <v>1221</v>
      </c>
      <c r="O72">
        <f>IF(H72="","",VLOOKUP(H72,Countries!A:D,3,0))</f>
        <v>40.42</v>
      </c>
      <c r="P72">
        <f>IF(H72="","",VLOOKUP(H72,Countries!A:D,4,0))</f>
        <v>-3.7</v>
      </c>
    </row>
    <row r="73" spans="1:16" ht="13.5" thickBot="1" x14ac:dyDescent="0.25">
      <c r="A73" s="14"/>
      <c r="B73" s="5" t="s">
        <v>1037</v>
      </c>
      <c r="C73" s="5" t="s">
        <v>1038</v>
      </c>
      <c r="D73" t="str">
        <f t="shared" si="0"/>
        <v>Teppanyaki</v>
      </c>
      <c r="E73" t="str">
        <f t="shared" si="11"/>
        <v>Japanese</v>
      </c>
      <c r="G73" s="37" t="s">
        <v>125</v>
      </c>
      <c r="H73" s="37" t="s">
        <v>762</v>
      </c>
      <c r="I73" s="38"/>
      <c r="J73" s="38"/>
      <c r="K73" s="37" t="s">
        <v>1039</v>
      </c>
      <c r="L73" s="38"/>
      <c r="M73" s="38"/>
      <c r="O73">
        <f>IF(H73="","",VLOOKUP(H73,Countries!A:D,3,0))</f>
        <v>13.75</v>
      </c>
      <c r="P73">
        <f>IF(H73="","",VLOOKUP(H73,Countries!A:D,4,0))</f>
        <v>100.5</v>
      </c>
    </row>
    <row r="74" spans="1:16" ht="13.5" thickBot="1" x14ac:dyDescent="0.25">
      <c r="A74" s="5" t="s">
        <v>1040</v>
      </c>
      <c r="B74" s="14"/>
      <c r="C74" s="5" t="s">
        <v>1041</v>
      </c>
      <c r="D74" t="str">
        <f t="shared" si="0"/>
        <v>Korean</v>
      </c>
      <c r="E74" t="str">
        <f t="shared" si="11"/>
        <v>Korean</v>
      </c>
      <c r="G74" s="37" t="s">
        <v>126</v>
      </c>
      <c r="H74" s="37" t="s">
        <v>778</v>
      </c>
      <c r="I74" s="38"/>
      <c r="J74" s="38"/>
      <c r="K74" s="37" t="s">
        <v>1042</v>
      </c>
      <c r="L74" s="37" t="s">
        <v>1043</v>
      </c>
      <c r="M74" s="38"/>
      <c r="O74">
        <f>IF(H74="","",VLOOKUP(H74,Countries!A:D,3,0))</f>
        <v>39.92</v>
      </c>
      <c r="P74">
        <f>IF(H74="","",VLOOKUP(H74,Countries!A:D,4,0))</f>
        <v>32.85</v>
      </c>
    </row>
    <row r="75" spans="1:16" ht="26.25" thickBot="1" x14ac:dyDescent="0.25">
      <c r="A75" s="5" t="s">
        <v>1044</v>
      </c>
      <c r="B75" s="14"/>
      <c r="C75" s="5" t="s">
        <v>1045</v>
      </c>
      <c r="D75" t="str">
        <f t="shared" si="0"/>
        <v>Kosher</v>
      </c>
      <c r="E75" t="str">
        <f t="shared" si="11"/>
        <v>Kosher</v>
      </c>
      <c r="G75" s="37" t="s">
        <v>127</v>
      </c>
      <c r="H75" s="37" t="s">
        <v>792</v>
      </c>
      <c r="I75" s="38"/>
      <c r="J75" s="38"/>
      <c r="K75" s="37" t="s">
        <v>872</v>
      </c>
      <c r="L75" s="37" t="s">
        <v>1047</v>
      </c>
      <c r="M75" s="38"/>
      <c r="O75">
        <f>IF(H75="","",VLOOKUP(H75,Countries!A:D,3,0))</f>
        <v>50.45</v>
      </c>
      <c r="P75">
        <f>IF(H75="","",VLOOKUP(H75,Countries!A:D,4,0))</f>
        <v>30.52</v>
      </c>
    </row>
    <row r="76" spans="1:16" ht="13.5" thickBot="1" x14ac:dyDescent="0.25">
      <c r="A76" s="5" t="s">
        <v>1048</v>
      </c>
      <c r="B76" s="14"/>
      <c r="C76" s="5" t="s">
        <v>1049</v>
      </c>
      <c r="D76" t="str">
        <f t="shared" si="0"/>
        <v>Laotian</v>
      </c>
      <c r="E76" t="str">
        <f t="shared" si="11"/>
        <v>Laotian</v>
      </c>
      <c r="G76" s="37" t="s">
        <v>128</v>
      </c>
      <c r="H76" s="37" t="s">
        <v>802</v>
      </c>
      <c r="I76" s="38"/>
      <c r="J76" s="38"/>
      <c r="K76" s="37" t="s">
        <v>1050</v>
      </c>
      <c r="L76" s="37" t="s">
        <v>1043</v>
      </c>
      <c r="M76" s="38"/>
      <c r="O76">
        <f>IF(H76="","",VLOOKUP(H76,Countries!A:D,3,0))</f>
        <v>41.26</v>
      </c>
      <c r="P76">
        <f>IF(H76="","",VLOOKUP(H76,Countries!A:D,4,0))</f>
        <v>69.22</v>
      </c>
    </row>
    <row r="77" spans="1:16" ht="13.5" thickBot="1" x14ac:dyDescent="0.25">
      <c r="A77" s="5" t="s">
        <v>1051</v>
      </c>
      <c r="B77" s="14"/>
      <c r="C77" s="5" t="s">
        <v>1052</v>
      </c>
      <c r="D77" t="str">
        <f t="shared" si="0"/>
        <v>Latin_American</v>
      </c>
      <c r="E77" t="str">
        <f t="shared" si="11"/>
        <v>Latin_American</v>
      </c>
      <c r="G77" s="37" t="s">
        <v>129</v>
      </c>
      <c r="H77" s="37"/>
      <c r="I77" s="37" t="s">
        <v>1019</v>
      </c>
      <c r="J77" s="38"/>
      <c r="K77" s="38"/>
      <c r="L77" s="38"/>
      <c r="M77" s="38"/>
      <c r="O77" t="str">
        <f>IF(H77="","",VLOOKUP(H77,Countries!A:D,3,0))</f>
        <v/>
      </c>
      <c r="P77" t="str">
        <f>IF(H77="","",VLOOKUP(H77,Countries!A:D,4,0))</f>
        <v/>
      </c>
    </row>
    <row r="78" spans="1:16" ht="13.5" thickBot="1" x14ac:dyDescent="0.25">
      <c r="A78" s="14"/>
      <c r="B78" s="5" t="s">
        <v>1054</v>
      </c>
      <c r="C78" s="5" t="s">
        <v>1055</v>
      </c>
      <c r="D78" t="str">
        <f t="shared" si="0"/>
        <v>Colombian</v>
      </c>
      <c r="E78" t="str">
        <f t="shared" si="11"/>
        <v>Latin_American</v>
      </c>
      <c r="G78" s="37" t="s">
        <v>130</v>
      </c>
      <c r="H78" s="37"/>
      <c r="I78" s="37" t="s">
        <v>1019</v>
      </c>
      <c r="J78" s="38"/>
      <c r="K78" s="38"/>
      <c r="L78" s="38"/>
      <c r="M78" s="38"/>
      <c r="O78" t="str">
        <f>IF(H78="","",VLOOKUP(H78,Countries!A:D,3,0))</f>
        <v/>
      </c>
      <c r="P78" t="str">
        <f>IF(H78="","",VLOOKUP(H78,Countries!A:D,4,0))</f>
        <v/>
      </c>
    </row>
    <row r="79" spans="1:16" ht="13.5" thickBot="1" x14ac:dyDescent="0.25">
      <c r="A79" s="14"/>
      <c r="B79" s="5" t="s">
        <v>1056</v>
      </c>
      <c r="C79" s="5" t="s">
        <v>1057</v>
      </c>
      <c r="D79" t="str">
        <f t="shared" si="0"/>
        <v>Salvadoran</v>
      </c>
      <c r="E79" t="str">
        <f t="shared" si="11"/>
        <v>Latin_American</v>
      </c>
      <c r="G79" s="37" t="s">
        <v>131</v>
      </c>
      <c r="H79" s="37" t="s">
        <v>812</v>
      </c>
      <c r="I79" s="38"/>
      <c r="J79" s="38"/>
      <c r="K79" s="37" t="s">
        <v>1039</v>
      </c>
      <c r="L79" s="38"/>
      <c r="M79" s="38"/>
      <c r="O79">
        <f>IF(H79="","",VLOOKUP(H79,Countries!A:D,3,0))</f>
        <v>21.02</v>
      </c>
      <c r="P79">
        <f>IF(H79="","",VLOOKUP(H79,Countries!A:D,4,0))</f>
        <v>105.84</v>
      </c>
    </row>
    <row r="80" spans="1:16" ht="12.75" x14ac:dyDescent="0.2">
      <c r="A80" s="14"/>
      <c r="B80" s="5" t="s">
        <v>1059</v>
      </c>
      <c r="C80" s="5" t="s">
        <v>1060</v>
      </c>
      <c r="D80" t="str">
        <f t="shared" si="0"/>
        <v>Venezuelan</v>
      </c>
      <c r="E80" t="str">
        <f t="shared" si="11"/>
        <v>Latin_American</v>
      </c>
    </row>
    <row r="81" spans="1:8" ht="12.75" x14ac:dyDescent="0.2">
      <c r="A81" s="5" t="s">
        <v>1061</v>
      </c>
      <c r="B81" s="14"/>
      <c r="C81" s="5" t="s">
        <v>1062</v>
      </c>
      <c r="D81" t="str">
        <f t="shared" si="0"/>
        <v>Live/Raw_Food</v>
      </c>
      <c r="E81" s="24" t="s">
        <v>1063</v>
      </c>
      <c r="H81" s="1"/>
    </row>
    <row r="82" spans="1:8" ht="12.75" x14ac:dyDescent="0.2">
      <c r="A82" s="5" t="s">
        <v>1064</v>
      </c>
      <c r="B82" s="14"/>
      <c r="C82" s="5" t="s">
        <v>1065</v>
      </c>
      <c r="D82" t="str">
        <f t="shared" si="0"/>
        <v>Malaysian</v>
      </c>
      <c r="E82" t="str">
        <f t="shared" ref="E82:E88" si="12">IF(ISBLANK(A82),E81,D82)</f>
        <v>Malaysian</v>
      </c>
    </row>
    <row r="83" spans="1:8" ht="12.75" x14ac:dyDescent="0.2">
      <c r="A83" s="5" t="s">
        <v>1066</v>
      </c>
      <c r="B83" s="14"/>
      <c r="C83" s="5" t="s">
        <v>1067</v>
      </c>
      <c r="D83" t="str">
        <f t="shared" si="0"/>
        <v>Mediterranean</v>
      </c>
      <c r="E83" t="str">
        <f t="shared" si="12"/>
        <v>Mediterranean</v>
      </c>
      <c r="H83" s="1"/>
    </row>
    <row r="84" spans="1:8" ht="12.75" x14ac:dyDescent="0.2">
      <c r="A84" s="14"/>
      <c r="B84" s="5" t="s">
        <v>1068</v>
      </c>
      <c r="C84" s="5" t="s">
        <v>1069</v>
      </c>
      <c r="D84" t="str">
        <f t="shared" si="0"/>
        <v>Falafel</v>
      </c>
      <c r="E84" t="str">
        <f t="shared" si="12"/>
        <v>Mediterranean</v>
      </c>
      <c r="H84" s="1"/>
    </row>
    <row r="85" spans="1:8" ht="12.75" x14ac:dyDescent="0.2">
      <c r="A85" s="5" t="s">
        <v>1070</v>
      </c>
      <c r="B85" s="14"/>
      <c r="C85" s="5" t="s">
        <v>1071</v>
      </c>
      <c r="D85" t="str">
        <f t="shared" si="0"/>
        <v>Mexican</v>
      </c>
      <c r="E85" t="str">
        <f t="shared" si="12"/>
        <v>Mexican</v>
      </c>
      <c r="H85" s="1"/>
    </row>
    <row r="86" spans="1:8" ht="12.75" x14ac:dyDescent="0.2">
      <c r="A86" s="5" t="s">
        <v>1073</v>
      </c>
      <c r="B86" s="14"/>
      <c r="C86" s="5" t="s">
        <v>1074</v>
      </c>
      <c r="D86" t="str">
        <f t="shared" si="0"/>
        <v>Middle_Eastern</v>
      </c>
      <c r="E86" t="str">
        <f t="shared" si="12"/>
        <v>Middle_Eastern</v>
      </c>
      <c r="H86" s="1"/>
    </row>
    <row r="87" spans="1:8" ht="12.75" x14ac:dyDescent="0.2">
      <c r="A87" s="14"/>
      <c r="B87" s="5" t="s">
        <v>1075</v>
      </c>
      <c r="C87" s="5" t="s">
        <v>1076</v>
      </c>
      <c r="D87" t="str">
        <f t="shared" si="0"/>
        <v>Egyptian</v>
      </c>
      <c r="E87" t="str">
        <f t="shared" si="12"/>
        <v>Middle_Eastern</v>
      </c>
      <c r="H87" s="1"/>
    </row>
    <row r="88" spans="1:8" ht="12.75" x14ac:dyDescent="0.2">
      <c r="A88" s="14"/>
      <c r="B88" s="5" t="s">
        <v>1077</v>
      </c>
      <c r="C88" s="5" t="s">
        <v>1078</v>
      </c>
      <c r="D88" t="str">
        <f t="shared" si="0"/>
        <v>Lebanese</v>
      </c>
      <c r="E88" t="str">
        <f t="shared" si="12"/>
        <v>Middle_Eastern</v>
      </c>
      <c r="H88" s="1"/>
    </row>
    <row r="89" spans="1:8" ht="12.75" x14ac:dyDescent="0.2">
      <c r="A89" s="5" t="s">
        <v>1079</v>
      </c>
      <c r="B89" s="14"/>
      <c r="C89" s="5" t="s">
        <v>1080</v>
      </c>
      <c r="D89" t="str">
        <f t="shared" si="0"/>
        <v>Modern_European</v>
      </c>
      <c r="E89" s="31" t="s">
        <v>1081</v>
      </c>
      <c r="H89" s="1"/>
    </row>
    <row r="90" spans="1:8" ht="12.75" x14ac:dyDescent="0.2">
      <c r="A90" s="5" t="s">
        <v>1083</v>
      </c>
      <c r="B90" s="14"/>
      <c r="C90" s="5" t="s">
        <v>1084</v>
      </c>
      <c r="D90" t="str">
        <f t="shared" si="0"/>
        <v>Mongolian</v>
      </c>
      <c r="E90" t="str">
        <f t="shared" ref="E90:E94" si="13">IF(ISBLANK(A90),E89,D90)</f>
        <v>Mongolian</v>
      </c>
    </row>
    <row r="91" spans="1:8" ht="12.75" x14ac:dyDescent="0.2">
      <c r="A91" s="5" t="s">
        <v>1085</v>
      </c>
      <c r="B91" s="14"/>
      <c r="C91" s="5" t="s">
        <v>1086</v>
      </c>
      <c r="D91" t="str">
        <f t="shared" si="0"/>
        <v>Moroccan</v>
      </c>
      <c r="E91" t="str">
        <f t="shared" si="13"/>
        <v>Moroccan</v>
      </c>
    </row>
    <row r="92" spans="1:8" ht="12.75" x14ac:dyDescent="0.2">
      <c r="A92" s="5" t="s">
        <v>1087</v>
      </c>
      <c r="B92" s="14"/>
      <c r="C92" s="5" t="s">
        <v>1088</v>
      </c>
      <c r="D92" t="str">
        <f t="shared" si="0"/>
        <v>Pakistani</v>
      </c>
      <c r="E92" t="str">
        <f t="shared" si="13"/>
        <v>Pakistani</v>
      </c>
      <c r="H92" s="1"/>
    </row>
    <row r="93" spans="1:8" ht="12.75" x14ac:dyDescent="0.2">
      <c r="A93" s="5" t="s">
        <v>1089</v>
      </c>
      <c r="B93" s="14"/>
      <c r="C93" s="5" t="s">
        <v>1090</v>
      </c>
      <c r="D93" t="str">
        <f t="shared" si="0"/>
        <v>Persian/Iranian</v>
      </c>
      <c r="E93" t="str">
        <f t="shared" si="13"/>
        <v>Persian/Iranian</v>
      </c>
    </row>
    <row r="94" spans="1:8" ht="12.75" x14ac:dyDescent="0.2">
      <c r="A94" s="5" t="s">
        <v>1092</v>
      </c>
      <c r="B94" s="14"/>
      <c r="C94" s="5" t="s">
        <v>1093</v>
      </c>
      <c r="D94" t="str">
        <f t="shared" si="0"/>
        <v>Peruvian</v>
      </c>
      <c r="E94" t="str">
        <f t="shared" si="13"/>
        <v>Peruvian</v>
      </c>
    </row>
    <row r="95" spans="1:8" ht="12.75" x14ac:dyDescent="0.2">
      <c r="A95" s="5" t="s">
        <v>1094</v>
      </c>
      <c r="B95" s="14"/>
      <c r="C95" s="5" t="s">
        <v>1095</v>
      </c>
      <c r="D95" t="str">
        <f t="shared" si="0"/>
        <v>Pizza</v>
      </c>
      <c r="E95" s="24" t="s">
        <v>1096</v>
      </c>
      <c r="H95" s="1"/>
    </row>
    <row r="96" spans="1:8" ht="12.75" x14ac:dyDescent="0.2">
      <c r="A96" s="5" t="s">
        <v>1097</v>
      </c>
      <c r="B96" s="14"/>
      <c r="C96" s="5" t="s">
        <v>1098</v>
      </c>
      <c r="D96" t="str">
        <f t="shared" si="0"/>
        <v>Polish</v>
      </c>
      <c r="E96" t="str">
        <f t="shared" ref="E96:E99" si="14">IF(ISBLANK(A96),E95,D96)</f>
        <v>Polish</v>
      </c>
      <c r="H96" s="1"/>
    </row>
    <row r="97" spans="1:8" ht="12.75" x14ac:dyDescent="0.2">
      <c r="A97" s="5" t="s">
        <v>1099</v>
      </c>
      <c r="B97" s="14"/>
      <c r="C97" s="5" t="s">
        <v>1100</v>
      </c>
      <c r="D97" t="str">
        <f t="shared" si="0"/>
        <v>Portuguese</v>
      </c>
      <c r="E97" t="str">
        <f t="shared" si="14"/>
        <v>Portuguese</v>
      </c>
      <c r="H97" s="1"/>
    </row>
    <row r="98" spans="1:8" ht="12.75" x14ac:dyDescent="0.2">
      <c r="A98" s="5" t="s">
        <v>1101</v>
      </c>
      <c r="B98" s="14"/>
      <c r="C98" s="5" t="s">
        <v>1102</v>
      </c>
      <c r="D98" t="str">
        <f t="shared" si="0"/>
        <v>Russian</v>
      </c>
      <c r="E98" t="str">
        <f t="shared" si="14"/>
        <v>Russian</v>
      </c>
      <c r="H98" s="1"/>
    </row>
    <row r="99" spans="1:8" ht="12.75" x14ac:dyDescent="0.2">
      <c r="A99" s="5" t="s">
        <v>1103</v>
      </c>
      <c r="B99" s="14"/>
      <c r="C99" s="5" t="s">
        <v>1104</v>
      </c>
      <c r="D99" t="str">
        <f t="shared" si="0"/>
        <v>Salad</v>
      </c>
      <c r="E99" t="str">
        <f t="shared" si="14"/>
        <v>Salad</v>
      </c>
    </row>
    <row r="100" spans="1:8" ht="12.75" x14ac:dyDescent="0.2">
      <c r="A100" s="5" t="s">
        <v>1105</v>
      </c>
      <c r="B100" s="14"/>
      <c r="C100" s="5" t="s">
        <v>1106</v>
      </c>
      <c r="D100" t="str">
        <f t="shared" si="0"/>
        <v>Sandwiches</v>
      </c>
      <c r="E100" s="1" t="s">
        <v>1107</v>
      </c>
      <c r="H100" s="1"/>
    </row>
    <row r="101" spans="1:8" ht="12.75" x14ac:dyDescent="0.2">
      <c r="A101" s="5" t="s">
        <v>1108</v>
      </c>
      <c r="B101" s="14"/>
      <c r="C101" s="5" t="s">
        <v>1109</v>
      </c>
      <c r="D101" t="str">
        <f t="shared" si="0"/>
        <v>Scandinavian</v>
      </c>
      <c r="E101" t="str">
        <f t="shared" ref="E101:E106" si="15">IF(ISBLANK(A101),E100,D101)</f>
        <v>Scandinavian</v>
      </c>
      <c r="H101" s="1"/>
    </row>
    <row r="102" spans="1:8" ht="12.75" x14ac:dyDescent="0.2">
      <c r="A102" s="5" t="s">
        <v>1110</v>
      </c>
      <c r="B102" s="14"/>
      <c r="C102" s="5" t="s">
        <v>1111</v>
      </c>
      <c r="D102" t="str">
        <f t="shared" si="0"/>
        <v>Scottish</v>
      </c>
      <c r="E102" t="str">
        <f t="shared" si="15"/>
        <v>Scottish</v>
      </c>
      <c r="H102" s="1"/>
    </row>
    <row r="103" spans="1:8" ht="12.75" x14ac:dyDescent="0.2">
      <c r="A103" s="5" t="s">
        <v>1112</v>
      </c>
      <c r="B103" s="14"/>
      <c r="C103" s="5" t="s">
        <v>1113</v>
      </c>
      <c r="D103" t="str">
        <f t="shared" si="0"/>
        <v>Seafood</v>
      </c>
      <c r="E103" t="str">
        <f t="shared" si="15"/>
        <v>Seafood</v>
      </c>
      <c r="H103" s="1"/>
    </row>
    <row r="104" spans="1:8" ht="12.75" x14ac:dyDescent="0.2">
      <c r="A104" s="5" t="s">
        <v>1114</v>
      </c>
      <c r="B104" s="14"/>
      <c r="C104" s="5" t="s">
        <v>1115</v>
      </c>
      <c r="D104" t="str">
        <f t="shared" si="0"/>
        <v>Singaporean</v>
      </c>
      <c r="E104" t="str">
        <f t="shared" si="15"/>
        <v>Singaporean</v>
      </c>
      <c r="H104" s="1"/>
    </row>
    <row r="105" spans="1:8" ht="12.75" x14ac:dyDescent="0.2">
      <c r="A105" s="5" t="s">
        <v>1116</v>
      </c>
      <c r="B105" s="14"/>
      <c r="C105" s="5" t="s">
        <v>1118</v>
      </c>
      <c r="D105" t="str">
        <f t="shared" si="0"/>
        <v>Slovakian</v>
      </c>
      <c r="E105" t="str">
        <f t="shared" si="15"/>
        <v>Slovakian</v>
      </c>
      <c r="H105" s="1"/>
    </row>
    <row r="106" spans="1:8" ht="12.75" x14ac:dyDescent="0.2">
      <c r="A106" s="5" t="s">
        <v>1119</v>
      </c>
      <c r="B106" s="14"/>
      <c r="C106" s="5" t="s">
        <v>1120</v>
      </c>
      <c r="D106" t="str">
        <f t="shared" si="0"/>
        <v>Soul_Food</v>
      </c>
      <c r="E106" t="str">
        <f t="shared" si="15"/>
        <v>Soul_Food</v>
      </c>
      <c r="H106" s="1"/>
    </row>
    <row r="107" spans="1:8" ht="12.75" x14ac:dyDescent="0.2">
      <c r="A107" s="5" t="s">
        <v>1121</v>
      </c>
      <c r="B107" s="14"/>
      <c r="C107" s="5" t="s">
        <v>1122</v>
      </c>
      <c r="D107" t="str">
        <f t="shared" si="0"/>
        <v>Soup</v>
      </c>
      <c r="E107" s="24" t="s">
        <v>1123</v>
      </c>
      <c r="H107" s="1"/>
    </row>
    <row r="108" spans="1:8" ht="12.75" x14ac:dyDescent="0.2">
      <c r="A108" s="5" t="s">
        <v>1124</v>
      </c>
      <c r="B108" s="14"/>
      <c r="C108" s="5" t="s">
        <v>1125</v>
      </c>
      <c r="D108" t="str">
        <f t="shared" si="0"/>
        <v>Southern</v>
      </c>
      <c r="E108" t="str">
        <f t="shared" ref="E108:E110" si="16">IF(ISBLANK(A108),E107,D108)</f>
        <v>Southern</v>
      </c>
      <c r="H108" s="1"/>
    </row>
    <row r="109" spans="1:8" ht="12.75" x14ac:dyDescent="0.2">
      <c r="A109" s="5" t="s">
        <v>1126</v>
      </c>
      <c r="B109" s="14"/>
      <c r="C109" s="5" t="s">
        <v>1127</v>
      </c>
      <c r="D109" t="str">
        <f t="shared" si="0"/>
        <v>Spanish</v>
      </c>
      <c r="E109" t="str">
        <f t="shared" si="16"/>
        <v>Spanish</v>
      </c>
      <c r="H109" s="1"/>
    </row>
    <row r="110" spans="1:8" ht="12.75" x14ac:dyDescent="0.2">
      <c r="A110" s="5" t="s">
        <v>1128</v>
      </c>
      <c r="B110" s="14"/>
      <c r="C110" s="5" t="s">
        <v>1129</v>
      </c>
      <c r="D110" t="str">
        <f t="shared" si="0"/>
        <v>Steakhouses</v>
      </c>
      <c r="E110" t="str">
        <f t="shared" si="16"/>
        <v>Steakhouses</v>
      </c>
      <c r="H110" s="1"/>
    </row>
    <row r="111" spans="1:8" ht="12.75" x14ac:dyDescent="0.2">
      <c r="A111" s="5" t="s">
        <v>1130</v>
      </c>
      <c r="B111" s="14"/>
      <c r="C111" s="5" t="s">
        <v>1131</v>
      </c>
      <c r="D111" t="str">
        <f t="shared" si="0"/>
        <v>Sushi_Bars</v>
      </c>
      <c r="E111" s="1" t="s">
        <v>1132</v>
      </c>
      <c r="H111" s="1"/>
    </row>
    <row r="112" spans="1:8" ht="12.75" x14ac:dyDescent="0.2">
      <c r="A112" s="5" t="s">
        <v>1133</v>
      </c>
      <c r="B112" s="14"/>
      <c r="C112" s="5" t="s">
        <v>1134</v>
      </c>
      <c r="D112" t="str">
        <f t="shared" si="0"/>
        <v>Taiwanese</v>
      </c>
      <c r="E112" t="str">
        <f t="shared" ref="E112:E113" si="17">IF(ISBLANK(A112),E111,D112)</f>
        <v>Taiwanese</v>
      </c>
      <c r="H112" s="1"/>
    </row>
    <row r="113" spans="1:8" ht="12.75" x14ac:dyDescent="0.2">
      <c r="A113" s="5" t="s">
        <v>1135</v>
      </c>
      <c r="B113" s="14"/>
      <c r="C113" s="5" t="s">
        <v>1136</v>
      </c>
      <c r="D113" t="str">
        <f t="shared" si="0"/>
        <v>Tapas_Bars</v>
      </c>
      <c r="E113" t="str">
        <f t="shared" si="17"/>
        <v>Tapas_Bars</v>
      </c>
      <c r="H113" s="1"/>
    </row>
    <row r="114" spans="1:8" ht="12.75" x14ac:dyDescent="0.2">
      <c r="A114" s="5" t="s">
        <v>1137</v>
      </c>
      <c r="B114" s="14"/>
      <c r="C114" s="5" t="s">
        <v>1138</v>
      </c>
      <c r="D114" t="str">
        <f t="shared" si="0"/>
        <v>Tapas/Small_Plates</v>
      </c>
      <c r="E114" t="s">
        <v>1139</v>
      </c>
      <c r="H114" s="1"/>
    </row>
    <row r="115" spans="1:8" ht="12.75" x14ac:dyDescent="0.2">
      <c r="A115" s="5" t="s">
        <v>1140</v>
      </c>
      <c r="B115" s="14"/>
      <c r="C115" s="5" t="s">
        <v>1141</v>
      </c>
      <c r="D115" t="str">
        <f t="shared" si="0"/>
        <v>Tex-Mex</v>
      </c>
      <c r="E115" s="24" t="s">
        <v>1142</v>
      </c>
      <c r="H115" s="1"/>
    </row>
    <row r="116" spans="1:8" ht="12.75" x14ac:dyDescent="0.2">
      <c r="A116" s="5" t="s">
        <v>1143</v>
      </c>
      <c r="B116" s="14"/>
      <c r="C116" s="5" t="s">
        <v>1144</v>
      </c>
      <c r="D116" t="str">
        <f t="shared" si="0"/>
        <v>Thai</v>
      </c>
      <c r="E116" t="str">
        <f t="shared" ref="E116:E122" si="18">IF(ISBLANK(A116),E115,D116)</f>
        <v>Thai</v>
      </c>
      <c r="H116" s="1"/>
    </row>
    <row r="117" spans="1:8" ht="12.75" x14ac:dyDescent="0.2">
      <c r="A117" s="5" t="s">
        <v>1145</v>
      </c>
      <c r="B117" s="14"/>
      <c r="C117" s="5" t="s">
        <v>1147</v>
      </c>
      <c r="D117" t="str">
        <f t="shared" si="0"/>
        <v>Turkish</v>
      </c>
      <c r="E117" t="str">
        <f t="shared" si="18"/>
        <v>Turkish</v>
      </c>
      <c r="H117" s="1"/>
    </row>
    <row r="118" spans="1:8" ht="12.75" x14ac:dyDescent="0.2">
      <c r="A118" s="5" t="s">
        <v>1148</v>
      </c>
      <c r="B118" s="14"/>
      <c r="C118" s="5" t="s">
        <v>1149</v>
      </c>
      <c r="D118" t="str">
        <f t="shared" si="0"/>
        <v>Ukrainian</v>
      </c>
      <c r="E118" t="str">
        <f t="shared" si="18"/>
        <v>Ukrainian</v>
      </c>
      <c r="H118" s="1"/>
    </row>
    <row r="119" spans="1:8" ht="12.75" x14ac:dyDescent="0.2">
      <c r="A119" s="5" t="s">
        <v>1150</v>
      </c>
      <c r="B119" s="14"/>
      <c r="C119" s="5" t="s">
        <v>1151</v>
      </c>
      <c r="D119" t="str">
        <f t="shared" si="0"/>
        <v>Uzbek</v>
      </c>
      <c r="E119" t="str">
        <f t="shared" si="18"/>
        <v>Uzbek</v>
      </c>
      <c r="H119" s="1"/>
    </row>
    <row r="120" spans="1:8" ht="12.75" x14ac:dyDescent="0.2">
      <c r="A120" s="5" t="s">
        <v>1152</v>
      </c>
      <c r="B120" s="14"/>
      <c r="C120" s="5" t="s">
        <v>1153</v>
      </c>
      <c r="D120" t="str">
        <f t="shared" si="0"/>
        <v>Vegan</v>
      </c>
      <c r="E120" t="str">
        <f t="shared" si="18"/>
        <v>Vegan</v>
      </c>
      <c r="H120" s="1"/>
    </row>
    <row r="121" spans="1:8" ht="12.75" x14ac:dyDescent="0.2">
      <c r="A121" s="5" t="s">
        <v>1154</v>
      </c>
      <c r="B121" s="14"/>
      <c r="C121" s="5" t="s">
        <v>1155</v>
      </c>
      <c r="D121" t="str">
        <f t="shared" si="0"/>
        <v>Vegetarian</v>
      </c>
      <c r="E121" t="str">
        <f t="shared" si="18"/>
        <v>Vegetarian</v>
      </c>
      <c r="H121" s="1"/>
    </row>
    <row r="122" spans="1:8" ht="12.75" x14ac:dyDescent="0.2">
      <c r="A122" s="5" t="s">
        <v>1156</v>
      </c>
      <c r="B122" s="14"/>
      <c r="C122" s="5" t="s">
        <v>1157</v>
      </c>
      <c r="D122" t="str">
        <f t="shared" si="0"/>
        <v>Vietnamese</v>
      </c>
      <c r="E122" t="str">
        <f t="shared" si="18"/>
        <v>Vietnamese</v>
      </c>
      <c r="H122" s="1"/>
    </row>
    <row r="123" spans="1:8" ht="12.75" x14ac:dyDescent="0.2">
      <c r="G123" s="1"/>
      <c r="H123" s="1"/>
    </row>
    <row r="124" spans="1:8" ht="12.75" x14ac:dyDescent="0.2">
      <c r="G124" s="1"/>
      <c r="H124" s="1"/>
    </row>
    <row r="125" spans="1:8" ht="12.75" x14ac:dyDescent="0.2">
      <c r="G125" s="1"/>
      <c r="H125" s="1"/>
    </row>
    <row r="126" spans="1:8" ht="12.75" x14ac:dyDescent="0.2">
      <c r="G126" s="1"/>
      <c r="H126" s="1"/>
    </row>
    <row r="127" spans="1:8" ht="12.75" x14ac:dyDescent="0.2">
      <c r="G127" s="1"/>
      <c r="H127" s="1"/>
    </row>
    <row r="128" spans="1:8" ht="12.75" x14ac:dyDescent="0.2">
      <c r="G128" s="1"/>
      <c r="H128" s="1"/>
    </row>
    <row r="129" spans="7:8" ht="12.75" x14ac:dyDescent="0.2">
      <c r="G129" s="1"/>
      <c r="H129" s="1"/>
    </row>
    <row r="130" spans="7:8" ht="12.75" x14ac:dyDescent="0.2">
      <c r="G130" s="1"/>
      <c r="H130" s="1"/>
    </row>
    <row r="131" spans="7:8" ht="12.75" x14ac:dyDescent="0.2">
      <c r="G131" s="1"/>
      <c r="H131" s="1"/>
    </row>
    <row r="132" spans="7:8" ht="12.75" x14ac:dyDescent="0.2">
      <c r="G132" s="1"/>
      <c r="H132" s="1"/>
    </row>
    <row r="133" spans="7:8" ht="12.75" x14ac:dyDescent="0.2">
      <c r="G133" s="1"/>
      <c r="H133" s="1"/>
    </row>
    <row r="134" spans="7:8" ht="12.75" x14ac:dyDescent="0.2">
      <c r="G134" s="1"/>
      <c r="H134" s="1"/>
    </row>
    <row r="135" spans="7:8" ht="12.75" x14ac:dyDescent="0.2">
      <c r="G135" s="1"/>
      <c r="H135" s="1"/>
    </row>
    <row r="136" spans="7:8" ht="12.75" x14ac:dyDescent="0.2">
      <c r="G136" s="1"/>
      <c r="H136" s="1"/>
    </row>
    <row r="137" spans="7:8" ht="12.75" x14ac:dyDescent="0.2">
      <c r="G137" s="1"/>
      <c r="H137" s="1"/>
    </row>
    <row r="138" spans="7:8" ht="12.75" x14ac:dyDescent="0.2">
      <c r="G138" s="1"/>
      <c r="H138" s="1"/>
    </row>
    <row r="139" spans="7:8" ht="12.75" x14ac:dyDescent="0.2">
      <c r="G139" s="1"/>
      <c r="H139" s="1"/>
    </row>
    <row r="140" spans="7:8" ht="12.75" x14ac:dyDescent="0.2">
      <c r="G140" s="1"/>
      <c r="H140" s="1"/>
    </row>
    <row r="141" spans="7:8" ht="12.75" x14ac:dyDescent="0.2">
      <c r="G141" s="1"/>
      <c r="H141" s="1"/>
    </row>
    <row r="142" spans="7:8" ht="12.75" x14ac:dyDescent="0.2">
      <c r="G142" s="1"/>
      <c r="H142" s="1"/>
    </row>
    <row r="143" spans="7:8" ht="12.75" x14ac:dyDescent="0.2">
      <c r="G143" s="1"/>
      <c r="H143" s="1"/>
    </row>
    <row r="144" spans="7:8" ht="12.75" x14ac:dyDescent="0.2">
      <c r="G144" s="1"/>
      <c r="H144" s="1"/>
    </row>
    <row r="145" spans="7:8" ht="12.75" x14ac:dyDescent="0.2">
      <c r="G145" s="1"/>
      <c r="H145" s="1"/>
    </row>
    <row r="146" spans="7:8" ht="12.75" x14ac:dyDescent="0.2">
      <c r="G146" s="1"/>
      <c r="H146" s="1"/>
    </row>
    <row r="147" spans="7:8" ht="12.75" x14ac:dyDescent="0.2">
      <c r="G147" s="1"/>
      <c r="H147" s="1"/>
    </row>
    <row r="148" spans="7:8" ht="12.75" x14ac:dyDescent="0.2">
      <c r="G148" s="1"/>
      <c r="H148" s="1"/>
    </row>
    <row r="149" spans="7:8" ht="12.75" x14ac:dyDescent="0.2">
      <c r="G149" s="1"/>
      <c r="H149" s="1"/>
    </row>
    <row r="150" spans="7:8" ht="12.75" x14ac:dyDescent="0.2">
      <c r="G150" s="1"/>
      <c r="H150" s="1"/>
    </row>
    <row r="151" spans="7:8" ht="12.75" x14ac:dyDescent="0.2">
      <c r="G151" s="1"/>
      <c r="H151" s="1"/>
    </row>
    <row r="152" spans="7:8" ht="12.75" x14ac:dyDescent="0.2">
      <c r="G152" s="1"/>
      <c r="H152" s="1"/>
    </row>
    <row r="153" spans="7:8" ht="12.75" x14ac:dyDescent="0.2">
      <c r="G153" s="1"/>
      <c r="H153" s="1"/>
    </row>
    <row r="154" spans="7:8" ht="12.75" x14ac:dyDescent="0.2">
      <c r="G154" s="1"/>
      <c r="H154" s="1"/>
    </row>
    <row r="155" spans="7:8" ht="12.75" x14ac:dyDescent="0.2">
      <c r="G155" s="1"/>
      <c r="H155" s="1"/>
    </row>
    <row r="156" spans="7:8" ht="12.75" x14ac:dyDescent="0.2">
      <c r="G156" s="1"/>
      <c r="H156" s="1"/>
    </row>
    <row r="157" spans="7:8" ht="12.75" x14ac:dyDescent="0.2">
      <c r="G157" s="1"/>
      <c r="H157" s="1"/>
    </row>
    <row r="158" spans="7:8" ht="12.75" x14ac:dyDescent="0.2">
      <c r="G158" s="1"/>
      <c r="H158" s="1"/>
    </row>
    <row r="159" spans="7:8" ht="12.75" x14ac:dyDescent="0.2">
      <c r="G159" s="1"/>
      <c r="H159" s="1"/>
    </row>
    <row r="160" spans="7:8" ht="12.75" x14ac:dyDescent="0.2">
      <c r="G160" s="1"/>
      <c r="H160" s="1"/>
    </row>
    <row r="161" spans="7:8" ht="12.75" x14ac:dyDescent="0.2">
      <c r="G161" s="1"/>
      <c r="H161" s="1"/>
    </row>
    <row r="162" spans="7:8" ht="12.75" x14ac:dyDescent="0.2">
      <c r="G162" s="1"/>
      <c r="H162" s="1"/>
    </row>
    <row r="163" spans="7:8" ht="12.75" x14ac:dyDescent="0.2">
      <c r="G163" s="1"/>
      <c r="H163" s="1"/>
    </row>
    <row r="164" spans="7:8" ht="12.75" x14ac:dyDescent="0.2">
      <c r="G164" s="1"/>
      <c r="H164" s="1"/>
    </row>
    <row r="165" spans="7:8" ht="12.75" x14ac:dyDescent="0.2">
      <c r="G165" s="1"/>
      <c r="H165" s="1"/>
    </row>
    <row r="166" spans="7:8" ht="12.75" x14ac:dyDescent="0.2">
      <c r="G166" s="1"/>
      <c r="H166" s="1"/>
    </row>
    <row r="167" spans="7:8" ht="12.75" x14ac:dyDescent="0.2">
      <c r="G167" s="1"/>
      <c r="H167" s="1"/>
    </row>
    <row r="168" spans="7:8" ht="12.75" x14ac:dyDescent="0.2">
      <c r="G168" s="1"/>
      <c r="H168" s="1"/>
    </row>
    <row r="169" spans="7:8" ht="12.75" x14ac:dyDescent="0.2">
      <c r="G169" s="1"/>
      <c r="H169" s="1"/>
    </row>
    <row r="170" spans="7:8" ht="12.75" x14ac:dyDescent="0.2">
      <c r="G170" s="1"/>
      <c r="H170" s="1"/>
    </row>
    <row r="171" spans="7:8" ht="12.75" x14ac:dyDescent="0.2">
      <c r="G171" s="1"/>
      <c r="H171" s="1"/>
    </row>
    <row r="172" spans="7:8" ht="12.75" x14ac:dyDescent="0.2">
      <c r="G172" s="1"/>
      <c r="H172" s="1"/>
    </row>
    <row r="173" spans="7:8" ht="12.75" x14ac:dyDescent="0.2">
      <c r="G173" s="1"/>
      <c r="H173" s="1"/>
    </row>
    <row r="174" spans="7:8" ht="12.75" x14ac:dyDescent="0.2">
      <c r="G174" s="1"/>
      <c r="H174" s="1"/>
    </row>
    <row r="175" spans="7:8" ht="12.75" x14ac:dyDescent="0.2">
      <c r="G175" s="1"/>
      <c r="H175" s="1"/>
    </row>
    <row r="176" spans="7:8" ht="12.75" x14ac:dyDescent="0.2">
      <c r="G176" s="1"/>
      <c r="H176" s="1"/>
    </row>
    <row r="177" spans="7:8" ht="12.75" x14ac:dyDescent="0.2">
      <c r="G177" s="1"/>
      <c r="H177" s="1"/>
    </row>
    <row r="178" spans="7:8" ht="12.75" x14ac:dyDescent="0.2">
      <c r="G178" s="1"/>
      <c r="H178" s="1"/>
    </row>
    <row r="179" spans="7:8" ht="12.75" x14ac:dyDescent="0.2">
      <c r="G179" s="1"/>
      <c r="H179" s="1"/>
    </row>
    <row r="180" spans="7:8" ht="12.75" x14ac:dyDescent="0.2">
      <c r="G180" s="1"/>
      <c r="H180" s="1"/>
    </row>
    <row r="181" spans="7:8" ht="12.75" x14ac:dyDescent="0.2">
      <c r="G181" s="1"/>
      <c r="H181" s="1"/>
    </row>
    <row r="182" spans="7:8" ht="12.75" x14ac:dyDescent="0.2">
      <c r="G182" s="1"/>
      <c r="H182" s="1"/>
    </row>
    <row r="183" spans="7:8" ht="12.75" x14ac:dyDescent="0.2">
      <c r="G183" s="1"/>
      <c r="H183" s="1"/>
    </row>
    <row r="184" spans="7:8" ht="12.75" x14ac:dyDescent="0.2">
      <c r="G184" s="1"/>
      <c r="H184" s="1"/>
    </row>
    <row r="185" spans="7:8" ht="12.75" x14ac:dyDescent="0.2">
      <c r="G185" s="1"/>
      <c r="H185" s="1"/>
    </row>
    <row r="186" spans="7:8" ht="12.75" x14ac:dyDescent="0.2">
      <c r="G186" s="1"/>
      <c r="H186" s="1"/>
    </row>
    <row r="187" spans="7:8" ht="12.75" x14ac:dyDescent="0.2">
      <c r="G187" s="1"/>
      <c r="H187" s="1"/>
    </row>
    <row r="188" spans="7:8" ht="12.75" x14ac:dyDescent="0.2">
      <c r="G188" s="1"/>
      <c r="H188" s="1"/>
    </row>
    <row r="189" spans="7:8" ht="12.75" x14ac:dyDescent="0.2">
      <c r="G189" s="1"/>
      <c r="H189" s="1"/>
    </row>
    <row r="190" spans="7:8" ht="12.75" x14ac:dyDescent="0.2">
      <c r="G190" s="1"/>
      <c r="H190" s="1"/>
    </row>
    <row r="191" spans="7:8" ht="12.75" x14ac:dyDescent="0.2">
      <c r="G191" s="1"/>
      <c r="H191" s="1"/>
    </row>
    <row r="192" spans="7:8" ht="12.75" x14ac:dyDescent="0.2">
      <c r="G192" s="1"/>
      <c r="H192" s="1"/>
    </row>
    <row r="193" spans="7:8" ht="12.75" x14ac:dyDescent="0.2">
      <c r="G193" s="1"/>
      <c r="H193" s="1"/>
    </row>
    <row r="194" spans="7:8" ht="12.75" x14ac:dyDescent="0.2">
      <c r="G194" s="1"/>
      <c r="H194" s="1"/>
    </row>
    <row r="195" spans="7:8" ht="12.75" x14ac:dyDescent="0.2">
      <c r="G195" s="1"/>
      <c r="H195" s="1"/>
    </row>
    <row r="196" spans="7:8" ht="12.75" x14ac:dyDescent="0.2">
      <c r="G196" s="1"/>
      <c r="H196" s="1"/>
    </row>
    <row r="197" spans="7:8" ht="12.75" x14ac:dyDescent="0.2">
      <c r="G197" s="1"/>
      <c r="H197" s="1"/>
    </row>
    <row r="198" spans="7:8" ht="12.75" x14ac:dyDescent="0.2">
      <c r="G198" s="1"/>
      <c r="H198" s="1"/>
    </row>
    <row r="199" spans="7:8" ht="12.75" x14ac:dyDescent="0.2">
      <c r="G199" s="1"/>
      <c r="H199" s="1"/>
    </row>
    <row r="200" spans="7:8" ht="12.75" x14ac:dyDescent="0.2">
      <c r="G200" s="1"/>
      <c r="H200" s="1"/>
    </row>
    <row r="201" spans="7:8" ht="12.75" x14ac:dyDescent="0.2">
      <c r="G201" s="1"/>
      <c r="H201" s="1"/>
    </row>
    <row r="202" spans="7:8" ht="12.75" x14ac:dyDescent="0.2">
      <c r="G202" s="1"/>
      <c r="H202" s="1"/>
    </row>
    <row r="203" spans="7:8" ht="12.75" x14ac:dyDescent="0.2">
      <c r="G203" s="1"/>
      <c r="H203" s="1"/>
    </row>
    <row r="204" spans="7:8" ht="12.75" x14ac:dyDescent="0.2">
      <c r="G204" s="1"/>
      <c r="H204" s="1"/>
    </row>
    <row r="205" spans="7:8" ht="12.75" x14ac:dyDescent="0.2">
      <c r="G205" s="1"/>
      <c r="H205" s="1"/>
    </row>
    <row r="206" spans="7:8" ht="12.75" x14ac:dyDescent="0.2">
      <c r="G206" s="1"/>
      <c r="H206" s="1"/>
    </row>
    <row r="207" spans="7:8" ht="12.75" x14ac:dyDescent="0.2">
      <c r="G207" s="1"/>
      <c r="H207" s="1"/>
    </row>
    <row r="208" spans="7:8" ht="12.75" x14ac:dyDescent="0.2">
      <c r="G208" s="1"/>
      <c r="H208" s="1"/>
    </row>
    <row r="209" spans="7:8" ht="12.75" x14ac:dyDescent="0.2">
      <c r="G209" s="1"/>
      <c r="H209" s="1"/>
    </row>
    <row r="210" spans="7:8" ht="12.75" x14ac:dyDescent="0.2">
      <c r="G210" s="1"/>
      <c r="H210" s="1"/>
    </row>
    <row r="211" spans="7:8" ht="12.75" x14ac:dyDescent="0.2">
      <c r="G211" s="1"/>
      <c r="H211" s="1"/>
    </row>
    <row r="212" spans="7:8" ht="12.75" x14ac:dyDescent="0.2">
      <c r="G212" s="1"/>
      <c r="H212" s="1"/>
    </row>
    <row r="213" spans="7:8" ht="12.75" x14ac:dyDescent="0.2">
      <c r="G213" s="1"/>
      <c r="H213" s="1"/>
    </row>
    <row r="214" spans="7:8" ht="12.75" x14ac:dyDescent="0.2">
      <c r="G214" s="1"/>
      <c r="H214" s="1"/>
    </row>
    <row r="215" spans="7:8" ht="12.75" x14ac:dyDescent="0.2">
      <c r="G215" s="1"/>
      <c r="H215" s="1"/>
    </row>
    <row r="216" spans="7:8" ht="12.75" x14ac:dyDescent="0.2">
      <c r="G216" s="1"/>
      <c r="H216" s="1"/>
    </row>
    <row r="217" spans="7:8" ht="12.75" x14ac:dyDescent="0.2">
      <c r="G217" s="1"/>
      <c r="H217" s="1"/>
    </row>
    <row r="218" spans="7:8" ht="12.75" x14ac:dyDescent="0.2">
      <c r="G218" s="1"/>
      <c r="H218" s="1"/>
    </row>
    <row r="219" spans="7:8" ht="12.75" x14ac:dyDescent="0.2">
      <c r="G219" s="1"/>
      <c r="H219" s="1"/>
    </row>
    <row r="220" spans="7:8" ht="12.75" x14ac:dyDescent="0.2">
      <c r="G220" s="1"/>
      <c r="H220" s="1"/>
    </row>
    <row r="221" spans="7:8" ht="12.75" x14ac:dyDescent="0.2">
      <c r="G221" s="1"/>
      <c r="H221" s="1"/>
    </row>
    <row r="222" spans="7:8" ht="12.75" x14ac:dyDescent="0.2">
      <c r="G222" s="1"/>
      <c r="H222" s="1"/>
    </row>
    <row r="223" spans="7:8" ht="12.75" x14ac:dyDescent="0.2">
      <c r="G223" s="1"/>
      <c r="H223" s="1"/>
    </row>
    <row r="224" spans="7:8" ht="12.75" x14ac:dyDescent="0.2">
      <c r="G224" s="1"/>
      <c r="H224" s="1"/>
    </row>
    <row r="225" spans="7:8" ht="12.75" x14ac:dyDescent="0.2">
      <c r="G225" s="1"/>
      <c r="H225" s="1"/>
    </row>
    <row r="226" spans="7:8" ht="12.75" x14ac:dyDescent="0.2">
      <c r="G226" s="1"/>
      <c r="H226" s="1"/>
    </row>
    <row r="227" spans="7:8" ht="12.75" x14ac:dyDescent="0.2">
      <c r="G227" s="1"/>
      <c r="H227" s="1"/>
    </row>
    <row r="228" spans="7:8" ht="12.75" x14ac:dyDescent="0.2">
      <c r="G228" s="1"/>
      <c r="H228" s="1"/>
    </row>
    <row r="229" spans="7:8" ht="12.75" x14ac:dyDescent="0.2">
      <c r="G229" s="1"/>
      <c r="H229" s="1"/>
    </row>
    <row r="230" spans="7:8" ht="12.75" x14ac:dyDescent="0.2">
      <c r="G230" s="1"/>
      <c r="H230" s="1"/>
    </row>
    <row r="231" spans="7:8" ht="12.75" x14ac:dyDescent="0.2">
      <c r="G231" s="1"/>
      <c r="H231" s="1"/>
    </row>
    <row r="232" spans="7:8" ht="12.75" x14ac:dyDescent="0.2">
      <c r="G232" s="1"/>
      <c r="H232" s="1"/>
    </row>
    <row r="233" spans="7:8" ht="12.75" x14ac:dyDescent="0.2">
      <c r="G233" s="1"/>
      <c r="H233" s="1"/>
    </row>
    <row r="234" spans="7:8" ht="12.75" x14ac:dyDescent="0.2">
      <c r="G234" s="1"/>
      <c r="H234" s="1"/>
    </row>
    <row r="235" spans="7:8" ht="12.75" x14ac:dyDescent="0.2">
      <c r="G235" s="1"/>
      <c r="H235" s="1"/>
    </row>
    <row r="236" spans="7:8" ht="12.75" x14ac:dyDescent="0.2">
      <c r="G236" s="1"/>
      <c r="H236" s="1"/>
    </row>
    <row r="237" spans="7:8" ht="12.75" x14ac:dyDescent="0.2">
      <c r="G237" s="1"/>
      <c r="H237" s="1"/>
    </row>
    <row r="238" spans="7:8" ht="12.75" x14ac:dyDescent="0.2">
      <c r="G238" s="1"/>
      <c r="H238" s="1"/>
    </row>
    <row r="239" spans="7:8" ht="12.75" x14ac:dyDescent="0.2">
      <c r="G239" s="1"/>
      <c r="H239" s="1"/>
    </row>
    <row r="240" spans="7:8" ht="12.75" x14ac:dyDescent="0.2">
      <c r="G240" s="1"/>
      <c r="H240" s="1"/>
    </row>
    <row r="241" spans="7:7" ht="12.75" x14ac:dyDescent="0.2">
      <c r="G241" s="1"/>
    </row>
  </sheetData>
  <autoFilter ref="G1:M79"/>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000"/>
  <sheetViews>
    <sheetView topLeftCell="A207" workbookViewId="0">
      <selection activeCell="F252" sqref="F252:F253"/>
    </sheetView>
  </sheetViews>
  <sheetFormatPr defaultColWidth="14.42578125" defaultRowHeight="15.75" customHeight="1" x14ac:dyDescent="0.2"/>
  <cols>
    <col min="1" max="1" width="17.140625" customWidth="1"/>
  </cols>
  <sheetData>
    <row r="1" spans="1:4" ht="15.75" customHeight="1" x14ac:dyDescent="0.2">
      <c r="A1" s="16" t="s">
        <v>34</v>
      </c>
      <c r="B1" s="16" t="s">
        <v>146</v>
      </c>
      <c r="C1" s="16" t="s">
        <v>147</v>
      </c>
      <c r="D1" s="16" t="s">
        <v>148</v>
      </c>
    </row>
    <row r="2" spans="1:4" ht="15.75" customHeight="1" x14ac:dyDescent="0.2">
      <c r="A2" s="17" t="s">
        <v>149</v>
      </c>
      <c r="B2" s="17" t="s">
        <v>151</v>
      </c>
      <c r="C2" s="19">
        <v>34.53</v>
      </c>
      <c r="D2" s="19">
        <v>69.17</v>
      </c>
    </row>
    <row r="3" spans="1:4" ht="15.75" customHeight="1" x14ac:dyDescent="0.2">
      <c r="A3" s="17" t="s">
        <v>160</v>
      </c>
      <c r="B3" s="17" t="s">
        <v>161</v>
      </c>
      <c r="C3" s="19">
        <v>41.33</v>
      </c>
      <c r="D3" s="19">
        <v>19.82</v>
      </c>
    </row>
    <row r="4" spans="1:4" ht="15.75" customHeight="1" x14ac:dyDescent="0.2">
      <c r="A4" s="17" t="s">
        <v>162</v>
      </c>
      <c r="B4" s="17" t="s">
        <v>163</v>
      </c>
      <c r="C4" s="19">
        <v>36.75</v>
      </c>
      <c r="D4" s="19">
        <v>3.04</v>
      </c>
    </row>
    <row r="5" spans="1:4" ht="15.75" customHeight="1" x14ac:dyDescent="0.2">
      <c r="A5" s="17" t="s">
        <v>164</v>
      </c>
      <c r="B5" s="17" t="s">
        <v>165</v>
      </c>
      <c r="C5" s="19">
        <v>-14.28</v>
      </c>
      <c r="D5" s="19">
        <v>-170.7</v>
      </c>
    </row>
    <row r="6" spans="1:4" ht="15.75" customHeight="1" x14ac:dyDescent="0.2">
      <c r="A6" s="17" t="s">
        <v>166</v>
      </c>
      <c r="B6" s="17" t="s">
        <v>167</v>
      </c>
      <c r="C6" s="19">
        <v>42.51</v>
      </c>
      <c r="D6" s="19">
        <v>1.52</v>
      </c>
    </row>
    <row r="7" spans="1:4" ht="15.75" customHeight="1" x14ac:dyDescent="0.2">
      <c r="A7" s="17" t="s">
        <v>168</v>
      </c>
      <c r="B7" s="17" t="s">
        <v>169</v>
      </c>
      <c r="C7" s="19">
        <v>-8.84</v>
      </c>
      <c r="D7" s="19">
        <v>13.23</v>
      </c>
    </row>
    <row r="8" spans="1:4" ht="15.75" customHeight="1" x14ac:dyDescent="0.2">
      <c r="A8" s="17" t="s">
        <v>170</v>
      </c>
      <c r="B8" s="17" t="s">
        <v>171</v>
      </c>
      <c r="C8" s="19">
        <v>18.22</v>
      </c>
      <c r="D8" s="19">
        <v>-63.06</v>
      </c>
    </row>
    <row r="9" spans="1:4" ht="15.75" customHeight="1" x14ac:dyDescent="0.2">
      <c r="A9" s="17" t="s">
        <v>172</v>
      </c>
      <c r="B9" s="17" t="s">
        <v>173</v>
      </c>
      <c r="C9" s="19">
        <v>17.12</v>
      </c>
      <c r="D9" s="19">
        <v>-61.85</v>
      </c>
    </row>
    <row r="10" spans="1:4" ht="15.75" customHeight="1" x14ac:dyDescent="0.2">
      <c r="A10" s="17" t="s">
        <v>174</v>
      </c>
      <c r="B10" s="17" t="s">
        <v>175</v>
      </c>
      <c r="C10" s="19">
        <v>-34.61</v>
      </c>
      <c r="D10" s="19">
        <v>-58.38</v>
      </c>
    </row>
    <row r="11" spans="1:4" ht="15.75" customHeight="1" x14ac:dyDescent="0.2">
      <c r="A11" s="17" t="s">
        <v>176</v>
      </c>
      <c r="B11" s="17" t="s">
        <v>177</v>
      </c>
      <c r="C11" s="19">
        <v>40.18</v>
      </c>
      <c r="D11" s="19">
        <v>44.51</v>
      </c>
    </row>
    <row r="12" spans="1:4" ht="15.75" customHeight="1" x14ac:dyDescent="0.2">
      <c r="A12" s="17" t="s">
        <v>178</v>
      </c>
      <c r="B12" s="17" t="s">
        <v>179</v>
      </c>
      <c r="C12" s="19">
        <v>12.52</v>
      </c>
      <c r="D12" s="19">
        <v>-70.03</v>
      </c>
    </row>
    <row r="13" spans="1:4" ht="15.75" customHeight="1" x14ac:dyDescent="0.2">
      <c r="A13" s="17" t="s">
        <v>180</v>
      </c>
      <c r="B13" s="17" t="s">
        <v>181</v>
      </c>
      <c r="C13" s="19">
        <v>-35.28</v>
      </c>
      <c r="D13" s="19">
        <v>149.13</v>
      </c>
    </row>
    <row r="14" spans="1:4" ht="15.75" customHeight="1" x14ac:dyDescent="0.2">
      <c r="A14" s="17" t="s">
        <v>182</v>
      </c>
      <c r="B14" s="17" t="s">
        <v>183</v>
      </c>
      <c r="C14" s="19">
        <v>48.21</v>
      </c>
      <c r="D14" s="19">
        <v>16.37</v>
      </c>
    </row>
    <row r="15" spans="1:4" ht="15.75" customHeight="1" x14ac:dyDescent="0.2">
      <c r="A15" s="17" t="s">
        <v>184</v>
      </c>
      <c r="B15" s="17" t="s">
        <v>185</v>
      </c>
      <c r="C15" s="19">
        <v>40.380000000000003</v>
      </c>
      <c r="D15" s="19">
        <v>49.89</v>
      </c>
    </row>
    <row r="16" spans="1:4" ht="15.75" customHeight="1" x14ac:dyDescent="0.2">
      <c r="A16" s="17" t="s">
        <v>186</v>
      </c>
      <c r="B16" s="17" t="s">
        <v>187</v>
      </c>
      <c r="C16" s="19">
        <v>25.06</v>
      </c>
      <c r="D16" s="19">
        <v>-77.34</v>
      </c>
    </row>
    <row r="17" spans="1:4" ht="15.75" customHeight="1" x14ac:dyDescent="0.2">
      <c r="A17" s="17" t="s">
        <v>188</v>
      </c>
      <c r="B17" s="17" t="s">
        <v>189</v>
      </c>
      <c r="C17" s="19">
        <v>26.22</v>
      </c>
      <c r="D17" s="19">
        <v>50.58</v>
      </c>
    </row>
    <row r="18" spans="1:4" ht="15.75" customHeight="1" x14ac:dyDescent="0.2">
      <c r="A18" s="17" t="s">
        <v>190</v>
      </c>
      <c r="B18" s="17" t="s">
        <v>191</v>
      </c>
      <c r="C18" s="19">
        <v>23.71</v>
      </c>
      <c r="D18" s="19">
        <v>90.41</v>
      </c>
    </row>
    <row r="19" spans="1:4" ht="15.75" customHeight="1" x14ac:dyDescent="0.2">
      <c r="A19" s="17" t="s">
        <v>194</v>
      </c>
      <c r="B19" s="17" t="s">
        <v>195</v>
      </c>
      <c r="C19" s="19">
        <v>13.1</v>
      </c>
      <c r="D19" s="19">
        <v>-59.62</v>
      </c>
    </row>
    <row r="20" spans="1:4" ht="15.75" customHeight="1" x14ac:dyDescent="0.2">
      <c r="A20" s="17" t="s">
        <v>199</v>
      </c>
      <c r="B20" s="17" t="s">
        <v>201</v>
      </c>
      <c r="C20" s="19">
        <v>53.9</v>
      </c>
      <c r="D20" s="19">
        <v>27.57</v>
      </c>
    </row>
    <row r="21" spans="1:4" ht="15.75" customHeight="1" x14ac:dyDescent="0.2">
      <c r="A21" s="17" t="s">
        <v>204</v>
      </c>
      <c r="B21" s="17" t="s">
        <v>205</v>
      </c>
      <c r="C21" s="19">
        <v>50.85</v>
      </c>
      <c r="D21" s="19">
        <v>4.3499999999999996</v>
      </c>
    </row>
    <row r="22" spans="1:4" ht="15.75" customHeight="1" x14ac:dyDescent="0.2">
      <c r="A22" s="17" t="s">
        <v>209</v>
      </c>
      <c r="B22" s="17" t="s">
        <v>210</v>
      </c>
      <c r="C22" s="19">
        <v>17.25</v>
      </c>
      <c r="D22" s="19">
        <v>-88.77</v>
      </c>
    </row>
    <row r="23" spans="1:4" ht="15.75" customHeight="1" x14ac:dyDescent="0.2">
      <c r="A23" s="17" t="s">
        <v>214</v>
      </c>
      <c r="B23" s="17" t="s">
        <v>215</v>
      </c>
      <c r="C23" s="19">
        <v>6.5</v>
      </c>
      <c r="D23" s="19">
        <v>2.6</v>
      </c>
    </row>
    <row r="24" spans="1:4" ht="15.75" customHeight="1" x14ac:dyDescent="0.2">
      <c r="A24" s="17" t="s">
        <v>219</v>
      </c>
      <c r="B24" s="17" t="s">
        <v>220</v>
      </c>
      <c r="C24" s="19">
        <v>32.29</v>
      </c>
      <c r="D24" s="19">
        <v>-64.78</v>
      </c>
    </row>
    <row r="25" spans="1:4" ht="15.75" customHeight="1" x14ac:dyDescent="0.2">
      <c r="A25" s="17" t="s">
        <v>224</v>
      </c>
      <c r="B25" s="17" t="s">
        <v>226</v>
      </c>
      <c r="C25" s="19">
        <v>27.47</v>
      </c>
      <c r="D25" s="19">
        <v>89.64</v>
      </c>
    </row>
    <row r="26" spans="1:4" ht="15.75" customHeight="1" x14ac:dyDescent="0.2">
      <c r="A26" s="17" t="s">
        <v>229</v>
      </c>
      <c r="B26" s="17" t="s">
        <v>231</v>
      </c>
      <c r="C26" s="19">
        <v>-19.03</v>
      </c>
      <c r="D26" s="19">
        <v>-65.260000000000005</v>
      </c>
    </row>
    <row r="27" spans="1:4" ht="15.75" customHeight="1" x14ac:dyDescent="0.2">
      <c r="A27" s="17" t="s">
        <v>235</v>
      </c>
      <c r="B27" s="17" t="s">
        <v>236</v>
      </c>
      <c r="C27" s="19">
        <v>43.85</v>
      </c>
      <c r="D27" s="19">
        <v>18.36</v>
      </c>
    </row>
    <row r="28" spans="1:4" ht="15.75" customHeight="1" x14ac:dyDescent="0.2">
      <c r="A28" s="17" t="s">
        <v>240</v>
      </c>
      <c r="B28" s="17" t="s">
        <v>241</v>
      </c>
      <c r="C28" s="19">
        <v>-24.65</v>
      </c>
      <c r="D28" s="19">
        <v>25.91</v>
      </c>
    </row>
    <row r="29" spans="1:4" ht="15.75" customHeight="1" x14ac:dyDescent="0.2">
      <c r="A29" s="17" t="s">
        <v>246</v>
      </c>
      <c r="B29" s="17" t="s">
        <v>248</v>
      </c>
      <c r="C29" s="19">
        <v>-15.78</v>
      </c>
      <c r="D29" s="19">
        <v>-47.93</v>
      </c>
    </row>
    <row r="30" spans="1:4" ht="15.75" customHeight="1" x14ac:dyDescent="0.2">
      <c r="A30" s="17" t="s">
        <v>269</v>
      </c>
      <c r="B30" s="17" t="s">
        <v>271</v>
      </c>
      <c r="C30" s="19">
        <v>72.459999999999994</v>
      </c>
      <c r="D30" s="19">
        <v>7.24</v>
      </c>
    </row>
    <row r="31" spans="1:4" ht="15.75" customHeight="1" x14ac:dyDescent="0.2">
      <c r="A31" s="17" t="s">
        <v>276</v>
      </c>
      <c r="B31" s="17" t="s">
        <v>278</v>
      </c>
      <c r="C31" s="19">
        <v>18.420000000000002</v>
      </c>
      <c r="D31" s="19">
        <v>-64.62</v>
      </c>
    </row>
    <row r="32" spans="1:4" ht="15.75" customHeight="1" x14ac:dyDescent="0.2">
      <c r="A32" s="17" t="s">
        <v>282</v>
      </c>
      <c r="B32" s="17" t="s">
        <v>284</v>
      </c>
      <c r="C32" s="19">
        <v>4.9400000000000004</v>
      </c>
      <c r="D32" s="19">
        <v>114.95</v>
      </c>
    </row>
    <row r="33" spans="1:4" ht="15.75" customHeight="1" x14ac:dyDescent="0.2">
      <c r="A33" s="17" t="s">
        <v>288</v>
      </c>
      <c r="B33" s="17" t="s">
        <v>290</v>
      </c>
      <c r="C33" s="19">
        <v>42.7</v>
      </c>
      <c r="D33" s="19">
        <v>23.32</v>
      </c>
    </row>
    <row r="34" spans="1:4" ht="15.75" customHeight="1" x14ac:dyDescent="0.2">
      <c r="A34" s="17" t="s">
        <v>305</v>
      </c>
      <c r="B34" s="17" t="s">
        <v>307</v>
      </c>
      <c r="C34" s="19">
        <v>12.37</v>
      </c>
      <c r="D34" s="19">
        <v>-1.53</v>
      </c>
    </row>
    <row r="35" spans="1:4" ht="15.75" customHeight="1" x14ac:dyDescent="0.2">
      <c r="A35" s="17" t="s">
        <v>311</v>
      </c>
      <c r="B35" s="17" t="s">
        <v>313</v>
      </c>
      <c r="C35" s="19">
        <v>-3.38</v>
      </c>
      <c r="D35" s="19">
        <v>29.36</v>
      </c>
    </row>
    <row r="36" spans="1:4" ht="15.75" customHeight="1" x14ac:dyDescent="0.2">
      <c r="A36" s="17" t="s">
        <v>314</v>
      </c>
      <c r="B36" s="17" t="s">
        <v>316</v>
      </c>
      <c r="C36" s="19">
        <v>11.56</v>
      </c>
      <c r="D36" s="19">
        <v>104.92</v>
      </c>
    </row>
    <row r="37" spans="1:4" ht="15.75" customHeight="1" x14ac:dyDescent="0.2">
      <c r="A37" s="17" t="s">
        <v>319</v>
      </c>
      <c r="B37" s="17" t="s">
        <v>321</v>
      </c>
      <c r="C37" s="19">
        <v>3.87</v>
      </c>
      <c r="D37" s="19">
        <v>11.52</v>
      </c>
    </row>
    <row r="38" spans="1:4" ht="15.75" customHeight="1" x14ac:dyDescent="0.2">
      <c r="A38" s="17" t="s">
        <v>323</v>
      </c>
      <c r="B38" s="17" t="s">
        <v>324</v>
      </c>
      <c r="C38" s="19">
        <v>45.41</v>
      </c>
      <c r="D38" s="19">
        <v>-75.7</v>
      </c>
    </row>
    <row r="39" spans="1:4" ht="15.75" customHeight="1" x14ac:dyDescent="0.2">
      <c r="A39" s="17" t="s">
        <v>328</v>
      </c>
      <c r="B39" s="17" t="s">
        <v>329</v>
      </c>
      <c r="C39" s="19">
        <v>14.93</v>
      </c>
      <c r="D39" s="19">
        <v>-23.51</v>
      </c>
    </row>
    <row r="40" spans="1:4" ht="15.75" customHeight="1" x14ac:dyDescent="0.2">
      <c r="A40" s="17" t="s">
        <v>331</v>
      </c>
      <c r="B40" s="17" t="s">
        <v>332</v>
      </c>
      <c r="C40" s="19">
        <v>19.29</v>
      </c>
      <c r="D40" s="19">
        <v>-81.37</v>
      </c>
    </row>
    <row r="41" spans="1:4" ht="15.75" customHeight="1" x14ac:dyDescent="0.2">
      <c r="A41" s="17" t="s">
        <v>333</v>
      </c>
      <c r="B41" s="17" t="s">
        <v>334</v>
      </c>
      <c r="C41" s="19">
        <v>4.3600000000000003</v>
      </c>
      <c r="D41" s="19">
        <v>18.55</v>
      </c>
    </row>
    <row r="42" spans="1:4" ht="15.75" customHeight="1" x14ac:dyDescent="0.2">
      <c r="A42" s="17" t="s">
        <v>336</v>
      </c>
      <c r="B42" s="17" t="s">
        <v>338</v>
      </c>
      <c r="C42" s="19">
        <v>12.11</v>
      </c>
      <c r="D42" s="19">
        <v>15.04</v>
      </c>
    </row>
    <row r="43" spans="1:4" ht="15.75" customHeight="1" x14ac:dyDescent="0.2">
      <c r="A43" s="17" t="s">
        <v>340</v>
      </c>
      <c r="B43" s="17" t="s">
        <v>341</v>
      </c>
      <c r="C43" s="19">
        <v>-33.46</v>
      </c>
      <c r="D43" s="19">
        <v>-70.650000000000006</v>
      </c>
    </row>
    <row r="44" spans="1:4" ht="12.75" x14ac:dyDescent="0.2">
      <c r="A44" s="17" t="s">
        <v>343</v>
      </c>
      <c r="B44" s="17" t="s">
        <v>344</v>
      </c>
      <c r="C44" s="19">
        <v>39.909999999999997</v>
      </c>
      <c r="D44" s="19">
        <v>116.4</v>
      </c>
    </row>
    <row r="45" spans="1:4" ht="12.75" x14ac:dyDescent="0.2">
      <c r="A45" s="17" t="s">
        <v>347</v>
      </c>
      <c r="B45" s="17" t="s">
        <v>348</v>
      </c>
      <c r="C45" s="19">
        <v>-10.42</v>
      </c>
      <c r="D45" s="19">
        <v>105.68</v>
      </c>
    </row>
    <row r="46" spans="1:4" ht="12.75" x14ac:dyDescent="0.2">
      <c r="A46" s="17" t="s">
        <v>352</v>
      </c>
      <c r="B46" s="17" t="s">
        <v>354</v>
      </c>
      <c r="C46" s="19">
        <v>-12.16</v>
      </c>
      <c r="D46" s="19">
        <v>96.82</v>
      </c>
    </row>
    <row r="47" spans="1:4" ht="12.75" x14ac:dyDescent="0.2">
      <c r="A47" s="17" t="s">
        <v>357</v>
      </c>
      <c r="B47" s="17" t="s">
        <v>360</v>
      </c>
      <c r="C47" s="19">
        <v>4.6100000000000003</v>
      </c>
      <c r="D47" s="19">
        <v>-74.08</v>
      </c>
    </row>
    <row r="48" spans="1:4" ht="12.75" x14ac:dyDescent="0.2">
      <c r="A48" s="17" t="s">
        <v>363</v>
      </c>
      <c r="B48" s="17" t="s">
        <v>364</v>
      </c>
      <c r="C48" s="19">
        <v>-11.7</v>
      </c>
      <c r="D48" s="19">
        <v>43.26</v>
      </c>
    </row>
    <row r="49" spans="1:4" ht="12.75" x14ac:dyDescent="0.2">
      <c r="A49" s="17" t="s">
        <v>365</v>
      </c>
      <c r="B49" s="17" t="s">
        <v>366</v>
      </c>
      <c r="C49" s="19">
        <v>-21.21</v>
      </c>
      <c r="D49" s="19">
        <v>-159.78</v>
      </c>
    </row>
    <row r="50" spans="1:4" ht="12.75" x14ac:dyDescent="0.2">
      <c r="A50" s="17" t="s">
        <v>367</v>
      </c>
      <c r="B50" s="17" t="s">
        <v>368</v>
      </c>
      <c r="C50" s="19">
        <v>9.93</v>
      </c>
      <c r="D50" s="19">
        <v>-84.08</v>
      </c>
    </row>
    <row r="51" spans="1:4" ht="12.75" x14ac:dyDescent="0.2">
      <c r="A51" s="17" t="s">
        <v>369</v>
      </c>
      <c r="B51" s="17" t="s">
        <v>370</v>
      </c>
      <c r="C51" s="19">
        <v>45.81</v>
      </c>
      <c r="D51" s="19">
        <v>15.98</v>
      </c>
    </row>
    <row r="52" spans="1:4" ht="12.75" x14ac:dyDescent="0.2">
      <c r="A52" s="17" t="s">
        <v>372</v>
      </c>
      <c r="B52" s="17" t="s">
        <v>377</v>
      </c>
      <c r="C52" s="19">
        <v>23.13</v>
      </c>
      <c r="D52" s="19">
        <v>-82.38</v>
      </c>
    </row>
    <row r="53" spans="1:4" ht="12.75" x14ac:dyDescent="0.2">
      <c r="A53" s="17" t="s">
        <v>381</v>
      </c>
      <c r="B53" s="17" t="s">
        <v>382</v>
      </c>
      <c r="C53" s="19">
        <v>35.17</v>
      </c>
      <c r="D53" s="19">
        <v>33.369999999999997</v>
      </c>
    </row>
    <row r="54" spans="1:4" ht="12.75" x14ac:dyDescent="0.2">
      <c r="A54" s="17" t="s">
        <v>383</v>
      </c>
      <c r="B54" s="17" t="s">
        <v>384</v>
      </c>
      <c r="C54" s="19">
        <v>50.09</v>
      </c>
      <c r="D54" s="19">
        <v>14.42</v>
      </c>
    </row>
    <row r="55" spans="1:4" ht="12.75" x14ac:dyDescent="0.2">
      <c r="A55" s="17" t="s">
        <v>385</v>
      </c>
      <c r="B55" s="17" t="s">
        <v>386</v>
      </c>
      <c r="C55" s="19">
        <v>-4.32</v>
      </c>
      <c r="D55" s="19">
        <v>15.31</v>
      </c>
    </row>
    <row r="56" spans="1:4" ht="12.75" x14ac:dyDescent="0.2">
      <c r="A56" s="17" t="s">
        <v>387</v>
      </c>
      <c r="B56" s="17" t="s">
        <v>388</v>
      </c>
      <c r="C56" s="19">
        <v>55.68</v>
      </c>
      <c r="D56" s="19">
        <v>12.57</v>
      </c>
    </row>
    <row r="57" spans="1:4" ht="12.75" x14ac:dyDescent="0.2">
      <c r="A57" s="17" t="s">
        <v>390</v>
      </c>
      <c r="B57" s="17" t="s">
        <v>391</v>
      </c>
      <c r="C57" s="19">
        <v>11.59</v>
      </c>
      <c r="D57" s="19">
        <v>43.15</v>
      </c>
    </row>
    <row r="58" spans="1:4" ht="12.75" x14ac:dyDescent="0.2">
      <c r="A58" s="17" t="s">
        <v>393</v>
      </c>
      <c r="B58" s="17" t="s">
        <v>394</v>
      </c>
      <c r="C58" s="19">
        <v>15.3</v>
      </c>
      <c r="D58" s="19">
        <v>-61.39</v>
      </c>
    </row>
    <row r="59" spans="1:4" ht="12.75" x14ac:dyDescent="0.2">
      <c r="A59" s="17" t="s">
        <v>397</v>
      </c>
      <c r="B59" s="17" t="s">
        <v>398</v>
      </c>
      <c r="C59" s="19">
        <v>18.5</v>
      </c>
      <c r="D59" s="19">
        <v>-69.989999999999995</v>
      </c>
    </row>
    <row r="60" spans="1:4" ht="12.75" x14ac:dyDescent="0.2">
      <c r="A60" s="17" t="s">
        <v>400</v>
      </c>
      <c r="B60" s="17" t="s">
        <v>401</v>
      </c>
      <c r="C60" s="19">
        <v>-8.56</v>
      </c>
      <c r="D60" s="19">
        <v>125.57</v>
      </c>
    </row>
    <row r="61" spans="1:4" ht="12.75" x14ac:dyDescent="0.2">
      <c r="A61" s="17" t="s">
        <v>402</v>
      </c>
      <c r="B61" s="17" t="s">
        <v>403</v>
      </c>
      <c r="C61" s="19">
        <v>-0.23</v>
      </c>
      <c r="D61" s="19">
        <v>-78.52</v>
      </c>
    </row>
    <row r="62" spans="1:4" ht="12.75" x14ac:dyDescent="0.2">
      <c r="A62" s="17" t="s">
        <v>404</v>
      </c>
      <c r="B62" s="17" t="s">
        <v>406</v>
      </c>
      <c r="C62" s="19">
        <v>30.06</v>
      </c>
      <c r="D62" s="19">
        <v>31.25</v>
      </c>
    </row>
    <row r="63" spans="1:4" ht="12.75" x14ac:dyDescent="0.2">
      <c r="A63" s="17" t="s">
        <v>408</v>
      </c>
      <c r="B63" s="17" t="s">
        <v>409</v>
      </c>
      <c r="C63" s="19">
        <v>13.69</v>
      </c>
      <c r="D63" s="19">
        <v>-89.19</v>
      </c>
    </row>
    <row r="64" spans="1:4" ht="12.75" x14ac:dyDescent="0.2">
      <c r="A64" s="17" t="s">
        <v>410</v>
      </c>
      <c r="B64" s="17" t="s">
        <v>411</v>
      </c>
      <c r="C64" s="19">
        <v>3.75</v>
      </c>
      <c r="D64" s="19">
        <v>8.7799999999999994</v>
      </c>
    </row>
    <row r="65" spans="1:4" ht="12.75" x14ac:dyDescent="0.2">
      <c r="A65" s="17" t="s">
        <v>412</v>
      </c>
      <c r="B65" s="17" t="s">
        <v>413</v>
      </c>
      <c r="C65" s="19">
        <v>15.33</v>
      </c>
      <c r="D65" s="19">
        <v>38.93</v>
      </c>
    </row>
    <row r="66" spans="1:4" ht="12.75" x14ac:dyDescent="0.2">
      <c r="A66" s="17" t="s">
        <v>414</v>
      </c>
      <c r="B66" s="17" t="s">
        <v>415</v>
      </c>
      <c r="C66" s="19">
        <v>59.44</v>
      </c>
      <c r="D66" s="19">
        <v>24.75</v>
      </c>
    </row>
    <row r="67" spans="1:4" ht="12.75" x14ac:dyDescent="0.2">
      <c r="A67" s="17" t="s">
        <v>416</v>
      </c>
      <c r="B67" s="17" t="s">
        <v>417</v>
      </c>
      <c r="C67" s="19">
        <v>9.02</v>
      </c>
      <c r="D67" s="19">
        <v>38.75</v>
      </c>
    </row>
    <row r="68" spans="1:4" ht="12.75" x14ac:dyDescent="0.2">
      <c r="A68" s="17" t="s">
        <v>418</v>
      </c>
      <c r="B68" s="17" t="s">
        <v>419</v>
      </c>
      <c r="C68" s="19">
        <v>-51.7</v>
      </c>
      <c r="D68" s="19">
        <v>-57.85</v>
      </c>
    </row>
    <row r="69" spans="1:4" ht="12.75" x14ac:dyDescent="0.2">
      <c r="A69" s="17" t="s">
        <v>421</v>
      </c>
      <c r="B69" s="17" t="s">
        <v>423</v>
      </c>
      <c r="C69" s="19">
        <v>62.01</v>
      </c>
      <c r="D69" s="19">
        <v>-6.77</v>
      </c>
    </row>
    <row r="70" spans="1:4" ht="12.75" x14ac:dyDescent="0.2">
      <c r="A70" s="17" t="s">
        <v>424</v>
      </c>
      <c r="B70" s="17" t="s">
        <v>425</v>
      </c>
      <c r="C70" s="19">
        <v>-18.14</v>
      </c>
      <c r="D70" s="19">
        <v>178.44</v>
      </c>
    </row>
    <row r="71" spans="1:4" ht="12.75" x14ac:dyDescent="0.2">
      <c r="A71" s="17" t="s">
        <v>426</v>
      </c>
      <c r="B71" s="17" t="s">
        <v>427</v>
      </c>
      <c r="C71" s="19">
        <v>60.17</v>
      </c>
      <c r="D71" s="19">
        <v>24.94</v>
      </c>
    </row>
    <row r="72" spans="1:4" ht="12.75" x14ac:dyDescent="0.2">
      <c r="A72" s="17" t="s">
        <v>428</v>
      </c>
      <c r="B72" s="17" t="s">
        <v>429</v>
      </c>
      <c r="C72" s="19">
        <v>48.85</v>
      </c>
      <c r="D72" s="19">
        <v>2.35</v>
      </c>
    </row>
    <row r="73" spans="1:4" ht="12.75" x14ac:dyDescent="0.2">
      <c r="A73" s="17" t="s">
        <v>430</v>
      </c>
      <c r="B73" s="17" t="s">
        <v>431</v>
      </c>
      <c r="C73" s="19">
        <v>4.93</v>
      </c>
      <c r="D73" s="19">
        <v>-52.33</v>
      </c>
    </row>
    <row r="74" spans="1:4" ht="12.75" x14ac:dyDescent="0.2">
      <c r="A74" s="17" t="s">
        <v>433</v>
      </c>
      <c r="B74" s="17" t="s">
        <v>434</v>
      </c>
      <c r="C74" s="19">
        <v>-17.53</v>
      </c>
      <c r="D74" s="19">
        <v>-149.57</v>
      </c>
    </row>
    <row r="75" spans="1:4" ht="12.75" x14ac:dyDescent="0.2">
      <c r="A75" s="17" t="s">
        <v>435</v>
      </c>
      <c r="B75" s="17" t="s">
        <v>436</v>
      </c>
      <c r="C75" s="19">
        <v>0.39</v>
      </c>
      <c r="D75" s="19">
        <v>9.4499999999999993</v>
      </c>
    </row>
    <row r="76" spans="1:4" ht="12.75" x14ac:dyDescent="0.2">
      <c r="A76" s="17" t="s">
        <v>437</v>
      </c>
      <c r="B76" s="17" t="s">
        <v>438</v>
      </c>
      <c r="C76" s="19">
        <v>13.45</v>
      </c>
      <c r="D76" s="19">
        <v>-16.579999999999998</v>
      </c>
    </row>
    <row r="77" spans="1:4" ht="12.75" x14ac:dyDescent="0.2">
      <c r="A77" s="17" t="s">
        <v>439</v>
      </c>
      <c r="B77" s="17" t="s">
        <v>440</v>
      </c>
      <c r="C77" s="19">
        <v>41.69</v>
      </c>
      <c r="D77" s="19">
        <v>44.83</v>
      </c>
    </row>
    <row r="78" spans="1:4" ht="12.75" x14ac:dyDescent="0.2">
      <c r="A78" s="17" t="s">
        <v>442</v>
      </c>
      <c r="B78" s="17" t="s">
        <v>443</v>
      </c>
      <c r="C78" s="19">
        <v>52.52</v>
      </c>
      <c r="D78" s="19">
        <v>13.41</v>
      </c>
    </row>
    <row r="79" spans="1:4" ht="12.75" x14ac:dyDescent="0.2">
      <c r="A79" s="17" t="s">
        <v>444</v>
      </c>
      <c r="B79" s="17" t="s">
        <v>445</v>
      </c>
      <c r="C79" s="19">
        <v>5.56</v>
      </c>
      <c r="D79" s="19">
        <v>-0.2</v>
      </c>
    </row>
    <row r="80" spans="1:4" ht="12.75" x14ac:dyDescent="0.2">
      <c r="A80" s="17" t="s">
        <v>446</v>
      </c>
      <c r="B80" s="17" t="s">
        <v>447</v>
      </c>
      <c r="C80" s="19">
        <v>36.14</v>
      </c>
      <c r="D80" s="19">
        <v>-5.35</v>
      </c>
    </row>
    <row r="81" spans="1:4" ht="12.75" x14ac:dyDescent="0.2">
      <c r="A81" s="17" t="s">
        <v>448</v>
      </c>
      <c r="B81" s="17" t="s">
        <v>449</v>
      </c>
      <c r="C81" s="19">
        <v>37.979999999999997</v>
      </c>
      <c r="D81" s="19">
        <v>23.72</v>
      </c>
    </row>
    <row r="82" spans="1:4" ht="12.75" x14ac:dyDescent="0.2">
      <c r="A82" s="17" t="s">
        <v>452</v>
      </c>
      <c r="B82" s="17" t="s">
        <v>453</v>
      </c>
      <c r="C82" s="19">
        <v>64.180000000000007</v>
      </c>
      <c r="D82" s="19">
        <v>-51.72</v>
      </c>
    </row>
    <row r="83" spans="1:4" ht="12.75" x14ac:dyDescent="0.2">
      <c r="A83" s="17" t="s">
        <v>454</v>
      </c>
      <c r="B83" s="17" t="s">
        <v>455</v>
      </c>
      <c r="C83" s="19">
        <v>12.06</v>
      </c>
      <c r="D83" s="19">
        <v>-61.75</v>
      </c>
    </row>
    <row r="84" spans="1:4" ht="12.75" x14ac:dyDescent="0.2">
      <c r="A84" s="17" t="s">
        <v>456</v>
      </c>
      <c r="B84" s="17" t="s">
        <v>458</v>
      </c>
      <c r="C84" s="19">
        <v>16</v>
      </c>
      <c r="D84" s="19">
        <v>-61.73</v>
      </c>
    </row>
    <row r="85" spans="1:4" ht="12.75" x14ac:dyDescent="0.2">
      <c r="A85" s="17" t="s">
        <v>459</v>
      </c>
      <c r="B85" s="17" t="s">
        <v>460</v>
      </c>
      <c r="C85" s="19">
        <v>13.48</v>
      </c>
      <c r="D85" s="19">
        <v>144.75</v>
      </c>
    </row>
    <row r="86" spans="1:4" ht="12.75" x14ac:dyDescent="0.2">
      <c r="A86" s="17" t="s">
        <v>461</v>
      </c>
      <c r="B86" s="17" t="s">
        <v>462</v>
      </c>
      <c r="C86" s="19">
        <v>14.64</v>
      </c>
      <c r="D86" s="19">
        <v>-90.51</v>
      </c>
    </row>
    <row r="87" spans="1:4" ht="12.75" x14ac:dyDescent="0.2">
      <c r="A87" s="17" t="s">
        <v>464</v>
      </c>
      <c r="B87" s="17" t="s">
        <v>465</v>
      </c>
      <c r="C87" s="19">
        <v>49.46</v>
      </c>
      <c r="D87" s="19">
        <v>-2.54</v>
      </c>
    </row>
    <row r="88" spans="1:4" ht="12.75" x14ac:dyDescent="0.2">
      <c r="A88" s="17" t="s">
        <v>466</v>
      </c>
      <c r="B88" s="17" t="s">
        <v>468</v>
      </c>
      <c r="C88" s="19">
        <v>9.5399999999999991</v>
      </c>
      <c r="D88" s="19">
        <v>-13.68</v>
      </c>
    </row>
    <row r="89" spans="1:4" ht="12.75" x14ac:dyDescent="0.2">
      <c r="A89" s="17" t="s">
        <v>471</v>
      </c>
      <c r="B89" s="17" t="s">
        <v>472</v>
      </c>
      <c r="C89" s="19">
        <v>11.86</v>
      </c>
      <c r="D89" s="19">
        <v>-15.6</v>
      </c>
    </row>
    <row r="90" spans="1:4" ht="12.75" x14ac:dyDescent="0.2">
      <c r="A90" s="17" t="s">
        <v>474</v>
      </c>
      <c r="B90" s="17" t="s">
        <v>475</v>
      </c>
      <c r="C90" s="19">
        <v>6.8</v>
      </c>
      <c r="D90" s="19">
        <v>-58.16</v>
      </c>
    </row>
    <row r="91" spans="1:4" ht="12.75" x14ac:dyDescent="0.2">
      <c r="A91" s="17" t="s">
        <v>476</v>
      </c>
      <c r="B91" s="17" t="s">
        <v>477</v>
      </c>
      <c r="C91" s="19">
        <v>18.54</v>
      </c>
      <c r="D91" s="19">
        <v>-72.34</v>
      </c>
    </row>
    <row r="92" spans="1:4" ht="12.75" x14ac:dyDescent="0.2">
      <c r="A92" s="17" t="s">
        <v>479</v>
      </c>
      <c r="B92" s="17" t="s">
        <v>481</v>
      </c>
      <c r="C92" s="19">
        <v>14.08</v>
      </c>
      <c r="D92" s="19">
        <v>-87.21</v>
      </c>
    </row>
    <row r="93" spans="1:4" ht="12.75" x14ac:dyDescent="0.2">
      <c r="A93" s="17" t="s">
        <v>482</v>
      </c>
      <c r="B93" s="17" t="s">
        <v>483</v>
      </c>
      <c r="C93" s="19">
        <v>22.29</v>
      </c>
      <c r="D93" s="19">
        <v>114.16</v>
      </c>
    </row>
    <row r="94" spans="1:4" ht="12.75" x14ac:dyDescent="0.2">
      <c r="A94" s="17" t="s">
        <v>485</v>
      </c>
      <c r="B94" s="17" t="s">
        <v>486</v>
      </c>
      <c r="C94" s="19">
        <v>47.5</v>
      </c>
      <c r="D94" s="19">
        <v>19.04</v>
      </c>
    </row>
    <row r="95" spans="1:4" ht="12.75" x14ac:dyDescent="0.2">
      <c r="A95" s="17" t="s">
        <v>487</v>
      </c>
      <c r="B95" s="17" t="s">
        <v>488</v>
      </c>
      <c r="C95" s="19">
        <v>64.14</v>
      </c>
      <c r="D95" s="19">
        <v>-21.9</v>
      </c>
    </row>
    <row r="96" spans="1:4" ht="12.75" x14ac:dyDescent="0.2">
      <c r="A96" s="17" t="s">
        <v>491</v>
      </c>
      <c r="B96" s="17" t="s">
        <v>492</v>
      </c>
      <c r="C96" s="19">
        <v>28.64</v>
      </c>
      <c r="D96" s="19">
        <v>77.22</v>
      </c>
    </row>
    <row r="97" spans="1:4" ht="12.75" x14ac:dyDescent="0.2">
      <c r="A97" s="17" t="s">
        <v>493</v>
      </c>
      <c r="B97" s="17" t="s">
        <v>494</v>
      </c>
      <c r="C97" s="19">
        <v>-6.21</v>
      </c>
      <c r="D97" s="19">
        <v>106.85</v>
      </c>
    </row>
    <row r="98" spans="1:4" ht="12.75" x14ac:dyDescent="0.2">
      <c r="A98" s="17" t="s">
        <v>495</v>
      </c>
      <c r="B98" s="17" t="s">
        <v>496</v>
      </c>
      <c r="C98" s="19">
        <v>35.69</v>
      </c>
      <c r="D98" s="19">
        <v>51.42</v>
      </c>
    </row>
    <row r="99" spans="1:4" ht="12.75" x14ac:dyDescent="0.2">
      <c r="A99" s="17" t="s">
        <v>498</v>
      </c>
      <c r="B99" s="17" t="s">
        <v>499</v>
      </c>
      <c r="C99" s="19">
        <v>33.340000000000003</v>
      </c>
      <c r="D99" s="19">
        <v>44.4</v>
      </c>
    </row>
    <row r="100" spans="1:4" ht="12.75" x14ac:dyDescent="0.2">
      <c r="A100" s="17" t="s">
        <v>500</v>
      </c>
      <c r="B100" s="17" t="s">
        <v>501</v>
      </c>
      <c r="C100" s="19">
        <v>53.33</v>
      </c>
      <c r="D100" s="19">
        <v>-6.25</v>
      </c>
    </row>
    <row r="101" spans="1:4" ht="12.75" x14ac:dyDescent="0.2">
      <c r="A101" s="17" t="s">
        <v>503</v>
      </c>
      <c r="B101" s="17" t="s">
        <v>504</v>
      </c>
      <c r="C101" s="19">
        <v>54.15</v>
      </c>
      <c r="D101" s="19">
        <v>-4.4800000000000004</v>
      </c>
    </row>
    <row r="102" spans="1:4" ht="12.75" x14ac:dyDescent="0.2">
      <c r="A102" s="17" t="s">
        <v>505</v>
      </c>
      <c r="B102" s="17" t="s">
        <v>506</v>
      </c>
      <c r="C102" s="19">
        <v>35.229999999999997</v>
      </c>
      <c r="D102" s="19">
        <v>31.77</v>
      </c>
    </row>
    <row r="103" spans="1:4" ht="12.75" x14ac:dyDescent="0.2">
      <c r="A103" s="17" t="s">
        <v>507</v>
      </c>
      <c r="B103" s="17" t="s">
        <v>508</v>
      </c>
      <c r="C103" s="19">
        <v>41.89</v>
      </c>
      <c r="D103" s="19">
        <v>12.48</v>
      </c>
    </row>
    <row r="104" spans="1:4" ht="12.75" x14ac:dyDescent="0.2">
      <c r="A104" s="17" t="s">
        <v>509</v>
      </c>
      <c r="B104" s="17" t="s">
        <v>510</v>
      </c>
      <c r="C104" s="19">
        <v>6.82</v>
      </c>
      <c r="D104" s="19">
        <v>-5.28</v>
      </c>
    </row>
    <row r="105" spans="1:4" ht="12.75" x14ac:dyDescent="0.2">
      <c r="A105" s="17" t="s">
        <v>513</v>
      </c>
      <c r="B105" s="17" t="s">
        <v>515</v>
      </c>
      <c r="C105" s="19">
        <v>18</v>
      </c>
      <c r="D105" s="19">
        <v>-76.790000000000006</v>
      </c>
    </row>
    <row r="106" spans="1:4" ht="12.75" x14ac:dyDescent="0.2">
      <c r="A106" s="17" t="s">
        <v>517</v>
      </c>
      <c r="B106" s="17" t="s">
        <v>518</v>
      </c>
      <c r="C106" s="19">
        <v>35.69</v>
      </c>
      <c r="D106" s="19">
        <v>139.69</v>
      </c>
    </row>
    <row r="107" spans="1:4" ht="12.75" x14ac:dyDescent="0.2">
      <c r="A107" s="17" t="s">
        <v>519</v>
      </c>
      <c r="B107" s="17" t="s">
        <v>520</v>
      </c>
      <c r="C107" s="19">
        <v>49.19</v>
      </c>
      <c r="D107" s="19">
        <v>-2.1</v>
      </c>
    </row>
    <row r="108" spans="1:4" ht="12.75" x14ac:dyDescent="0.2">
      <c r="A108" s="17" t="s">
        <v>521</v>
      </c>
      <c r="B108" s="17" t="s">
        <v>522</v>
      </c>
      <c r="C108" s="19">
        <v>31.96</v>
      </c>
      <c r="D108" s="19">
        <v>35.950000000000003</v>
      </c>
    </row>
    <row r="109" spans="1:4" ht="12.75" x14ac:dyDescent="0.2">
      <c r="A109" s="17" t="s">
        <v>523</v>
      </c>
      <c r="B109" s="17" t="s">
        <v>524</v>
      </c>
      <c r="C109" s="19">
        <v>51.18</v>
      </c>
      <c r="D109" s="19">
        <v>71.45</v>
      </c>
    </row>
    <row r="110" spans="1:4" ht="12.75" x14ac:dyDescent="0.2">
      <c r="A110" s="17" t="s">
        <v>525</v>
      </c>
      <c r="B110" s="17" t="s">
        <v>526</v>
      </c>
      <c r="C110" s="19">
        <v>-1.28</v>
      </c>
      <c r="D110" s="19">
        <v>36.82</v>
      </c>
    </row>
    <row r="111" spans="1:4" ht="12.75" x14ac:dyDescent="0.2">
      <c r="A111" s="17" t="s">
        <v>527</v>
      </c>
      <c r="B111" s="17" t="s">
        <v>528</v>
      </c>
      <c r="C111" s="19">
        <v>1.33</v>
      </c>
      <c r="D111" s="19">
        <v>172.98</v>
      </c>
    </row>
    <row r="112" spans="1:4" ht="12.75" x14ac:dyDescent="0.2">
      <c r="A112" s="17" t="s">
        <v>529</v>
      </c>
      <c r="B112" s="17" t="s">
        <v>530</v>
      </c>
      <c r="C112" s="19">
        <v>42.67</v>
      </c>
      <c r="D112" s="19">
        <v>21.17</v>
      </c>
    </row>
    <row r="113" spans="1:4" ht="12.75" x14ac:dyDescent="0.2">
      <c r="A113" s="17" t="s">
        <v>531</v>
      </c>
      <c r="B113" s="17" t="s">
        <v>532</v>
      </c>
      <c r="C113" s="19">
        <v>29.37</v>
      </c>
      <c r="D113" s="19">
        <v>47.98</v>
      </c>
    </row>
    <row r="114" spans="1:4" ht="12.75" x14ac:dyDescent="0.2">
      <c r="A114" s="17" t="s">
        <v>533</v>
      </c>
      <c r="B114" s="17" t="s">
        <v>534</v>
      </c>
      <c r="C114" s="19">
        <v>42.87</v>
      </c>
      <c r="D114" s="19">
        <v>74.59</v>
      </c>
    </row>
    <row r="115" spans="1:4" ht="12.75" x14ac:dyDescent="0.2">
      <c r="A115" s="17" t="s">
        <v>536</v>
      </c>
      <c r="B115" s="17" t="s">
        <v>537</v>
      </c>
      <c r="C115" s="19">
        <v>17.97</v>
      </c>
      <c r="D115" s="19">
        <v>102.6</v>
      </c>
    </row>
    <row r="116" spans="1:4" ht="12.75" x14ac:dyDescent="0.2">
      <c r="A116" s="17" t="s">
        <v>539</v>
      </c>
      <c r="B116" s="17" t="s">
        <v>540</v>
      </c>
      <c r="C116" s="19">
        <v>56.95</v>
      </c>
      <c r="D116" s="19">
        <v>24.11</v>
      </c>
    </row>
    <row r="117" spans="1:4" ht="12.75" x14ac:dyDescent="0.2">
      <c r="A117" s="17" t="s">
        <v>541</v>
      </c>
      <c r="B117" s="17" t="s">
        <v>542</v>
      </c>
      <c r="C117" s="19">
        <v>33.89</v>
      </c>
      <c r="D117" s="19">
        <v>35.49</v>
      </c>
    </row>
    <row r="118" spans="1:4" ht="12.75" x14ac:dyDescent="0.2">
      <c r="A118" s="17" t="s">
        <v>543</v>
      </c>
      <c r="B118" s="17" t="s">
        <v>544</v>
      </c>
      <c r="C118" s="19">
        <v>-29.32</v>
      </c>
      <c r="D118" s="19">
        <v>27.48</v>
      </c>
    </row>
    <row r="119" spans="1:4" ht="12.75" x14ac:dyDescent="0.2">
      <c r="A119" s="17" t="s">
        <v>545</v>
      </c>
      <c r="B119" s="17" t="s">
        <v>546</v>
      </c>
      <c r="C119" s="19">
        <v>6.3</v>
      </c>
      <c r="D119" s="19">
        <v>-10.8</v>
      </c>
    </row>
    <row r="120" spans="1:4" ht="12.75" x14ac:dyDescent="0.2">
      <c r="A120" s="17" t="s">
        <v>548</v>
      </c>
      <c r="B120" s="17" t="s">
        <v>549</v>
      </c>
      <c r="C120" s="19">
        <v>32.880000000000003</v>
      </c>
      <c r="D120" s="19">
        <v>13.19</v>
      </c>
    </row>
    <row r="121" spans="1:4" ht="12.75" x14ac:dyDescent="0.2">
      <c r="A121" s="17" t="s">
        <v>550</v>
      </c>
      <c r="B121" s="17" t="s">
        <v>551</v>
      </c>
      <c r="C121" s="19">
        <v>47.14</v>
      </c>
      <c r="D121" s="19">
        <v>9.52</v>
      </c>
    </row>
    <row r="122" spans="1:4" ht="12.75" x14ac:dyDescent="0.2">
      <c r="A122" s="17" t="s">
        <v>552</v>
      </c>
      <c r="B122" s="17" t="s">
        <v>553</v>
      </c>
      <c r="C122" s="19">
        <v>54.69</v>
      </c>
      <c r="D122" s="19">
        <v>25.28</v>
      </c>
    </row>
    <row r="123" spans="1:4" ht="12.75" x14ac:dyDescent="0.2">
      <c r="A123" s="17" t="s">
        <v>554</v>
      </c>
      <c r="B123" s="17" t="s">
        <v>555</v>
      </c>
      <c r="C123" s="19">
        <v>49.61</v>
      </c>
      <c r="D123" s="19">
        <v>6.13</v>
      </c>
    </row>
    <row r="124" spans="1:4" ht="12.75" x14ac:dyDescent="0.2">
      <c r="A124" s="17" t="s">
        <v>556</v>
      </c>
      <c r="B124" s="17" t="s">
        <v>557</v>
      </c>
      <c r="C124" s="19">
        <v>22.2</v>
      </c>
      <c r="D124" s="19">
        <v>113.55</v>
      </c>
    </row>
    <row r="125" spans="1:4" ht="12.75" x14ac:dyDescent="0.2">
      <c r="A125" s="17" t="s">
        <v>558</v>
      </c>
      <c r="B125" s="17" t="s">
        <v>559</v>
      </c>
      <c r="C125" s="19">
        <v>42</v>
      </c>
      <c r="D125" s="19">
        <v>21.43</v>
      </c>
    </row>
    <row r="126" spans="1:4" ht="12.75" x14ac:dyDescent="0.2">
      <c r="A126" s="17" t="s">
        <v>560</v>
      </c>
      <c r="B126" s="17" t="s">
        <v>561</v>
      </c>
      <c r="C126" s="19">
        <v>-18.91</v>
      </c>
      <c r="D126" s="19">
        <v>47.54</v>
      </c>
    </row>
    <row r="127" spans="1:4" ht="12.75" x14ac:dyDescent="0.2">
      <c r="A127" s="17" t="s">
        <v>562</v>
      </c>
      <c r="B127" s="17" t="s">
        <v>564</v>
      </c>
      <c r="C127" s="19">
        <v>-13.97</v>
      </c>
      <c r="D127" s="19">
        <v>33.79</v>
      </c>
    </row>
    <row r="128" spans="1:4" ht="12.75" x14ac:dyDescent="0.2">
      <c r="A128" s="17" t="s">
        <v>567</v>
      </c>
      <c r="B128" s="17" t="s">
        <v>568</v>
      </c>
      <c r="C128" s="19">
        <v>3.14</v>
      </c>
      <c r="D128" s="19">
        <v>101.69</v>
      </c>
    </row>
    <row r="129" spans="1:4" ht="12.75" x14ac:dyDescent="0.2">
      <c r="A129" s="17" t="s">
        <v>569</v>
      </c>
      <c r="B129" s="17" t="s">
        <v>571</v>
      </c>
      <c r="C129" s="19">
        <v>4.17</v>
      </c>
      <c r="D129" s="19">
        <v>73.510000000000005</v>
      </c>
    </row>
    <row r="130" spans="1:4" ht="12.75" x14ac:dyDescent="0.2">
      <c r="A130" s="17" t="s">
        <v>572</v>
      </c>
      <c r="B130" s="17" t="s">
        <v>573</v>
      </c>
      <c r="C130" s="19">
        <v>12.65</v>
      </c>
      <c r="D130" s="19">
        <v>-8</v>
      </c>
    </row>
    <row r="131" spans="1:4" ht="12.75" x14ac:dyDescent="0.2">
      <c r="A131" s="17" t="s">
        <v>574</v>
      </c>
      <c r="B131" s="17" t="s">
        <v>575</v>
      </c>
      <c r="C131" s="19">
        <v>35.9</v>
      </c>
      <c r="D131" s="19">
        <v>14.51</v>
      </c>
    </row>
    <row r="132" spans="1:4" ht="12.75" x14ac:dyDescent="0.2">
      <c r="A132" s="17" t="s">
        <v>576</v>
      </c>
      <c r="B132" s="17" t="s">
        <v>577</v>
      </c>
      <c r="C132" s="19">
        <v>7.09</v>
      </c>
      <c r="D132" s="19">
        <v>171.38</v>
      </c>
    </row>
    <row r="133" spans="1:4" ht="12.75" x14ac:dyDescent="0.2">
      <c r="A133" s="17" t="s">
        <v>578</v>
      </c>
      <c r="B133" s="17" t="s">
        <v>579</v>
      </c>
      <c r="C133" s="19">
        <v>14.61</v>
      </c>
      <c r="D133" s="19">
        <v>-61.07</v>
      </c>
    </row>
    <row r="134" spans="1:4" ht="12.75" x14ac:dyDescent="0.2">
      <c r="A134" s="17" t="s">
        <v>580</v>
      </c>
      <c r="B134" s="17" t="s">
        <v>581</v>
      </c>
      <c r="C134" s="19">
        <v>18.09</v>
      </c>
      <c r="D134" s="19">
        <v>-15.98</v>
      </c>
    </row>
    <row r="135" spans="1:4" ht="12.75" x14ac:dyDescent="0.2">
      <c r="A135" s="17" t="s">
        <v>583</v>
      </c>
      <c r="B135" s="17" t="s">
        <v>584</v>
      </c>
      <c r="C135" s="19">
        <v>-20.16</v>
      </c>
      <c r="D135" s="19">
        <v>57.5</v>
      </c>
    </row>
    <row r="136" spans="1:4" ht="12.75" x14ac:dyDescent="0.2">
      <c r="A136" s="17" t="s">
        <v>585</v>
      </c>
      <c r="B136" s="17" t="s">
        <v>586</v>
      </c>
      <c r="C136" s="19">
        <v>-12.78</v>
      </c>
      <c r="D136" s="19">
        <v>45.23</v>
      </c>
    </row>
    <row r="137" spans="1:4" ht="12.75" x14ac:dyDescent="0.2">
      <c r="A137" s="17" t="s">
        <v>587</v>
      </c>
      <c r="B137" s="17" t="s">
        <v>588</v>
      </c>
      <c r="C137" s="19">
        <v>19.43</v>
      </c>
      <c r="D137" s="19">
        <v>-99.13</v>
      </c>
    </row>
    <row r="138" spans="1:4" ht="12.75" x14ac:dyDescent="0.2">
      <c r="A138" s="17" t="s">
        <v>589</v>
      </c>
      <c r="B138" s="17" t="s">
        <v>590</v>
      </c>
      <c r="C138" s="19">
        <v>6.92</v>
      </c>
      <c r="D138" s="19">
        <v>158.16</v>
      </c>
    </row>
    <row r="139" spans="1:4" ht="12.75" x14ac:dyDescent="0.2">
      <c r="A139" s="17" t="s">
        <v>591</v>
      </c>
      <c r="B139" s="17" t="s">
        <v>592</v>
      </c>
      <c r="C139" s="19">
        <v>47.01</v>
      </c>
      <c r="D139" s="19">
        <v>28.86</v>
      </c>
    </row>
    <row r="140" spans="1:4" ht="12.75" x14ac:dyDescent="0.2">
      <c r="A140" s="17" t="s">
        <v>593</v>
      </c>
      <c r="B140" s="17" t="s">
        <v>594</v>
      </c>
      <c r="C140" s="19">
        <v>43.73</v>
      </c>
      <c r="D140" s="19">
        <v>7.42</v>
      </c>
    </row>
    <row r="141" spans="1:4" ht="12.75" x14ac:dyDescent="0.2">
      <c r="A141" s="17" t="s">
        <v>595</v>
      </c>
      <c r="B141" s="17" t="s">
        <v>596</v>
      </c>
      <c r="C141" s="19">
        <v>47.91</v>
      </c>
      <c r="D141" s="19">
        <v>106.88</v>
      </c>
    </row>
    <row r="142" spans="1:4" ht="12.75" x14ac:dyDescent="0.2">
      <c r="A142" s="17" t="s">
        <v>597</v>
      </c>
      <c r="B142" s="17" t="s">
        <v>598</v>
      </c>
      <c r="C142" s="19">
        <v>42.44</v>
      </c>
      <c r="D142" s="19">
        <v>19.260000000000002</v>
      </c>
    </row>
    <row r="143" spans="1:4" ht="12.75" x14ac:dyDescent="0.2">
      <c r="A143" s="17" t="s">
        <v>599</v>
      </c>
      <c r="B143" s="17" t="s">
        <v>600</v>
      </c>
      <c r="C143" s="19">
        <v>16.71</v>
      </c>
      <c r="D143" s="19">
        <v>-62.21</v>
      </c>
    </row>
    <row r="144" spans="1:4" ht="12.75" x14ac:dyDescent="0.2">
      <c r="A144" s="17" t="s">
        <v>601</v>
      </c>
      <c r="B144" s="17" t="s">
        <v>602</v>
      </c>
      <c r="C144" s="19">
        <v>34.01</v>
      </c>
      <c r="D144" s="19">
        <v>-6.83</v>
      </c>
    </row>
    <row r="145" spans="1:4" ht="12.75" x14ac:dyDescent="0.2">
      <c r="A145" s="17" t="s">
        <v>604</v>
      </c>
      <c r="B145" s="17" t="s">
        <v>605</v>
      </c>
      <c r="C145" s="19">
        <v>-25.97</v>
      </c>
      <c r="D145" s="19">
        <v>32.58</v>
      </c>
    </row>
    <row r="146" spans="1:4" ht="12.75" x14ac:dyDescent="0.2">
      <c r="A146" s="17" t="s">
        <v>606</v>
      </c>
      <c r="B146" s="17" t="s">
        <v>607</v>
      </c>
      <c r="C146" s="19">
        <v>19.75</v>
      </c>
      <c r="D146" s="19">
        <v>96.13</v>
      </c>
    </row>
    <row r="147" spans="1:4" ht="12.75" x14ac:dyDescent="0.2">
      <c r="A147" s="17" t="s">
        <v>609</v>
      </c>
      <c r="B147" s="17" t="s">
        <v>610</v>
      </c>
      <c r="C147" s="19">
        <v>-22.56</v>
      </c>
      <c r="D147" s="19">
        <v>17.079999999999998</v>
      </c>
    </row>
    <row r="148" spans="1:4" ht="12.75" x14ac:dyDescent="0.2">
      <c r="A148" s="17" t="s">
        <v>612</v>
      </c>
      <c r="B148" s="17" t="s">
        <v>613</v>
      </c>
      <c r="C148" s="19">
        <v>166.93</v>
      </c>
      <c r="D148" s="19">
        <v>-0.54</v>
      </c>
    </row>
    <row r="149" spans="1:4" ht="12.75" x14ac:dyDescent="0.2">
      <c r="A149" s="17" t="s">
        <v>614</v>
      </c>
      <c r="B149" s="17" t="s">
        <v>615</v>
      </c>
      <c r="C149" s="19">
        <v>27.7</v>
      </c>
      <c r="D149" s="19">
        <v>85.32</v>
      </c>
    </row>
    <row r="150" spans="1:4" ht="12.75" x14ac:dyDescent="0.2">
      <c r="A150" s="17" t="s">
        <v>616</v>
      </c>
      <c r="B150" s="17" t="s">
        <v>617</v>
      </c>
      <c r="C150" s="19">
        <v>52.37</v>
      </c>
      <c r="D150" s="19">
        <v>4.8899999999999997</v>
      </c>
    </row>
    <row r="151" spans="1:4" ht="12.75" x14ac:dyDescent="0.2">
      <c r="A151" s="17" t="s">
        <v>618</v>
      </c>
      <c r="B151" s="17" t="s">
        <v>619</v>
      </c>
      <c r="C151" s="19">
        <v>-68.92</v>
      </c>
      <c r="D151" s="19">
        <v>12.1</v>
      </c>
    </row>
    <row r="152" spans="1:4" ht="12.75" x14ac:dyDescent="0.2">
      <c r="A152" s="17" t="s">
        <v>620</v>
      </c>
      <c r="B152" s="17" t="s">
        <v>621</v>
      </c>
      <c r="C152" s="19">
        <v>-22.28</v>
      </c>
      <c r="D152" s="19">
        <v>166.46</v>
      </c>
    </row>
    <row r="153" spans="1:4" ht="12.75" x14ac:dyDescent="0.2">
      <c r="A153" s="17" t="s">
        <v>623</v>
      </c>
      <c r="B153" s="17" t="s">
        <v>624</v>
      </c>
      <c r="C153" s="19">
        <v>-41.29</v>
      </c>
      <c r="D153" s="19">
        <v>174.78</v>
      </c>
    </row>
    <row r="154" spans="1:4" ht="12.75" x14ac:dyDescent="0.2">
      <c r="A154" s="17" t="s">
        <v>625</v>
      </c>
      <c r="B154" s="17" t="s">
        <v>626</v>
      </c>
      <c r="C154" s="19">
        <v>12.13</v>
      </c>
      <c r="D154" s="19">
        <v>-86.25</v>
      </c>
    </row>
    <row r="155" spans="1:4" ht="12.75" x14ac:dyDescent="0.2">
      <c r="A155" s="17" t="s">
        <v>627</v>
      </c>
      <c r="B155" s="17" t="s">
        <v>628</v>
      </c>
      <c r="C155" s="19">
        <v>13.51</v>
      </c>
      <c r="D155" s="19">
        <v>2.11</v>
      </c>
    </row>
    <row r="156" spans="1:4" ht="12.75" x14ac:dyDescent="0.2">
      <c r="A156" s="17" t="s">
        <v>629</v>
      </c>
      <c r="B156" s="17" t="s">
        <v>630</v>
      </c>
      <c r="C156" s="19">
        <v>9.07</v>
      </c>
      <c r="D156" s="19">
        <v>7.48</v>
      </c>
    </row>
    <row r="157" spans="1:4" ht="12.75" x14ac:dyDescent="0.2">
      <c r="A157" s="17" t="s">
        <v>631</v>
      </c>
      <c r="B157" s="17" t="s">
        <v>632</v>
      </c>
      <c r="C157" s="19">
        <v>-19.059999999999999</v>
      </c>
      <c r="D157" s="19">
        <v>-169.92</v>
      </c>
    </row>
    <row r="158" spans="1:4" ht="12.75" x14ac:dyDescent="0.2">
      <c r="A158" s="17" t="s">
        <v>633</v>
      </c>
      <c r="B158" s="17" t="s">
        <v>634</v>
      </c>
      <c r="C158" s="19">
        <v>-29.05</v>
      </c>
      <c r="D158" s="19">
        <v>167.97</v>
      </c>
    </row>
    <row r="159" spans="1:4" ht="12.75" x14ac:dyDescent="0.2">
      <c r="A159" s="17" t="s">
        <v>635</v>
      </c>
      <c r="B159" s="17" t="s">
        <v>636</v>
      </c>
      <c r="C159" s="19">
        <v>39.03</v>
      </c>
      <c r="D159" s="19">
        <v>125.75</v>
      </c>
    </row>
    <row r="160" spans="1:4" ht="12.75" x14ac:dyDescent="0.2">
      <c r="A160" s="17" t="s">
        <v>637</v>
      </c>
      <c r="B160" s="17" t="s">
        <v>638</v>
      </c>
      <c r="C160" s="19">
        <v>15.21</v>
      </c>
      <c r="D160" s="19">
        <v>145.75</v>
      </c>
    </row>
    <row r="161" spans="1:4" ht="12.75" x14ac:dyDescent="0.2">
      <c r="A161" s="17" t="s">
        <v>640</v>
      </c>
      <c r="B161" s="17" t="s">
        <v>641</v>
      </c>
      <c r="C161" s="19">
        <v>59.91</v>
      </c>
      <c r="D161" s="19">
        <v>10.75</v>
      </c>
    </row>
    <row r="162" spans="1:4" ht="12.75" x14ac:dyDescent="0.2">
      <c r="A162" s="17" t="s">
        <v>642</v>
      </c>
      <c r="B162" s="17" t="s">
        <v>643</v>
      </c>
      <c r="C162" s="19">
        <v>23.61</v>
      </c>
      <c r="D162" s="19">
        <v>58.59</v>
      </c>
    </row>
    <row r="163" spans="1:4" ht="12.75" x14ac:dyDescent="0.2">
      <c r="A163" s="17" t="s">
        <v>644</v>
      </c>
      <c r="B163" s="17" t="s">
        <v>645</v>
      </c>
      <c r="C163" s="19">
        <v>33.72</v>
      </c>
      <c r="D163" s="19">
        <v>73.040000000000006</v>
      </c>
    </row>
    <row r="164" spans="1:4" ht="12.75" x14ac:dyDescent="0.2">
      <c r="A164" s="17" t="s">
        <v>648</v>
      </c>
      <c r="B164" s="17" t="s">
        <v>649</v>
      </c>
      <c r="C164" s="19">
        <v>7.5</v>
      </c>
      <c r="D164" s="19">
        <v>134.62</v>
      </c>
    </row>
    <row r="165" spans="1:4" ht="12.75" x14ac:dyDescent="0.2">
      <c r="A165" s="17" t="s">
        <v>650</v>
      </c>
      <c r="B165" s="17" t="s">
        <v>651</v>
      </c>
      <c r="C165" s="19">
        <v>35.229999999999997</v>
      </c>
      <c r="D165" s="19">
        <v>31.77</v>
      </c>
    </row>
    <row r="166" spans="1:4" ht="12.75" x14ac:dyDescent="0.2">
      <c r="A166" s="17" t="s">
        <v>653</v>
      </c>
      <c r="B166" s="17" t="s">
        <v>654</v>
      </c>
      <c r="C166" s="19">
        <v>8.99</v>
      </c>
      <c r="D166" s="19">
        <v>-79.52</v>
      </c>
    </row>
    <row r="167" spans="1:4" ht="12.75" x14ac:dyDescent="0.2">
      <c r="A167" s="17" t="s">
        <v>656</v>
      </c>
      <c r="B167" s="17" t="s">
        <v>657</v>
      </c>
      <c r="C167" s="19">
        <v>-9.44</v>
      </c>
      <c r="D167" s="19">
        <v>147.18</v>
      </c>
    </row>
    <row r="168" spans="1:4" ht="12.75" x14ac:dyDescent="0.2">
      <c r="A168" s="17" t="s">
        <v>658</v>
      </c>
      <c r="B168" s="17" t="s">
        <v>659</v>
      </c>
      <c r="C168" s="19">
        <v>-25.3</v>
      </c>
      <c r="D168" s="19">
        <v>-57.64</v>
      </c>
    </row>
    <row r="169" spans="1:4" ht="12.75" x14ac:dyDescent="0.2">
      <c r="A169" s="17" t="s">
        <v>660</v>
      </c>
      <c r="B169" s="17" t="s">
        <v>661</v>
      </c>
      <c r="C169" s="19">
        <v>-12.04</v>
      </c>
      <c r="D169" s="19">
        <v>-77.03</v>
      </c>
    </row>
    <row r="170" spans="1:4" ht="12.75" x14ac:dyDescent="0.2">
      <c r="A170" s="17" t="s">
        <v>662</v>
      </c>
      <c r="B170" s="17" t="s">
        <v>663</v>
      </c>
      <c r="C170" s="19">
        <v>14.6</v>
      </c>
      <c r="D170" s="19">
        <v>120.98</v>
      </c>
    </row>
    <row r="171" spans="1:4" ht="12.75" x14ac:dyDescent="0.2">
      <c r="A171" s="17" t="s">
        <v>664</v>
      </c>
      <c r="B171" s="17" t="s">
        <v>665</v>
      </c>
      <c r="C171" s="19">
        <v>-25.07</v>
      </c>
      <c r="D171" s="19">
        <v>-130.1</v>
      </c>
    </row>
    <row r="172" spans="1:4" ht="12.75" x14ac:dyDescent="0.2">
      <c r="A172" s="17" t="s">
        <v>667</v>
      </c>
      <c r="B172" s="17" t="s">
        <v>668</v>
      </c>
      <c r="C172" s="19">
        <v>52.23</v>
      </c>
      <c r="D172" s="19">
        <v>21.01</v>
      </c>
    </row>
    <row r="173" spans="1:4" ht="12.75" x14ac:dyDescent="0.2">
      <c r="A173" s="17" t="s">
        <v>669</v>
      </c>
      <c r="B173" s="17" t="s">
        <v>670</v>
      </c>
      <c r="C173" s="19">
        <v>38.72</v>
      </c>
      <c r="D173" s="19">
        <v>-9.1300000000000008</v>
      </c>
    </row>
    <row r="174" spans="1:4" ht="12.75" x14ac:dyDescent="0.2">
      <c r="A174" s="17" t="s">
        <v>671</v>
      </c>
      <c r="B174" s="17" t="s">
        <v>672</v>
      </c>
      <c r="C174" s="19">
        <v>18.47</v>
      </c>
      <c r="D174" s="19">
        <v>-66.11</v>
      </c>
    </row>
    <row r="175" spans="1:4" ht="12.75" x14ac:dyDescent="0.2">
      <c r="A175" s="17" t="s">
        <v>673</v>
      </c>
      <c r="B175" s="17" t="s">
        <v>674</v>
      </c>
      <c r="C175" s="19">
        <v>25.28</v>
      </c>
      <c r="D175" s="19">
        <v>51.52</v>
      </c>
    </row>
    <row r="176" spans="1:4" ht="12.75" x14ac:dyDescent="0.2">
      <c r="A176" s="17" t="s">
        <v>676</v>
      </c>
      <c r="B176" s="17" t="s">
        <v>677</v>
      </c>
      <c r="C176" s="19">
        <v>-4.2699999999999996</v>
      </c>
      <c r="D176" s="19">
        <v>15.28</v>
      </c>
    </row>
    <row r="177" spans="1:4" ht="12.75" x14ac:dyDescent="0.2">
      <c r="A177" s="17" t="s">
        <v>678</v>
      </c>
      <c r="B177" s="17" t="s">
        <v>679</v>
      </c>
      <c r="C177" s="19">
        <v>-20.88</v>
      </c>
      <c r="D177" s="19">
        <v>55.45</v>
      </c>
    </row>
    <row r="178" spans="1:4" ht="12.75" x14ac:dyDescent="0.2">
      <c r="A178" s="17" t="s">
        <v>680</v>
      </c>
      <c r="B178" s="17" t="s">
        <v>681</v>
      </c>
      <c r="C178" s="19">
        <v>44.43</v>
      </c>
      <c r="D178" s="19">
        <v>26.11</v>
      </c>
    </row>
    <row r="179" spans="1:4" ht="12.75" x14ac:dyDescent="0.2">
      <c r="A179" s="17" t="s">
        <v>682</v>
      </c>
      <c r="B179" s="17" t="s">
        <v>683</v>
      </c>
      <c r="C179" s="19">
        <v>55.75</v>
      </c>
      <c r="D179" s="19">
        <v>37.619999999999997</v>
      </c>
    </row>
    <row r="180" spans="1:4" ht="12.75" x14ac:dyDescent="0.2">
      <c r="A180" s="17" t="s">
        <v>684</v>
      </c>
      <c r="B180" s="17" t="s">
        <v>685</v>
      </c>
      <c r="C180" s="19">
        <v>-1.95</v>
      </c>
      <c r="D180" s="19">
        <v>30.06</v>
      </c>
    </row>
    <row r="181" spans="1:4" ht="12.75" x14ac:dyDescent="0.2">
      <c r="A181" s="17" t="s">
        <v>687</v>
      </c>
      <c r="B181" s="17" t="s">
        <v>688</v>
      </c>
      <c r="C181" s="19">
        <v>17.899999999999999</v>
      </c>
      <c r="D181" s="19">
        <v>-62.85</v>
      </c>
    </row>
    <row r="182" spans="1:4" ht="12.75" x14ac:dyDescent="0.2">
      <c r="A182" s="17" t="s">
        <v>689</v>
      </c>
      <c r="B182" s="17" t="s">
        <v>690</v>
      </c>
      <c r="C182" s="19">
        <v>-15.94</v>
      </c>
      <c r="D182" s="19">
        <v>-5.72</v>
      </c>
    </row>
    <row r="183" spans="1:4" ht="12.75" x14ac:dyDescent="0.2">
      <c r="A183" s="17" t="s">
        <v>692</v>
      </c>
      <c r="B183" s="17" t="s">
        <v>693</v>
      </c>
      <c r="C183" s="19">
        <v>17.29</v>
      </c>
      <c r="D183" s="19">
        <v>-62.73</v>
      </c>
    </row>
    <row r="184" spans="1:4" ht="12.75" x14ac:dyDescent="0.2">
      <c r="A184" s="17" t="s">
        <v>695</v>
      </c>
      <c r="B184" s="17" t="s">
        <v>696</v>
      </c>
      <c r="C184" s="19">
        <v>14</v>
      </c>
      <c r="D184" s="19">
        <v>-61.01</v>
      </c>
    </row>
    <row r="185" spans="1:4" ht="12.75" x14ac:dyDescent="0.2">
      <c r="A185" s="17" t="s">
        <v>697</v>
      </c>
      <c r="B185" s="17" t="s">
        <v>698</v>
      </c>
      <c r="C185" s="19">
        <v>18.07</v>
      </c>
      <c r="D185" s="19">
        <v>-63.08</v>
      </c>
    </row>
    <row r="186" spans="1:4" ht="12.75" x14ac:dyDescent="0.2">
      <c r="A186" s="17" t="s">
        <v>699</v>
      </c>
      <c r="B186" s="17" t="s">
        <v>700</v>
      </c>
      <c r="C186" s="19">
        <v>46.78</v>
      </c>
      <c r="D186" s="19">
        <v>-56.17</v>
      </c>
    </row>
    <row r="187" spans="1:4" ht="12.75" x14ac:dyDescent="0.2">
      <c r="A187" s="17" t="s">
        <v>701</v>
      </c>
      <c r="B187" s="17" t="s">
        <v>702</v>
      </c>
      <c r="C187" s="19">
        <v>13.16</v>
      </c>
      <c r="D187" s="19">
        <v>-61.22</v>
      </c>
    </row>
    <row r="188" spans="1:4" ht="12.75" x14ac:dyDescent="0.2">
      <c r="A188" s="17" t="s">
        <v>703</v>
      </c>
      <c r="B188" s="17" t="s">
        <v>704</v>
      </c>
      <c r="C188" s="19">
        <v>-13.83</v>
      </c>
      <c r="D188" s="19">
        <v>-171.77</v>
      </c>
    </row>
    <row r="189" spans="1:4" ht="12.75" x14ac:dyDescent="0.2">
      <c r="A189" s="17" t="s">
        <v>705</v>
      </c>
      <c r="B189" s="17" t="s">
        <v>706</v>
      </c>
      <c r="C189" s="19">
        <v>43.94</v>
      </c>
      <c r="D189" s="19">
        <v>12.45</v>
      </c>
    </row>
    <row r="190" spans="1:4" ht="12.75" x14ac:dyDescent="0.2">
      <c r="A190" s="17" t="s">
        <v>707</v>
      </c>
      <c r="B190" s="17" t="s">
        <v>708</v>
      </c>
      <c r="C190" s="19">
        <v>0.34</v>
      </c>
      <c r="D190" s="19">
        <v>6.73</v>
      </c>
    </row>
    <row r="191" spans="1:4" ht="12.75" x14ac:dyDescent="0.2">
      <c r="A191" s="17" t="s">
        <v>709</v>
      </c>
      <c r="B191" s="17" t="s">
        <v>710</v>
      </c>
      <c r="C191" s="19">
        <v>24.69</v>
      </c>
      <c r="D191" s="19">
        <v>46.72</v>
      </c>
    </row>
    <row r="192" spans="1:4" ht="12.75" x14ac:dyDescent="0.2">
      <c r="A192" s="17" t="s">
        <v>711</v>
      </c>
      <c r="B192" s="17" t="s">
        <v>712</v>
      </c>
      <c r="C192" s="19">
        <v>14.69</v>
      </c>
      <c r="D192" s="19">
        <v>-17.440000000000001</v>
      </c>
    </row>
    <row r="193" spans="1:4" ht="12.75" x14ac:dyDescent="0.2">
      <c r="A193" s="17" t="s">
        <v>713</v>
      </c>
      <c r="B193" s="17" t="s">
        <v>714</v>
      </c>
      <c r="C193" s="19">
        <v>44.8</v>
      </c>
      <c r="D193" s="19">
        <v>20.47</v>
      </c>
    </row>
    <row r="194" spans="1:4" ht="12.75" x14ac:dyDescent="0.2">
      <c r="A194" s="17" t="s">
        <v>715</v>
      </c>
      <c r="B194" s="17" t="s">
        <v>716</v>
      </c>
      <c r="C194" s="19">
        <v>-4.62</v>
      </c>
      <c r="D194" s="19">
        <v>55.45</v>
      </c>
    </row>
    <row r="195" spans="1:4" ht="12.75" x14ac:dyDescent="0.2">
      <c r="A195" s="17" t="s">
        <v>717</v>
      </c>
      <c r="B195" s="17" t="s">
        <v>718</v>
      </c>
      <c r="C195" s="19">
        <v>8.48</v>
      </c>
      <c r="D195" s="19">
        <v>-13.23</v>
      </c>
    </row>
    <row r="196" spans="1:4" ht="12.75" x14ac:dyDescent="0.2">
      <c r="A196" s="17" t="s">
        <v>719</v>
      </c>
      <c r="B196" s="17" t="s">
        <v>720</v>
      </c>
      <c r="C196" s="19">
        <v>1.29</v>
      </c>
      <c r="D196" s="19">
        <v>103.85</v>
      </c>
    </row>
    <row r="197" spans="1:4" ht="12.75" x14ac:dyDescent="0.2">
      <c r="A197" s="17" t="s">
        <v>721</v>
      </c>
      <c r="B197" s="17" t="s">
        <v>722</v>
      </c>
      <c r="C197" s="19">
        <v>48.15</v>
      </c>
      <c r="D197" s="19">
        <v>17.11</v>
      </c>
    </row>
    <row r="198" spans="1:4" ht="12.75" x14ac:dyDescent="0.2">
      <c r="A198" s="17" t="s">
        <v>723</v>
      </c>
      <c r="B198" s="17" t="s">
        <v>724</v>
      </c>
      <c r="C198" s="19">
        <v>46.05</v>
      </c>
      <c r="D198" s="19">
        <v>14.51</v>
      </c>
    </row>
    <row r="199" spans="1:4" ht="12.75" x14ac:dyDescent="0.2">
      <c r="A199" s="17" t="s">
        <v>725</v>
      </c>
      <c r="B199" s="17" t="s">
        <v>726</v>
      </c>
      <c r="C199" s="19">
        <v>-9.43</v>
      </c>
      <c r="D199" s="19">
        <v>159.94999999999999</v>
      </c>
    </row>
    <row r="200" spans="1:4" ht="12.75" x14ac:dyDescent="0.2">
      <c r="A200" s="17" t="s">
        <v>727</v>
      </c>
      <c r="B200" s="17" t="s">
        <v>728</v>
      </c>
      <c r="C200" s="19">
        <v>2.04</v>
      </c>
      <c r="D200" s="19">
        <v>45.34</v>
      </c>
    </row>
    <row r="201" spans="1:4" ht="12.75" x14ac:dyDescent="0.2">
      <c r="A201" s="17" t="s">
        <v>729</v>
      </c>
      <c r="B201" s="17" t="s">
        <v>730</v>
      </c>
      <c r="C201" s="19">
        <v>-25.74</v>
      </c>
      <c r="D201" s="19">
        <v>28.19</v>
      </c>
    </row>
    <row r="202" spans="1:4" ht="12.75" x14ac:dyDescent="0.2">
      <c r="A202" s="17" t="s">
        <v>731</v>
      </c>
      <c r="B202" s="17" t="s">
        <v>732</v>
      </c>
      <c r="C202" s="19">
        <v>-54.28</v>
      </c>
      <c r="D202" s="19">
        <v>-36.51</v>
      </c>
    </row>
    <row r="203" spans="1:4" ht="12.75" x14ac:dyDescent="0.2">
      <c r="A203" s="17" t="s">
        <v>733</v>
      </c>
      <c r="B203" s="17" t="s">
        <v>734</v>
      </c>
      <c r="C203" s="19">
        <v>37.57</v>
      </c>
      <c r="D203" s="19">
        <v>126.98</v>
      </c>
    </row>
    <row r="204" spans="1:4" ht="12.75" x14ac:dyDescent="0.2">
      <c r="A204" s="17" t="s">
        <v>736</v>
      </c>
      <c r="B204" s="17" t="s">
        <v>737</v>
      </c>
      <c r="C204" s="19">
        <v>40.42</v>
      </c>
      <c r="D204" s="19">
        <v>-3.7</v>
      </c>
    </row>
    <row r="205" spans="1:4" ht="12.75" x14ac:dyDescent="0.2">
      <c r="A205" s="17" t="s">
        <v>738</v>
      </c>
      <c r="B205" s="17" t="s">
        <v>739</v>
      </c>
      <c r="C205" s="19">
        <v>6.93</v>
      </c>
      <c r="D205" s="19">
        <v>79.849999999999994</v>
      </c>
    </row>
    <row r="206" spans="1:4" ht="12.75" x14ac:dyDescent="0.2">
      <c r="A206" s="17" t="s">
        <v>740</v>
      </c>
      <c r="B206" s="17" t="s">
        <v>741</v>
      </c>
      <c r="C206" s="19">
        <v>15.55</v>
      </c>
      <c r="D206" s="19">
        <v>32.53</v>
      </c>
    </row>
    <row r="207" spans="1:4" ht="12.75" x14ac:dyDescent="0.2">
      <c r="A207" s="17" t="s">
        <v>742</v>
      </c>
      <c r="B207" s="17" t="s">
        <v>743</v>
      </c>
      <c r="C207" s="19">
        <v>5.87</v>
      </c>
      <c r="D207" s="19">
        <v>-55.17</v>
      </c>
    </row>
    <row r="208" spans="1:4" ht="12.75" x14ac:dyDescent="0.2">
      <c r="A208" s="17" t="s">
        <v>744</v>
      </c>
      <c r="B208" s="17" t="s">
        <v>745</v>
      </c>
      <c r="C208" s="19">
        <v>78.22</v>
      </c>
      <c r="D208" s="19">
        <v>15.64</v>
      </c>
    </row>
    <row r="209" spans="1:4" ht="12.75" x14ac:dyDescent="0.2">
      <c r="A209" s="17" t="s">
        <v>746</v>
      </c>
      <c r="B209" s="17" t="s">
        <v>747</v>
      </c>
      <c r="C209" s="19">
        <v>-26.32</v>
      </c>
      <c r="D209" s="19">
        <v>31.13</v>
      </c>
    </row>
    <row r="210" spans="1:4" ht="12.75" x14ac:dyDescent="0.2">
      <c r="A210" s="17" t="s">
        <v>748</v>
      </c>
      <c r="B210" s="17" t="s">
        <v>749</v>
      </c>
      <c r="C210" s="19">
        <v>59.33</v>
      </c>
      <c r="D210" s="19">
        <v>18.059999999999999</v>
      </c>
    </row>
    <row r="211" spans="1:4" ht="12.75" x14ac:dyDescent="0.2">
      <c r="A211" s="17" t="s">
        <v>750</v>
      </c>
      <c r="B211" s="17" t="s">
        <v>751</v>
      </c>
      <c r="C211" s="19">
        <v>46.95</v>
      </c>
      <c r="D211" s="19">
        <v>7.45</v>
      </c>
    </row>
    <row r="212" spans="1:4" ht="12.75" x14ac:dyDescent="0.2">
      <c r="A212" s="17" t="s">
        <v>752</v>
      </c>
      <c r="B212" s="17" t="s">
        <v>753</v>
      </c>
      <c r="C212" s="19">
        <v>33.51</v>
      </c>
      <c r="D212" s="19">
        <v>36.29</v>
      </c>
    </row>
    <row r="213" spans="1:4" ht="12.75" x14ac:dyDescent="0.2">
      <c r="A213" s="17" t="s">
        <v>756</v>
      </c>
      <c r="B213" s="17" t="s">
        <v>757</v>
      </c>
      <c r="C213" s="19">
        <v>25.05</v>
      </c>
      <c r="D213" s="19">
        <v>121.53</v>
      </c>
    </row>
    <row r="214" spans="1:4" ht="12.75" x14ac:dyDescent="0.2">
      <c r="A214" s="17" t="s">
        <v>758</v>
      </c>
      <c r="B214" s="17" t="s">
        <v>759</v>
      </c>
      <c r="C214" s="19">
        <v>38.54</v>
      </c>
      <c r="D214" s="19">
        <v>68.78</v>
      </c>
    </row>
    <row r="215" spans="1:4" ht="12.75" x14ac:dyDescent="0.2">
      <c r="A215" s="17" t="s">
        <v>760</v>
      </c>
      <c r="B215" s="17" t="s">
        <v>761</v>
      </c>
      <c r="C215" s="19">
        <v>-6.17</v>
      </c>
      <c r="D215" s="19">
        <v>35.74</v>
      </c>
    </row>
    <row r="216" spans="1:4" ht="12.75" x14ac:dyDescent="0.2">
      <c r="A216" s="17" t="s">
        <v>762</v>
      </c>
      <c r="B216" s="17" t="s">
        <v>763</v>
      </c>
      <c r="C216" s="19">
        <v>13.75</v>
      </c>
      <c r="D216" s="19">
        <v>100.5</v>
      </c>
    </row>
    <row r="217" spans="1:4" ht="12.75" x14ac:dyDescent="0.2">
      <c r="A217" s="17" t="s">
        <v>764</v>
      </c>
      <c r="B217" s="17" t="s">
        <v>765</v>
      </c>
      <c r="C217" s="19">
        <v>6.14</v>
      </c>
      <c r="D217" s="19">
        <v>1.21</v>
      </c>
    </row>
    <row r="218" spans="1:4" ht="12.75" x14ac:dyDescent="0.2">
      <c r="A218" s="17" t="s">
        <v>766</v>
      </c>
      <c r="B218" s="17" t="s">
        <v>767</v>
      </c>
      <c r="C218" s="19">
        <v>-171.85</v>
      </c>
      <c r="D218" s="19">
        <v>-9.1999999999999993</v>
      </c>
    </row>
    <row r="219" spans="1:4" ht="12.75" x14ac:dyDescent="0.2">
      <c r="A219" s="17" t="s">
        <v>768</v>
      </c>
      <c r="B219" s="17" t="s">
        <v>770</v>
      </c>
      <c r="C219" s="19">
        <v>-21.13</v>
      </c>
      <c r="D219" s="19">
        <v>-175.2</v>
      </c>
    </row>
    <row r="220" spans="1:4" ht="12.75" x14ac:dyDescent="0.2">
      <c r="A220" s="17" t="s">
        <v>773</v>
      </c>
      <c r="B220" s="17" t="s">
        <v>774</v>
      </c>
      <c r="C220" s="19">
        <v>10.67</v>
      </c>
      <c r="D220" s="19">
        <v>-61.52</v>
      </c>
    </row>
    <row r="221" spans="1:4" ht="12.75" x14ac:dyDescent="0.2">
      <c r="A221" s="17" t="s">
        <v>775</v>
      </c>
      <c r="B221" s="17" t="s">
        <v>776</v>
      </c>
      <c r="C221" s="19">
        <v>36.82</v>
      </c>
      <c r="D221" s="19">
        <v>10.17</v>
      </c>
    </row>
    <row r="222" spans="1:4" ht="12.75" x14ac:dyDescent="0.2">
      <c r="A222" s="17" t="s">
        <v>778</v>
      </c>
      <c r="B222" s="17" t="s">
        <v>779</v>
      </c>
      <c r="C222" s="19">
        <v>39.92</v>
      </c>
      <c r="D222" s="19">
        <v>32.85</v>
      </c>
    </row>
    <row r="223" spans="1:4" ht="12.75" x14ac:dyDescent="0.2">
      <c r="A223" s="17" t="s">
        <v>781</v>
      </c>
      <c r="B223" s="17" t="s">
        <v>782</v>
      </c>
      <c r="C223" s="19">
        <v>37.950000000000003</v>
      </c>
      <c r="D223" s="19">
        <v>58.38</v>
      </c>
    </row>
    <row r="224" spans="1:4" ht="12.75" x14ac:dyDescent="0.2">
      <c r="A224" s="17" t="s">
        <v>784</v>
      </c>
      <c r="B224" s="17" t="s">
        <v>785</v>
      </c>
      <c r="C224" s="19">
        <v>21.46</v>
      </c>
      <c r="D224" s="19">
        <v>-71.14</v>
      </c>
    </row>
    <row r="225" spans="1:4" ht="12.75" x14ac:dyDescent="0.2">
      <c r="A225" s="17" t="s">
        <v>786</v>
      </c>
      <c r="B225" s="17" t="s">
        <v>787</v>
      </c>
      <c r="C225" s="19">
        <v>-8.52</v>
      </c>
      <c r="D225" s="19">
        <v>179.19</v>
      </c>
    </row>
    <row r="226" spans="1:4" ht="12.75" x14ac:dyDescent="0.2">
      <c r="A226" s="17" t="s">
        <v>788</v>
      </c>
      <c r="B226" s="17" t="s">
        <v>789</v>
      </c>
      <c r="C226" s="19">
        <v>18.34</v>
      </c>
      <c r="D226" s="19">
        <v>-64.930000000000007</v>
      </c>
    </row>
    <row r="227" spans="1:4" ht="12.75" x14ac:dyDescent="0.2">
      <c r="A227" s="17" t="s">
        <v>790</v>
      </c>
      <c r="B227" s="17" t="s">
        <v>791</v>
      </c>
      <c r="C227" s="19">
        <v>0.32</v>
      </c>
      <c r="D227" s="19">
        <v>32.58</v>
      </c>
    </row>
    <row r="228" spans="1:4" ht="12.75" x14ac:dyDescent="0.2">
      <c r="A228" s="17" t="s">
        <v>792</v>
      </c>
      <c r="B228" s="17" t="s">
        <v>793</v>
      </c>
      <c r="C228" s="19">
        <v>50.45</v>
      </c>
      <c r="D228" s="19">
        <v>30.52</v>
      </c>
    </row>
    <row r="229" spans="1:4" ht="12.75" x14ac:dyDescent="0.2">
      <c r="A229" s="17" t="s">
        <v>794</v>
      </c>
      <c r="B229" s="17" t="s">
        <v>795</v>
      </c>
      <c r="C229" s="19">
        <v>24.47</v>
      </c>
      <c r="D229" s="19">
        <v>54.37</v>
      </c>
    </row>
    <row r="230" spans="1:4" ht="12.75" x14ac:dyDescent="0.2">
      <c r="A230" s="17" t="s">
        <v>796</v>
      </c>
      <c r="B230" s="17" t="s">
        <v>797</v>
      </c>
      <c r="C230" s="19">
        <v>51.51</v>
      </c>
      <c r="D230" s="19">
        <v>-0.13</v>
      </c>
    </row>
    <row r="231" spans="1:4" ht="12.75" x14ac:dyDescent="0.2">
      <c r="A231" s="17" t="s">
        <v>798</v>
      </c>
      <c r="B231" s="17" t="s">
        <v>799</v>
      </c>
      <c r="C231" s="19">
        <v>38.9</v>
      </c>
      <c r="D231" s="19">
        <v>-77.040000000000006</v>
      </c>
    </row>
    <row r="232" spans="1:4" ht="12.75" x14ac:dyDescent="0.2">
      <c r="A232" s="17" t="s">
        <v>800</v>
      </c>
      <c r="B232" s="17" t="s">
        <v>801</v>
      </c>
      <c r="C232" s="19">
        <v>-34.83</v>
      </c>
      <c r="D232" s="19">
        <v>-56.17</v>
      </c>
    </row>
    <row r="233" spans="1:4" ht="12.75" x14ac:dyDescent="0.2">
      <c r="A233" s="17" t="s">
        <v>802</v>
      </c>
      <c r="B233" s="17" t="s">
        <v>803</v>
      </c>
      <c r="C233" s="19">
        <v>41.26</v>
      </c>
      <c r="D233" s="19">
        <v>69.22</v>
      </c>
    </row>
    <row r="234" spans="1:4" ht="12.75" x14ac:dyDescent="0.2">
      <c r="A234" s="17" t="s">
        <v>804</v>
      </c>
      <c r="B234" s="17" t="s">
        <v>805</v>
      </c>
      <c r="C234" s="19">
        <v>-17.73</v>
      </c>
      <c r="D234" s="19">
        <v>168.32</v>
      </c>
    </row>
    <row r="235" spans="1:4" ht="12.75" x14ac:dyDescent="0.2">
      <c r="A235" s="17" t="s">
        <v>808</v>
      </c>
      <c r="B235" s="17" t="s">
        <v>809</v>
      </c>
      <c r="C235" s="19">
        <v>41.9</v>
      </c>
      <c r="D235" s="19">
        <v>12.45</v>
      </c>
    </row>
    <row r="236" spans="1:4" ht="12.75" x14ac:dyDescent="0.2">
      <c r="A236" s="17" t="s">
        <v>810</v>
      </c>
      <c r="B236" s="17" t="s">
        <v>811</v>
      </c>
      <c r="C236" s="19">
        <v>10.49</v>
      </c>
      <c r="D236" s="19">
        <v>-66.88</v>
      </c>
    </row>
    <row r="237" spans="1:4" ht="12.75" x14ac:dyDescent="0.2">
      <c r="A237" s="17" t="s">
        <v>812</v>
      </c>
      <c r="B237" s="17" t="s">
        <v>813</v>
      </c>
      <c r="C237" s="19">
        <v>21.02</v>
      </c>
      <c r="D237" s="19">
        <v>105.84</v>
      </c>
    </row>
    <row r="238" spans="1:4" ht="12.75" x14ac:dyDescent="0.2">
      <c r="A238" s="17" t="s">
        <v>815</v>
      </c>
      <c r="B238" s="17" t="s">
        <v>816</v>
      </c>
      <c r="C238" s="19">
        <v>-13.28</v>
      </c>
      <c r="D238" s="19">
        <v>-176.17</v>
      </c>
    </row>
    <row r="239" spans="1:4" ht="12.75" x14ac:dyDescent="0.2">
      <c r="A239" s="17" t="s">
        <v>817</v>
      </c>
      <c r="B239" s="17" t="s">
        <v>818</v>
      </c>
      <c r="C239" s="19">
        <v>27.16</v>
      </c>
      <c r="D239" s="19">
        <v>-13.2</v>
      </c>
    </row>
    <row r="240" spans="1:4" ht="12.75" x14ac:dyDescent="0.2">
      <c r="A240" s="17" t="s">
        <v>819</v>
      </c>
      <c r="B240" s="17" t="s">
        <v>820</v>
      </c>
      <c r="C240" s="19">
        <v>15.35</v>
      </c>
      <c r="D240" s="19">
        <v>44.21</v>
      </c>
    </row>
    <row r="241" spans="1:4" ht="12.75" x14ac:dyDescent="0.2">
      <c r="A241" s="17" t="s">
        <v>821</v>
      </c>
      <c r="B241" s="17" t="s">
        <v>822</v>
      </c>
      <c r="C241" s="19">
        <v>-15.41</v>
      </c>
      <c r="D241" s="19">
        <v>28.29</v>
      </c>
    </row>
    <row r="242" spans="1:4" ht="12.75" x14ac:dyDescent="0.2">
      <c r="A242" s="17" t="s">
        <v>823</v>
      </c>
      <c r="B242" s="17" t="s">
        <v>824</v>
      </c>
      <c r="C242" s="19">
        <v>-17.829999999999998</v>
      </c>
      <c r="D242" s="19">
        <v>31.05</v>
      </c>
    </row>
    <row r="243" spans="1:4" ht="13.5" thickBot="1" x14ac:dyDescent="0.25">
      <c r="A243" s="29"/>
      <c r="B243" s="29"/>
      <c r="C243" s="29"/>
      <c r="D243" s="29"/>
    </row>
    <row r="244" spans="1:4" ht="15" thickBot="1" x14ac:dyDescent="0.25">
      <c r="A244" s="37" t="s">
        <v>150</v>
      </c>
      <c r="B244" s="37"/>
      <c r="C244" s="40">
        <v>-8.7831949999999992</v>
      </c>
      <c r="D244" s="41">
        <v>34.508522999999997</v>
      </c>
    </row>
    <row r="245" spans="1:4" ht="13.5" thickBot="1" x14ac:dyDescent="0.25">
      <c r="A245" s="37" t="s">
        <v>1209</v>
      </c>
      <c r="B245" s="37"/>
      <c r="C245" s="42">
        <v>29.298528000000001</v>
      </c>
      <c r="D245" s="43">
        <v>42.551000000000002</v>
      </c>
    </row>
    <row r="246" spans="1:4" ht="13.5" thickBot="1" x14ac:dyDescent="0.25">
      <c r="A246" s="37" t="s">
        <v>1210</v>
      </c>
      <c r="B246" s="37"/>
      <c r="C246" s="42">
        <v>34.047863</v>
      </c>
      <c r="D246" s="43">
        <v>100.61969999999999</v>
      </c>
    </row>
    <row r="247" spans="1:4" ht="13.5" thickBot="1" x14ac:dyDescent="0.25">
      <c r="A247" s="37" t="s">
        <v>1213</v>
      </c>
      <c r="B247" s="37"/>
      <c r="C247" s="42">
        <v>62.278647999999997</v>
      </c>
      <c r="D247" s="43">
        <v>12.340171</v>
      </c>
    </row>
    <row r="248" spans="1:4" ht="13.5" thickBot="1" x14ac:dyDescent="0.25">
      <c r="A248" s="37" t="s">
        <v>914</v>
      </c>
      <c r="B248" s="37"/>
      <c r="C248" s="42">
        <v>19.896766</v>
      </c>
      <c r="D248" s="43">
        <v>-155.58278200000001</v>
      </c>
    </row>
    <row r="249" spans="1:4" ht="13.5" thickBot="1" x14ac:dyDescent="0.25">
      <c r="A249" s="37" t="s">
        <v>1218</v>
      </c>
      <c r="B249" s="37"/>
      <c r="C249" s="42">
        <v>-4.4420380000000002</v>
      </c>
      <c r="D249" s="43">
        <v>-61.326853999999997</v>
      </c>
    </row>
    <row r="250" spans="1:4" ht="13.5" thickBot="1" x14ac:dyDescent="0.25">
      <c r="A250" s="37" t="s">
        <v>105</v>
      </c>
      <c r="B250" s="37"/>
      <c r="C250" s="42">
        <v>34.553128000000001</v>
      </c>
      <c r="D250" s="43">
        <v>18.048010999999999</v>
      </c>
    </row>
    <row r="251" spans="1:4" ht="12.75" x14ac:dyDescent="0.2">
      <c r="A251" s="29"/>
      <c r="B251" s="29"/>
      <c r="C251" s="29"/>
      <c r="D251" s="29"/>
    </row>
    <row r="252" spans="1:4" ht="12.75" x14ac:dyDescent="0.2">
      <c r="A252" s="29"/>
      <c r="B252" s="29"/>
      <c r="C252" s="29"/>
      <c r="D252" s="29"/>
    </row>
    <row r="253" spans="1:4" ht="12.75" x14ac:dyDescent="0.2">
      <c r="A253" s="29"/>
      <c r="B253" s="29"/>
      <c r="C253" s="29"/>
      <c r="D253" s="29"/>
    </row>
    <row r="254" spans="1:4" ht="12.75" x14ac:dyDescent="0.2">
      <c r="A254" s="29"/>
      <c r="B254" s="29"/>
      <c r="C254" s="29"/>
      <c r="D254" s="29"/>
    </row>
    <row r="255" spans="1:4" ht="12.75" x14ac:dyDescent="0.2">
      <c r="A255" s="29"/>
      <c r="B255" s="29"/>
      <c r="C255" s="29"/>
      <c r="D255" s="29"/>
    </row>
    <row r="256" spans="1:4" ht="12.75" x14ac:dyDescent="0.2">
      <c r="A256" s="29"/>
      <c r="B256" s="29"/>
      <c r="C256" s="29"/>
      <c r="D256" s="29"/>
    </row>
    <row r="257" spans="1:4" ht="12.75" x14ac:dyDescent="0.2">
      <c r="A257" s="29"/>
      <c r="B257" s="29"/>
      <c r="C257" s="29"/>
      <c r="D257" s="29"/>
    </row>
    <row r="258" spans="1:4" ht="12.75" x14ac:dyDescent="0.2">
      <c r="A258" s="29"/>
      <c r="B258" s="29"/>
      <c r="C258" s="29"/>
      <c r="D258" s="29"/>
    </row>
    <row r="259" spans="1:4" ht="12.75" x14ac:dyDescent="0.2">
      <c r="A259" s="29"/>
      <c r="B259" s="29"/>
      <c r="C259" s="29"/>
      <c r="D259" s="29"/>
    </row>
    <row r="260" spans="1:4" ht="12.75" x14ac:dyDescent="0.2">
      <c r="A260" s="29"/>
      <c r="B260" s="29"/>
      <c r="C260" s="29"/>
      <c r="D260" s="29"/>
    </row>
    <row r="261" spans="1:4" ht="12.75" x14ac:dyDescent="0.2">
      <c r="A261" s="29"/>
      <c r="B261" s="29"/>
      <c r="C261" s="29"/>
      <c r="D261" s="29"/>
    </row>
    <row r="262" spans="1:4" ht="12.75" x14ac:dyDescent="0.2">
      <c r="A262" s="29"/>
      <c r="B262" s="29"/>
      <c r="C262" s="29"/>
      <c r="D262" s="29"/>
    </row>
    <row r="263" spans="1:4" ht="12.75" x14ac:dyDescent="0.2">
      <c r="A263" s="29"/>
      <c r="B263" s="29"/>
      <c r="C263" s="29"/>
      <c r="D263" s="29"/>
    </row>
    <row r="264" spans="1:4" ht="12.75" x14ac:dyDescent="0.2">
      <c r="A264" s="29"/>
      <c r="B264" s="29"/>
      <c r="C264" s="29"/>
      <c r="D264" s="29"/>
    </row>
    <row r="265" spans="1:4" ht="12.75" x14ac:dyDescent="0.2">
      <c r="A265" s="29"/>
      <c r="B265" s="29"/>
      <c r="C265" s="29"/>
      <c r="D265" s="29"/>
    </row>
    <row r="266" spans="1:4" ht="12.75" x14ac:dyDescent="0.2">
      <c r="A266" s="29"/>
      <c r="B266" s="29"/>
      <c r="C266" s="29"/>
      <c r="D266" s="29"/>
    </row>
    <row r="267" spans="1:4" ht="12.75" x14ac:dyDescent="0.2">
      <c r="A267" s="29"/>
      <c r="B267" s="29"/>
      <c r="C267" s="29"/>
      <c r="D267" s="29"/>
    </row>
    <row r="268" spans="1:4" ht="12.75" x14ac:dyDescent="0.2">
      <c r="A268" s="29"/>
      <c r="B268" s="29"/>
      <c r="C268" s="29"/>
      <c r="D268" s="29"/>
    </row>
    <row r="269" spans="1:4" ht="12.75" x14ac:dyDescent="0.2">
      <c r="A269" s="29"/>
      <c r="B269" s="29"/>
      <c r="C269" s="29"/>
      <c r="D269" s="29"/>
    </row>
    <row r="270" spans="1:4" ht="12.75" x14ac:dyDescent="0.2">
      <c r="A270" s="29"/>
      <c r="B270" s="29"/>
      <c r="C270" s="29"/>
      <c r="D270" s="29"/>
    </row>
    <row r="271" spans="1:4" ht="12.75" x14ac:dyDescent="0.2">
      <c r="A271" s="29"/>
      <c r="B271" s="29"/>
      <c r="C271" s="29"/>
      <c r="D271" s="29"/>
    </row>
    <row r="272" spans="1:4" ht="12.75" x14ac:dyDescent="0.2">
      <c r="A272" s="29"/>
      <c r="B272" s="29"/>
      <c r="C272" s="29"/>
      <c r="D272" s="29"/>
    </row>
    <row r="273" spans="1:4" ht="12.75" x14ac:dyDescent="0.2">
      <c r="A273" s="29"/>
      <c r="B273" s="29"/>
      <c r="C273" s="29"/>
      <c r="D273" s="29"/>
    </row>
    <row r="274" spans="1:4" ht="12.75" x14ac:dyDescent="0.2">
      <c r="A274" s="29"/>
      <c r="B274" s="29"/>
      <c r="C274" s="29"/>
      <c r="D274" s="29"/>
    </row>
    <row r="275" spans="1:4" ht="12.75" x14ac:dyDescent="0.2">
      <c r="A275" s="29"/>
      <c r="B275" s="29"/>
      <c r="C275" s="29"/>
      <c r="D275" s="29"/>
    </row>
    <row r="276" spans="1:4" ht="12.75" x14ac:dyDescent="0.2">
      <c r="A276" s="29"/>
      <c r="B276" s="29"/>
      <c r="C276" s="29"/>
      <c r="D276" s="29"/>
    </row>
    <row r="277" spans="1:4" ht="12.75" x14ac:dyDescent="0.2">
      <c r="A277" s="29"/>
      <c r="B277" s="29"/>
      <c r="C277" s="29"/>
      <c r="D277" s="29"/>
    </row>
    <row r="278" spans="1:4" ht="12.75" x14ac:dyDescent="0.2">
      <c r="A278" s="29"/>
      <c r="B278" s="29"/>
      <c r="C278" s="29"/>
      <c r="D278" s="29"/>
    </row>
    <row r="279" spans="1:4" ht="12.75" x14ac:dyDescent="0.2">
      <c r="A279" s="29"/>
      <c r="B279" s="29"/>
      <c r="C279" s="29"/>
      <c r="D279" s="29"/>
    </row>
    <row r="280" spans="1:4" ht="12.75" x14ac:dyDescent="0.2">
      <c r="A280" s="29"/>
      <c r="B280" s="29"/>
      <c r="C280" s="29"/>
      <c r="D280" s="29"/>
    </row>
    <row r="281" spans="1:4" ht="12.75" x14ac:dyDescent="0.2">
      <c r="A281" s="29"/>
      <c r="B281" s="29"/>
      <c r="C281" s="29"/>
      <c r="D281" s="29"/>
    </row>
    <row r="282" spans="1:4" ht="12.75" x14ac:dyDescent="0.2">
      <c r="A282" s="29"/>
      <c r="B282" s="29"/>
      <c r="C282" s="29"/>
      <c r="D282" s="29"/>
    </row>
    <row r="283" spans="1:4" ht="12.75" x14ac:dyDescent="0.2">
      <c r="A283" s="29"/>
      <c r="B283" s="29"/>
      <c r="C283" s="29"/>
      <c r="D283" s="29"/>
    </row>
    <row r="284" spans="1:4" ht="12.75" x14ac:dyDescent="0.2">
      <c r="A284" s="29"/>
      <c r="B284" s="29"/>
      <c r="C284" s="29"/>
      <c r="D284" s="29"/>
    </row>
    <row r="285" spans="1:4" ht="12.75" x14ac:dyDescent="0.2">
      <c r="A285" s="29"/>
      <c r="B285" s="29"/>
      <c r="C285" s="29"/>
      <c r="D285" s="29"/>
    </row>
    <row r="286" spans="1:4" ht="12.75" x14ac:dyDescent="0.2">
      <c r="A286" s="29"/>
      <c r="B286" s="29"/>
      <c r="C286" s="29"/>
      <c r="D286" s="29"/>
    </row>
    <row r="287" spans="1:4" ht="12.75" x14ac:dyDescent="0.2">
      <c r="A287" s="29"/>
      <c r="B287" s="29"/>
      <c r="C287" s="29"/>
      <c r="D287" s="29"/>
    </row>
    <row r="288" spans="1:4" ht="12.75" x14ac:dyDescent="0.2">
      <c r="A288" s="29"/>
      <c r="B288" s="29"/>
      <c r="C288" s="29"/>
      <c r="D288" s="29"/>
    </row>
    <row r="289" spans="1:4" ht="12.75" x14ac:dyDescent="0.2">
      <c r="A289" s="29"/>
      <c r="B289" s="29"/>
      <c r="C289" s="29"/>
      <c r="D289" s="29"/>
    </row>
    <row r="290" spans="1:4" ht="12.75" x14ac:dyDescent="0.2">
      <c r="A290" s="29"/>
      <c r="B290" s="29"/>
      <c r="C290" s="29"/>
      <c r="D290" s="29"/>
    </row>
    <row r="291" spans="1:4" ht="12.75" x14ac:dyDescent="0.2">
      <c r="A291" s="29"/>
      <c r="B291" s="29"/>
      <c r="C291" s="29"/>
      <c r="D291" s="29"/>
    </row>
    <row r="292" spans="1:4" ht="12.75" x14ac:dyDescent="0.2">
      <c r="A292" s="29"/>
      <c r="B292" s="29"/>
      <c r="C292" s="29"/>
      <c r="D292" s="29"/>
    </row>
    <row r="293" spans="1:4" ht="12.75" x14ac:dyDescent="0.2">
      <c r="A293" s="29"/>
      <c r="B293" s="29"/>
      <c r="C293" s="29"/>
      <c r="D293" s="29"/>
    </row>
    <row r="294" spans="1:4" ht="12.75" x14ac:dyDescent="0.2">
      <c r="A294" s="29"/>
      <c r="B294" s="29"/>
      <c r="C294" s="29"/>
      <c r="D294" s="29"/>
    </row>
    <row r="295" spans="1:4" ht="12.75" x14ac:dyDescent="0.2">
      <c r="A295" s="29"/>
      <c r="B295" s="29"/>
      <c r="C295" s="29"/>
      <c r="D295" s="29"/>
    </row>
    <row r="296" spans="1:4" ht="12.75" x14ac:dyDescent="0.2">
      <c r="A296" s="29"/>
      <c r="B296" s="29"/>
      <c r="C296" s="29"/>
      <c r="D296" s="29"/>
    </row>
    <row r="297" spans="1:4" ht="12.75" x14ac:dyDescent="0.2">
      <c r="A297" s="29"/>
      <c r="B297" s="29"/>
      <c r="C297" s="29"/>
      <c r="D297" s="29"/>
    </row>
    <row r="298" spans="1:4" ht="12.75" x14ac:dyDescent="0.2">
      <c r="A298" s="29"/>
      <c r="B298" s="29"/>
      <c r="C298" s="29"/>
      <c r="D298" s="29"/>
    </row>
    <row r="299" spans="1:4" ht="12.75" x14ac:dyDescent="0.2">
      <c r="A299" s="29"/>
      <c r="B299" s="29"/>
      <c r="C299" s="29"/>
      <c r="D299" s="29"/>
    </row>
    <row r="300" spans="1:4" ht="12.75" x14ac:dyDescent="0.2">
      <c r="A300" s="29"/>
      <c r="B300" s="29"/>
      <c r="C300" s="29"/>
      <c r="D300" s="29"/>
    </row>
    <row r="301" spans="1:4" ht="12.75" x14ac:dyDescent="0.2">
      <c r="A301" s="29"/>
      <c r="B301" s="29"/>
      <c r="C301" s="29"/>
      <c r="D301" s="29"/>
    </row>
    <row r="302" spans="1:4" ht="12.75" x14ac:dyDescent="0.2">
      <c r="A302" s="29"/>
      <c r="B302" s="29"/>
      <c r="C302" s="29"/>
      <c r="D302" s="29"/>
    </row>
    <row r="303" spans="1:4" ht="12.75" x14ac:dyDescent="0.2">
      <c r="A303" s="29"/>
      <c r="B303" s="29"/>
      <c r="C303" s="29"/>
      <c r="D303" s="29"/>
    </row>
    <row r="304" spans="1:4" ht="12.75" x14ac:dyDescent="0.2">
      <c r="A304" s="29"/>
      <c r="B304" s="29"/>
      <c r="C304" s="29"/>
      <c r="D304" s="29"/>
    </row>
    <row r="305" spans="1:4" ht="12.75" x14ac:dyDescent="0.2">
      <c r="A305" s="29"/>
      <c r="B305" s="29"/>
      <c r="C305" s="29"/>
      <c r="D305" s="29"/>
    </row>
    <row r="306" spans="1:4" ht="12.75" x14ac:dyDescent="0.2">
      <c r="A306" s="29"/>
      <c r="B306" s="29"/>
      <c r="C306" s="29"/>
      <c r="D306" s="29"/>
    </row>
    <row r="307" spans="1:4" ht="12.75" x14ac:dyDescent="0.2">
      <c r="A307" s="29"/>
      <c r="B307" s="29"/>
      <c r="C307" s="29"/>
      <c r="D307" s="29"/>
    </row>
    <row r="308" spans="1:4" ht="12.75" x14ac:dyDescent="0.2">
      <c r="A308" s="29"/>
      <c r="B308" s="29"/>
      <c r="C308" s="29"/>
      <c r="D308" s="29"/>
    </row>
    <row r="309" spans="1:4" ht="12.75" x14ac:dyDescent="0.2">
      <c r="A309" s="29"/>
      <c r="B309" s="29"/>
      <c r="C309" s="29"/>
      <c r="D309" s="29"/>
    </row>
    <row r="310" spans="1:4" ht="12.75" x14ac:dyDescent="0.2">
      <c r="A310" s="29"/>
      <c r="B310" s="29"/>
      <c r="C310" s="29"/>
      <c r="D310" s="29"/>
    </row>
    <row r="311" spans="1:4" ht="12.75" x14ac:dyDescent="0.2">
      <c r="A311" s="29"/>
      <c r="B311" s="29"/>
      <c r="C311" s="29"/>
      <c r="D311" s="29"/>
    </row>
    <row r="312" spans="1:4" ht="12.75" x14ac:dyDescent="0.2">
      <c r="A312" s="29"/>
      <c r="B312" s="29"/>
      <c r="C312" s="29"/>
      <c r="D312" s="29"/>
    </row>
    <row r="313" spans="1:4" ht="12.75" x14ac:dyDescent="0.2">
      <c r="A313" s="29"/>
      <c r="B313" s="29"/>
      <c r="C313" s="29"/>
      <c r="D313" s="29"/>
    </row>
    <row r="314" spans="1:4" ht="12.75" x14ac:dyDescent="0.2">
      <c r="A314" s="29"/>
      <c r="B314" s="29"/>
      <c r="C314" s="29"/>
      <c r="D314" s="29"/>
    </row>
    <row r="315" spans="1:4" ht="12.75" x14ac:dyDescent="0.2">
      <c r="A315" s="29"/>
      <c r="B315" s="29"/>
      <c r="C315" s="29"/>
      <c r="D315" s="29"/>
    </row>
    <row r="316" spans="1:4" ht="12.75" x14ac:dyDescent="0.2">
      <c r="A316" s="29"/>
      <c r="B316" s="29"/>
      <c r="C316" s="29"/>
      <c r="D316" s="29"/>
    </row>
    <row r="317" spans="1:4" ht="12.75" x14ac:dyDescent="0.2">
      <c r="A317" s="29"/>
      <c r="B317" s="29"/>
      <c r="C317" s="29"/>
      <c r="D317" s="29"/>
    </row>
    <row r="318" spans="1:4" ht="12.75" x14ac:dyDescent="0.2">
      <c r="A318" s="29"/>
      <c r="B318" s="29"/>
      <c r="C318" s="29"/>
      <c r="D318" s="29"/>
    </row>
    <row r="319" spans="1:4" ht="12.75" x14ac:dyDescent="0.2">
      <c r="A319" s="29"/>
      <c r="B319" s="29"/>
      <c r="C319" s="29"/>
      <c r="D319" s="29"/>
    </row>
    <row r="320" spans="1:4" ht="12.75" x14ac:dyDescent="0.2">
      <c r="A320" s="29"/>
      <c r="B320" s="29"/>
      <c r="C320" s="29"/>
      <c r="D320" s="29"/>
    </row>
    <row r="321" spans="1:4" ht="12.75" x14ac:dyDescent="0.2">
      <c r="A321" s="29"/>
      <c r="B321" s="29"/>
      <c r="C321" s="29"/>
      <c r="D321" s="29"/>
    </row>
    <row r="322" spans="1:4" ht="12.75" x14ac:dyDescent="0.2">
      <c r="A322" s="29"/>
      <c r="B322" s="29"/>
      <c r="C322" s="29"/>
      <c r="D322" s="29"/>
    </row>
    <row r="323" spans="1:4" ht="12.75" x14ac:dyDescent="0.2">
      <c r="A323" s="29"/>
      <c r="B323" s="29"/>
      <c r="C323" s="29"/>
      <c r="D323" s="29"/>
    </row>
    <row r="324" spans="1:4" ht="12.75" x14ac:dyDescent="0.2">
      <c r="A324" s="29"/>
      <c r="B324" s="29"/>
      <c r="C324" s="29"/>
      <c r="D324" s="29"/>
    </row>
    <row r="325" spans="1:4" ht="12.75" x14ac:dyDescent="0.2">
      <c r="A325" s="29"/>
      <c r="B325" s="29"/>
      <c r="C325" s="29"/>
      <c r="D325" s="29"/>
    </row>
    <row r="326" spans="1:4" ht="12.75" x14ac:dyDescent="0.2">
      <c r="A326" s="29"/>
      <c r="B326" s="29"/>
      <c r="C326" s="29"/>
      <c r="D326" s="29"/>
    </row>
    <row r="327" spans="1:4" ht="12.75" x14ac:dyDescent="0.2">
      <c r="A327" s="29"/>
      <c r="B327" s="29"/>
      <c r="C327" s="29"/>
      <c r="D327" s="29"/>
    </row>
    <row r="328" spans="1:4" ht="12.75" x14ac:dyDescent="0.2">
      <c r="A328" s="29"/>
      <c r="B328" s="29"/>
      <c r="C328" s="29"/>
      <c r="D328" s="29"/>
    </row>
    <row r="329" spans="1:4" ht="12.75" x14ac:dyDescent="0.2">
      <c r="A329" s="29"/>
      <c r="B329" s="29"/>
      <c r="C329" s="29"/>
      <c r="D329" s="29"/>
    </row>
    <row r="330" spans="1:4" ht="12.75" x14ac:dyDescent="0.2">
      <c r="A330" s="29"/>
      <c r="B330" s="29"/>
      <c r="C330" s="29"/>
      <c r="D330" s="29"/>
    </row>
    <row r="331" spans="1:4" ht="12.75" x14ac:dyDescent="0.2">
      <c r="A331" s="29"/>
      <c r="B331" s="29"/>
      <c r="C331" s="29"/>
      <c r="D331" s="29"/>
    </row>
    <row r="332" spans="1:4" ht="12.75" x14ac:dyDescent="0.2">
      <c r="A332" s="29"/>
      <c r="B332" s="29"/>
      <c r="C332" s="29"/>
      <c r="D332" s="29"/>
    </row>
    <row r="333" spans="1:4" ht="12.75" x14ac:dyDescent="0.2">
      <c r="A333" s="29"/>
      <c r="B333" s="29"/>
      <c r="C333" s="29"/>
      <c r="D333" s="29"/>
    </row>
    <row r="334" spans="1:4" ht="12.75" x14ac:dyDescent="0.2">
      <c r="A334" s="29"/>
      <c r="B334" s="29"/>
      <c r="C334" s="29"/>
      <c r="D334" s="29"/>
    </row>
    <row r="335" spans="1:4" ht="12.75" x14ac:dyDescent="0.2">
      <c r="A335" s="29"/>
      <c r="B335" s="29"/>
      <c r="C335" s="29"/>
      <c r="D335" s="29"/>
    </row>
    <row r="336" spans="1:4" ht="12.75" x14ac:dyDescent="0.2">
      <c r="A336" s="29"/>
      <c r="B336" s="29"/>
      <c r="C336" s="29"/>
      <c r="D336" s="29"/>
    </row>
    <row r="337" spans="1:4" ht="12.75" x14ac:dyDescent="0.2">
      <c r="A337" s="29"/>
      <c r="B337" s="29"/>
      <c r="C337" s="29"/>
      <c r="D337" s="29"/>
    </row>
    <row r="338" spans="1:4" ht="12.75" x14ac:dyDescent="0.2">
      <c r="A338" s="29"/>
      <c r="B338" s="29"/>
      <c r="C338" s="29"/>
      <c r="D338" s="29"/>
    </row>
    <row r="339" spans="1:4" ht="12.75" x14ac:dyDescent="0.2">
      <c r="A339" s="29"/>
      <c r="B339" s="29"/>
      <c r="C339" s="29"/>
      <c r="D339" s="29"/>
    </row>
    <row r="340" spans="1:4" ht="12.75" x14ac:dyDescent="0.2">
      <c r="A340" s="29"/>
      <c r="B340" s="29"/>
      <c r="C340" s="29"/>
      <c r="D340" s="29"/>
    </row>
    <row r="341" spans="1:4" ht="12.75" x14ac:dyDescent="0.2">
      <c r="A341" s="29"/>
      <c r="B341" s="29"/>
      <c r="C341" s="29"/>
      <c r="D341" s="29"/>
    </row>
    <row r="342" spans="1:4" ht="12.75" x14ac:dyDescent="0.2">
      <c r="A342" s="29"/>
      <c r="B342" s="29"/>
      <c r="C342" s="29"/>
      <c r="D342" s="29"/>
    </row>
    <row r="343" spans="1:4" ht="12.75" x14ac:dyDescent="0.2">
      <c r="A343" s="29"/>
      <c r="B343" s="29"/>
      <c r="C343" s="29"/>
      <c r="D343" s="29"/>
    </row>
    <row r="344" spans="1:4" ht="12.75" x14ac:dyDescent="0.2">
      <c r="A344" s="29"/>
      <c r="B344" s="29"/>
      <c r="C344" s="29"/>
      <c r="D344" s="29"/>
    </row>
    <row r="345" spans="1:4" ht="12.75" x14ac:dyDescent="0.2">
      <c r="A345" s="29"/>
      <c r="B345" s="29"/>
      <c r="C345" s="29"/>
      <c r="D345" s="29"/>
    </row>
    <row r="346" spans="1:4" ht="12.75" x14ac:dyDescent="0.2">
      <c r="A346" s="29"/>
      <c r="B346" s="29"/>
      <c r="C346" s="29"/>
      <c r="D346" s="29"/>
    </row>
    <row r="347" spans="1:4" ht="12.75" x14ac:dyDescent="0.2">
      <c r="A347" s="29"/>
      <c r="B347" s="29"/>
      <c r="C347" s="29"/>
      <c r="D347" s="29"/>
    </row>
    <row r="348" spans="1:4" ht="12.75" x14ac:dyDescent="0.2">
      <c r="A348" s="29"/>
      <c r="B348" s="29"/>
      <c r="C348" s="29"/>
      <c r="D348" s="29"/>
    </row>
    <row r="349" spans="1:4" ht="12.75" x14ac:dyDescent="0.2">
      <c r="A349" s="29"/>
      <c r="B349" s="29"/>
      <c r="C349" s="29"/>
      <c r="D349" s="29"/>
    </row>
    <row r="350" spans="1:4" ht="12.75" x14ac:dyDescent="0.2">
      <c r="A350" s="29"/>
      <c r="B350" s="29"/>
      <c r="C350" s="29"/>
      <c r="D350" s="29"/>
    </row>
    <row r="351" spans="1:4" ht="12.75" x14ac:dyDescent="0.2">
      <c r="A351" s="29"/>
      <c r="B351" s="29"/>
      <c r="C351" s="29"/>
      <c r="D351" s="29"/>
    </row>
    <row r="352" spans="1:4" ht="12.75" x14ac:dyDescent="0.2">
      <c r="A352" s="29"/>
      <c r="B352" s="29"/>
      <c r="C352" s="29"/>
      <c r="D352" s="29"/>
    </row>
    <row r="353" spans="1:4" ht="12.75" x14ac:dyDescent="0.2">
      <c r="A353" s="29"/>
      <c r="B353" s="29"/>
      <c r="C353" s="29"/>
      <c r="D353" s="29"/>
    </row>
    <row r="354" spans="1:4" ht="12.75" x14ac:dyDescent="0.2">
      <c r="A354" s="29"/>
      <c r="B354" s="29"/>
      <c r="C354" s="29"/>
      <c r="D354" s="29"/>
    </row>
    <row r="355" spans="1:4" ht="12.75" x14ac:dyDescent="0.2">
      <c r="A355" s="29"/>
      <c r="B355" s="29"/>
      <c r="C355" s="29"/>
      <c r="D355" s="29"/>
    </row>
    <row r="356" spans="1:4" ht="12.75" x14ac:dyDescent="0.2">
      <c r="A356" s="29"/>
      <c r="B356" s="29"/>
      <c r="C356" s="29"/>
      <c r="D356" s="29"/>
    </row>
    <row r="357" spans="1:4" ht="12.75" x14ac:dyDescent="0.2">
      <c r="A357" s="29"/>
      <c r="B357" s="29"/>
      <c r="C357" s="29"/>
      <c r="D357" s="29"/>
    </row>
    <row r="358" spans="1:4" ht="12.75" x14ac:dyDescent="0.2">
      <c r="A358" s="29"/>
      <c r="B358" s="29"/>
      <c r="C358" s="29"/>
      <c r="D358" s="29"/>
    </row>
    <row r="359" spans="1:4" ht="12.75" x14ac:dyDescent="0.2">
      <c r="A359" s="29"/>
      <c r="B359" s="29"/>
      <c r="C359" s="29"/>
      <c r="D359" s="29"/>
    </row>
    <row r="360" spans="1:4" ht="12.75" x14ac:dyDescent="0.2">
      <c r="A360" s="29"/>
      <c r="B360" s="29"/>
      <c r="C360" s="29"/>
      <c r="D360" s="29"/>
    </row>
    <row r="361" spans="1:4" ht="12.75" x14ac:dyDescent="0.2">
      <c r="A361" s="29"/>
      <c r="B361" s="29"/>
      <c r="C361" s="29"/>
      <c r="D361" s="29"/>
    </row>
    <row r="362" spans="1:4" ht="12.75" x14ac:dyDescent="0.2">
      <c r="A362" s="29"/>
      <c r="B362" s="29"/>
      <c r="C362" s="29"/>
      <c r="D362" s="29"/>
    </row>
    <row r="363" spans="1:4" ht="12.75" x14ac:dyDescent="0.2">
      <c r="A363" s="29"/>
      <c r="B363" s="29"/>
      <c r="C363" s="29"/>
      <c r="D363" s="29"/>
    </row>
    <row r="364" spans="1:4" ht="12.75" x14ac:dyDescent="0.2">
      <c r="A364" s="29"/>
      <c r="B364" s="29"/>
      <c r="C364" s="29"/>
      <c r="D364" s="29"/>
    </row>
    <row r="365" spans="1:4" ht="12.75" x14ac:dyDescent="0.2">
      <c r="A365" s="29"/>
      <c r="B365" s="29"/>
      <c r="C365" s="29"/>
      <c r="D365" s="29"/>
    </row>
    <row r="366" spans="1:4" ht="12.75" x14ac:dyDescent="0.2">
      <c r="A366" s="29"/>
      <c r="B366" s="29"/>
      <c r="C366" s="29"/>
      <c r="D366" s="29"/>
    </row>
    <row r="367" spans="1:4" ht="12.75" x14ac:dyDescent="0.2">
      <c r="A367" s="29"/>
      <c r="B367" s="29"/>
      <c r="C367" s="29"/>
      <c r="D367" s="29"/>
    </row>
    <row r="368" spans="1:4" ht="12.75" x14ac:dyDescent="0.2">
      <c r="A368" s="29"/>
      <c r="B368" s="29"/>
      <c r="C368" s="29"/>
      <c r="D368" s="29"/>
    </row>
    <row r="369" spans="1:4" ht="12.75" x14ac:dyDescent="0.2">
      <c r="A369" s="29"/>
      <c r="B369" s="29"/>
      <c r="C369" s="29"/>
      <c r="D369" s="29"/>
    </row>
    <row r="370" spans="1:4" ht="12.75" x14ac:dyDescent="0.2">
      <c r="A370" s="29"/>
      <c r="B370" s="29"/>
      <c r="C370" s="29"/>
      <c r="D370" s="29"/>
    </row>
    <row r="371" spans="1:4" ht="12.75" x14ac:dyDescent="0.2">
      <c r="A371" s="29"/>
      <c r="B371" s="29"/>
      <c r="C371" s="29"/>
      <c r="D371" s="29"/>
    </row>
    <row r="372" spans="1:4" ht="12.75" x14ac:dyDescent="0.2">
      <c r="A372" s="29"/>
      <c r="B372" s="29"/>
      <c r="C372" s="29"/>
      <c r="D372" s="29"/>
    </row>
    <row r="373" spans="1:4" ht="12.75" x14ac:dyDescent="0.2">
      <c r="A373" s="29"/>
      <c r="B373" s="29"/>
      <c r="C373" s="29"/>
      <c r="D373" s="29"/>
    </row>
    <row r="374" spans="1:4" ht="12.75" x14ac:dyDescent="0.2">
      <c r="A374" s="29"/>
      <c r="B374" s="29"/>
      <c r="C374" s="29"/>
      <c r="D374" s="29"/>
    </row>
    <row r="375" spans="1:4" ht="12.75" x14ac:dyDescent="0.2">
      <c r="A375" s="29"/>
      <c r="B375" s="29"/>
      <c r="C375" s="29"/>
      <c r="D375" s="29"/>
    </row>
    <row r="376" spans="1:4" ht="12.75" x14ac:dyDescent="0.2">
      <c r="A376" s="29"/>
      <c r="B376" s="29"/>
      <c r="C376" s="29"/>
      <c r="D376" s="29"/>
    </row>
    <row r="377" spans="1:4" ht="12.75" x14ac:dyDescent="0.2">
      <c r="A377" s="29"/>
      <c r="B377" s="29"/>
      <c r="C377" s="29"/>
      <c r="D377" s="29"/>
    </row>
    <row r="378" spans="1:4" ht="12.75" x14ac:dyDescent="0.2">
      <c r="A378" s="29"/>
      <c r="B378" s="29"/>
      <c r="C378" s="29"/>
      <c r="D378" s="29"/>
    </row>
    <row r="379" spans="1:4" ht="12.75" x14ac:dyDescent="0.2">
      <c r="A379" s="29"/>
      <c r="B379" s="29"/>
      <c r="C379" s="29"/>
      <c r="D379" s="29"/>
    </row>
    <row r="380" spans="1:4" ht="12.75" x14ac:dyDescent="0.2">
      <c r="A380" s="29"/>
      <c r="B380" s="29"/>
      <c r="C380" s="29"/>
      <c r="D380" s="29"/>
    </row>
    <row r="381" spans="1:4" ht="12.75" x14ac:dyDescent="0.2">
      <c r="A381" s="29"/>
      <c r="B381" s="29"/>
      <c r="C381" s="29"/>
      <c r="D381" s="29"/>
    </row>
    <row r="382" spans="1:4" ht="12.75" x14ac:dyDescent="0.2">
      <c r="A382" s="29"/>
      <c r="B382" s="29"/>
      <c r="C382" s="29"/>
      <c r="D382" s="29"/>
    </row>
    <row r="383" spans="1:4" ht="12.75" x14ac:dyDescent="0.2">
      <c r="A383" s="29"/>
      <c r="B383" s="29"/>
      <c r="C383" s="29"/>
      <c r="D383" s="29"/>
    </row>
    <row r="384" spans="1:4" ht="12.75" x14ac:dyDescent="0.2">
      <c r="A384" s="29"/>
      <c r="B384" s="29"/>
      <c r="C384" s="29"/>
      <c r="D384" s="29"/>
    </row>
    <row r="385" spans="1:4" ht="12.75" x14ac:dyDescent="0.2">
      <c r="A385" s="29"/>
      <c r="B385" s="29"/>
      <c r="C385" s="29"/>
      <c r="D385" s="29"/>
    </row>
    <row r="386" spans="1:4" ht="12.75" x14ac:dyDescent="0.2">
      <c r="A386" s="29"/>
      <c r="B386" s="29"/>
      <c r="C386" s="29"/>
      <c r="D386" s="29"/>
    </row>
    <row r="387" spans="1:4" ht="12.75" x14ac:dyDescent="0.2">
      <c r="A387" s="29"/>
      <c r="B387" s="29"/>
      <c r="C387" s="29"/>
      <c r="D387" s="29"/>
    </row>
    <row r="388" spans="1:4" ht="12.75" x14ac:dyDescent="0.2">
      <c r="A388" s="29"/>
      <c r="B388" s="29"/>
      <c r="C388" s="29"/>
      <c r="D388" s="29"/>
    </row>
    <row r="389" spans="1:4" ht="12.75" x14ac:dyDescent="0.2">
      <c r="A389" s="29"/>
      <c r="B389" s="29"/>
      <c r="C389" s="29"/>
      <c r="D389" s="29"/>
    </row>
    <row r="390" spans="1:4" ht="12.75" x14ac:dyDescent="0.2">
      <c r="A390" s="29"/>
      <c r="B390" s="29"/>
      <c r="C390" s="29"/>
      <c r="D390" s="29"/>
    </row>
    <row r="391" spans="1:4" ht="12.75" x14ac:dyDescent="0.2">
      <c r="A391" s="29"/>
      <c r="B391" s="29"/>
      <c r="C391" s="29"/>
      <c r="D391" s="29"/>
    </row>
    <row r="392" spans="1:4" ht="12.75" x14ac:dyDescent="0.2">
      <c r="A392" s="29"/>
      <c r="B392" s="29"/>
      <c r="C392" s="29"/>
      <c r="D392" s="29"/>
    </row>
    <row r="393" spans="1:4" ht="12.75" x14ac:dyDescent="0.2">
      <c r="A393" s="29"/>
      <c r="B393" s="29"/>
      <c r="C393" s="29"/>
      <c r="D393" s="29"/>
    </row>
    <row r="394" spans="1:4" ht="12.75" x14ac:dyDescent="0.2">
      <c r="A394" s="29"/>
      <c r="B394" s="29"/>
      <c r="C394" s="29"/>
      <c r="D394" s="29"/>
    </row>
    <row r="395" spans="1:4" ht="12.75" x14ac:dyDescent="0.2">
      <c r="A395" s="29"/>
      <c r="B395" s="29"/>
      <c r="C395" s="29"/>
      <c r="D395" s="29"/>
    </row>
    <row r="396" spans="1:4" ht="12.75" x14ac:dyDescent="0.2">
      <c r="A396" s="29"/>
      <c r="B396" s="29"/>
      <c r="C396" s="29"/>
      <c r="D396" s="29"/>
    </row>
    <row r="397" spans="1:4" ht="12.75" x14ac:dyDescent="0.2">
      <c r="A397" s="29"/>
      <c r="B397" s="29"/>
      <c r="C397" s="29"/>
      <c r="D397" s="29"/>
    </row>
    <row r="398" spans="1:4" ht="12.75" x14ac:dyDescent="0.2">
      <c r="A398" s="29"/>
      <c r="B398" s="29"/>
      <c r="C398" s="29"/>
      <c r="D398" s="29"/>
    </row>
    <row r="399" spans="1:4" ht="12.75" x14ac:dyDescent="0.2">
      <c r="A399" s="29"/>
      <c r="B399" s="29"/>
      <c r="C399" s="29"/>
      <c r="D399" s="29"/>
    </row>
    <row r="400" spans="1:4" ht="12.75" x14ac:dyDescent="0.2">
      <c r="A400" s="29"/>
      <c r="B400" s="29"/>
      <c r="C400" s="29"/>
      <c r="D400" s="29"/>
    </row>
    <row r="401" spans="1:4" ht="12.75" x14ac:dyDescent="0.2">
      <c r="A401" s="29"/>
      <c r="B401" s="29"/>
      <c r="C401" s="29"/>
      <c r="D401" s="29"/>
    </row>
    <row r="402" spans="1:4" ht="12.75" x14ac:dyDescent="0.2">
      <c r="A402" s="29"/>
      <c r="B402" s="29"/>
      <c r="C402" s="29"/>
      <c r="D402" s="29"/>
    </row>
    <row r="403" spans="1:4" ht="12.75" x14ac:dyDescent="0.2">
      <c r="A403" s="29"/>
      <c r="B403" s="29"/>
      <c r="C403" s="29"/>
      <c r="D403" s="29"/>
    </row>
    <row r="404" spans="1:4" ht="12.75" x14ac:dyDescent="0.2">
      <c r="A404" s="29"/>
      <c r="B404" s="29"/>
      <c r="C404" s="29"/>
      <c r="D404" s="29"/>
    </row>
    <row r="405" spans="1:4" ht="12.75" x14ac:dyDescent="0.2">
      <c r="A405" s="29"/>
      <c r="B405" s="29"/>
      <c r="C405" s="29"/>
      <c r="D405" s="29"/>
    </row>
    <row r="406" spans="1:4" ht="12.75" x14ac:dyDescent="0.2">
      <c r="A406" s="29"/>
      <c r="B406" s="29"/>
      <c r="C406" s="29"/>
      <c r="D406" s="29"/>
    </row>
    <row r="407" spans="1:4" ht="12.75" x14ac:dyDescent="0.2">
      <c r="A407" s="29"/>
      <c r="B407" s="29"/>
      <c r="C407" s="29"/>
      <c r="D407" s="29"/>
    </row>
    <row r="408" spans="1:4" ht="12.75" x14ac:dyDescent="0.2">
      <c r="A408" s="29"/>
      <c r="B408" s="29"/>
      <c r="C408" s="29"/>
      <c r="D408" s="29"/>
    </row>
    <row r="409" spans="1:4" ht="12.75" x14ac:dyDescent="0.2">
      <c r="A409" s="29"/>
      <c r="B409" s="29"/>
      <c r="C409" s="29"/>
      <c r="D409" s="29"/>
    </row>
    <row r="410" spans="1:4" ht="12.75" x14ac:dyDescent="0.2">
      <c r="A410" s="29"/>
      <c r="B410" s="29"/>
      <c r="C410" s="29"/>
      <c r="D410" s="29"/>
    </row>
    <row r="411" spans="1:4" ht="12.75" x14ac:dyDescent="0.2">
      <c r="A411" s="29"/>
      <c r="B411" s="29"/>
      <c r="C411" s="29"/>
      <c r="D411" s="29"/>
    </row>
    <row r="412" spans="1:4" ht="12.75" x14ac:dyDescent="0.2">
      <c r="A412" s="29"/>
      <c r="B412" s="29"/>
      <c r="C412" s="29"/>
      <c r="D412" s="29"/>
    </row>
    <row r="413" spans="1:4" ht="12.75" x14ac:dyDescent="0.2">
      <c r="A413" s="29"/>
      <c r="B413" s="29"/>
      <c r="C413" s="29"/>
      <c r="D413" s="29"/>
    </row>
    <row r="414" spans="1:4" ht="12.75" x14ac:dyDescent="0.2">
      <c r="A414" s="29"/>
      <c r="B414" s="29"/>
      <c r="C414" s="29"/>
      <c r="D414" s="29"/>
    </row>
    <row r="415" spans="1:4" ht="12.75" x14ac:dyDescent="0.2">
      <c r="A415" s="29"/>
      <c r="B415" s="29"/>
      <c r="C415" s="29"/>
      <c r="D415" s="29"/>
    </row>
    <row r="416" spans="1:4" ht="12.75" x14ac:dyDescent="0.2">
      <c r="A416" s="29"/>
      <c r="B416" s="29"/>
      <c r="C416" s="29"/>
      <c r="D416" s="29"/>
    </row>
    <row r="417" spans="1:4" ht="12.75" x14ac:dyDescent="0.2">
      <c r="A417" s="29"/>
      <c r="B417" s="29"/>
      <c r="C417" s="29"/>
      <c r="D417" s="29"/>
    </row>
    <row r="418" spans="1:4" ht="12.75" x14ac:dyDescent="0.2">
      <c r="A418" s="29"/>
      <c r="B418" s="29"/>
      <c r="C418" s="29"/>
      <c r="D418" s="29"/>
    </row>
    <row r="419" spans="1:4" ht="12.75" x14ac:dyDescent="0.2">
      <c r="A419" s="29"/>
      <c r="B419" s="29"/>
      <c r="C419" s="29"/>
      <c r="D419" s="29"/>
    </row>
    <row r="420" spans="1:4" ht="12.75" x14ac:dyDescent="0.2">
      <c r="A420" s="29"/>
      <c r="B420" s="29"/>
      <c r="C420" s="29"/>
      <c r="D420" s="29"/>
    </row>
    <row r="421" spans="1:4" ht="12.75" x14ac:dyDescent="0.2">
      <c r="A421" s="29"/>
      <c r="B421" s="29"/>
      <c r="C421" s="29"/>
      <c r="D421" s="29"/>
    </row>
    <row r="422" spans="1:4" ht="12.75" x14ac:dyDescent="0.2">
      <c r="A422" s="29"/>
      <c r="B422" s="29"/>
      <c r="C422" s="29"/>
      <c r="D422" s="29"/>
    </row>
    <row r="423" spans="1:4" ht="12.75" x14ac:dyDescent="0.2">
      <c r="A423" s="29"/>
      <c r="B423" s="29"/>
      <c r="C423" s="29"/>
      <c r="D423" s="29"/>
    </row>
    <row r="424" spans="1:4" ht="12.75" x14ac:dyDescent="0.2">
      <c r="A424" s="29"/>
      <c r="B424" s="29"/>
      <c r="C424" s="29"/>
      <c r="D424" s="29"/>
    </row>
    <row r="425" spans="1:4" ht="12.75" x14ac:dyDescent="0.2">
      <c r="A425" s="29"/>
      <c r="B425" s="29"/>
      <c r="C425" s="29"/>
      <c r="D425" s="29"/>
    </row>
    <row r="426" spans="1:4" ht="12.75" x14ac:dyDescent="0.2">
      <c r="A426" s="29"/>
      <c r="B426" s="29"/>
      <c r="C426" s="29"/>
      <c r="D426" s="29"/>
    </row>
    <row r="427" spans="1:4" ht="12.75" x14ac:dyDescent="0.2">
      <c r="A427" s="29"/>
      <c r="B427" s="29"/>
      <c r="C427" s="29"/>
      <c r="D427" s="29"/>
    </row>
    <row r="428" spans="1:4" ht="12.75" x14ac:dyDescent="0.2">
      <c r="A428" s="29"/>
      <c r="B428" s="29"/>
      <c r="C428" s="29"/>
      <c r="D428" s="29"/>
    </row>
    <row r="429" spans="1:4" ht="12.75" x14ac:dyDescent="0.2">
      <c r="A429" s="29"/>
      <c r="B429" s="29"/>
      <c r="C429" s="29"/>
      <c r="D429" s="29"/>
    </row>
    <row r="430" spans="1:4" ht="12.75" x14ac:dyDescent="0.2">
      <c r="A430" s="29"/>
      <c r="B430" s="29"/>
      <c r="C430" s="29"/>
      <c r="D430" s="29"/>
    </row>
    <row r="431" spans="1:4" ht="12.75" x14ac:dyDescent="0.2">
      <c r="A431" s="29"/>
      <c r="B431" s="29"/>
      <c r="C431" s="29"/>
      <c r="D431" s="29"/>
    </row>
    <row r="432" spans="1:4" ht="12.75" x14ac:dyDescent="0.2">
      <c r="A432" s="29"/>
      <c r="B432" s="29"/>
      <c r="C432" s="29"/>
      <c r="D432" s="29"/>
    </row>
    <row r="433" spans="1:4" ht="12.75" x14ac:dyDescent="0.2">
      <c r="A433" s="29"/>
      <c r="B433" s="29"/>
      <c r="C433" s="29"/>
      <c r="D433" s="29"/>
    </row>
    <row r="434" spans="1:4" ht="12.75" x14ac:dyDescent="0.2">
      <c r="A434" s="29"/>
      <c r="B434" s="29"/>
      <c r="C434" s="29"/>
      <c r="D434" s="29"/>
    </row>
    <row r="435" spans="1:4" ht="12.75" x14ac:dyDescent="0.2">
      <c r="A435" s="29"/>
      <c r="B435" s="29"/>
      <c r="C435" s="29"/>
      <c r="D435" s="29"/>
    </row>
    <row r="436" spans="1:4" ht="12.75" x14ac:dyDescent="0.2">
      <c r="A436" s="29"/>
      <c r="B436" s="29"/>
      <c r="C436" s="29"/>
      <c r="D436" s="29"/>
    </row>
    <row r="437" spans="1:4" ht="12.75" x14ac:dyDescent="0.2">
      <c r="A437" s="29"/>
      <c r="B437" s="29"/>
      <c r="C437" s="29"/>
      <c r="D437" s="29"/>
    </row>
    <row r="438" spans="1:4" ht="12.75" x14ac:dyDescent="0.2">
      <c r="A438" s="29"/>
      <c r="B438" s="29"/>
      <c r="C438" s="29"/>
      <c r="D438" s="29"/>
    </row>
    <row r="439" spans="1:4" ht="12.75" x14ac:dyDescent="0.2">
      <c r="A439" s="29"/>
      <c r="B439" s="29"/>
      <c r="C439" s="29"/>
      <c r="D439" s="29"/>
    </row>
    <row r="440" spans="1:4" ht="12.75" x14ac:dyDescent="0.2">
      <c r="A440" s="29"/>
      <c r="B440" s="29"/>
      <c r="C440" s="29"/>
      <c r="D440" s="29"/>
    </row>
    <row r="441" spans="1:4" ht="12.75" x14ac:dyDescent="0.2">
      <c r="A441" s="29"/>
      <c r="B441" s="29"/>
      <c r="C441" s="29"/>
      <c r="D441" s="29"/>
    </row>
    <row r="442" spans="1:4" ht="12.75" x14ac:dyDescent="0.2">
      <c r="A442" s="29"/>
      <c r="B442" s="29"/>
      <c r="C442" s="29"/>
      <c r="D442" s="29"/>
    </row>
    <row r="443" spans="1:4" ht="12.75" x14ac:dyDescent="0.2">
      <c r="A443" s="29"/>
      <c r="B443" s="29"/>
      <c r="C443" s="29"/>
      <c r="D443" s="29"/>
    </row>
    <row r="444" spans="1:4" ht="12.75" x14ac:dyDescent="0.2">
      <c r="A444" s="29"/>
      <c r="B444" s="29"/>
      <c r="C444" s="29"/>
      <c r="D444" s="29"/>
    </row>
    <row r="445" spans="1:4" ht="12.75" x14ac:dyDescent="0.2">
      <c r="A445" s="29"/>
      <c r="B445" s="29"/>
      <c r="C445" s="29"/>
      <c r="D445" s="29"/>
    </row>
    <row r="446" spans="1:4" ht="12.75" x14ac:dyDescent="0.2">
      <c r="A446" s="29"/>
      <c r="B446" s="29"/>
      <c r="C446" s="29"/>
      <c r="D446" s="29"/>
    </row>
    <row r="447" spans="1:4" ht="12.75" x14ac:dyDescent="0.2">
      <c r="A447" s="29"/>
      <c r="B447" s="29"/>
      <c r="C447" s="29"/>
      <c r="D447" s="29"/>
    </row>
    <row r="448" spans="1:4" ht="12.75" x14ac:dyDescent="0.2">
      <c r="A448" s="29"/>
      <c r="B448" s="29"/>
      <c r="C448" s="29"/>
      <c r="D448" s="29"/>
    </row>
    <row r="449" spans="1:4" ht="12.75" x14ac:dyDescent="0.2">
      <c r="A449" s="29"/>
      <c r="B449" s="29"/>
      <c r="C449" s="29"/>
      <c r="D449" s="29"/>
    </row>
    <row r="450" spans="1:4" ht="12.75" x14ac:dyDescent="0.2">
      <c r="A450" s="29"/>
      <c r="B450" s="29"/>
      <c r="C450" s="29"/>
      <c r="D450" s="29"/>
    </row>
    <row r="451" spans="1:4" ht="12.75" x14ac:dyDescent="0.2">
      <c r="A451" s="29"/>
      <c r="B451" s="29"/>
      <c r="C451" s="29"/>
      <c r="D451" s="29"/>
    </row>
    <row r="452" spans="1:4" ht="12.75" x14ac:dyDescent="0.2">
      <c r="A452" s="29"/>
      <c r="B452" s="29"/>
      <c r="C452" s="29"/>
      <c r="D452" s="29"/>
    </row>
    <row r="453" spans="1:4" ht="12.75" x14ac:dyDescent="0.2">
      <c r="A453" s="29"/>
      <c r="B453" s="29"/>
      <c r="C453" s="29"/>
      <c r="D453" s="29"/>
    </row>
    <row r="454" spans="1:4" ht="12.75" x14ac:dyDescent="0.2">
      <c r="A454" s="29"/>
      <c r="B454" s="29"/>
      <c r="C454" s="29"/>
      <c r="D454" s="29"/>
    </row>
    <row r="455" spans="1:4" ht="12.75" x14ac:dyDescent="0.2">
      <c r="A455" s="29"/>
      <c r="B455" s="29"/>
      <c r="C455" s="29"/>
      <c r="D455" s="29"/>
    </row>
    <row r="456" spans="1:4" ht="12.75" x14ac:dyDescent="0.2">
      <c r="A456" s="29"/>
      <c r="B456" s="29"/>
      <c r="C456" s="29"/>
      <c r="D456" s="29"/>
    </row>
    <row r="457" spans="1:4" ht="12.75" x14ac:dyDescent="0.2">
      <c r="A457" s="29"/>
      <c r="B457" s="29"/>
      <c r="C457" s="29"/>
      <c r="D457" s="29"/>
    </row>
    <row r="458" spans="1:4" ht="12.75" x14ac:dyDescent="0.2">
      <c r="A458" s="29"/>
      <c r="B458" s="29"/>
      <c r="C458" s="29"/>
      <c r="D458" s="29"/>
    </row>
    <row r="459" spans="1:4" ht="12.75" x14ac:dyDescent="0.2">
      <c r="A459" s="29"/>
      <c r="B459" s="29"/>
      <c r="C459" s="29"/>
      <c r="D459" s="29"/>
    </row>
    <row r="460" spans="1:4" ht="12.75" x14ac:dyDescent="0.2">
      <c r="A460" s="29"/>
      <c r="B460" s="29"/>
      <c r="C460" s="29"/>
      <c r="D460" s="29"/>
    </row>
    <row r="461" spans="1:4" ht="12.75" x14ac:dyDescent="0.2">
      <c r="A461" s="29"/>
      <c r="B461" s="29"/>
      <c r="C461" s="29"/>
      <c r="D461" s="29"/>
    </row>
    <row r="462" spans="1:4" ht="12.75" x14ac:dyDescent="0.2">
      <c r="A462" s="29"/>
      <c r="B462" s="29"/>
      <c r="C462" s="29"/>
      <c r="D462" s="29"/>
    </row>
    <row r="463" spans="1:4" ht="12.75" x14ac:dyDescent="0.2">
      <c r="A463" s="29"/>
      <c r="B463" s="29"/>
      <c r="C463" s="29"/>
      <c r="D463" s="29"/>
    </row>
    <row r="464" spans="1:4" ht="12.75" x14ac:dyDescent="0.2">
      <c r="A464" s="29"/>
      <c r="B464" s="29"/>
      <c r="C464" s="29"/>
      <c r="D464" s="29"/>
    </row>
    <row r="465" spans="1:4" ht="12.75" x14ac:dyDescent="0.2">
      <c r="A465" s="29"/>
      <c r="B465" s="29"/>
      <c r="C465" s="29"/>
      <c r="D465" s="29"/>
    </row>
    <row r="466" spans="1:4" ht="12.75" x14ac:dyDescent="0.2">
      <c r="A466" s="29"/>
      <c r="B466" s="29"/>
      <c r="C466" s="29"/>
      <c r="D466" s="29"/>
    </row>
    <row r="467" spans="1:4" ht="12.75" x14ac:dyDescent="0.2">
      <c r="A467" s="29"/>
      <c r="B467" s="29"/>
      <c r="C467" s="29"/>
      <c r="D467" s="29"/>
    </row>
    <row r="468" spans="1:4" ht="12.75" x14ac:dyDescent="0.2">
      <c r="A468" s="29"/>
      <c r="B468" s="29"/>
      <c r="C468" s="29"/>
      <c r="D468" s="29"/>
    </row>
    <row r="469" spans="1:4" ht="12.75" x14ac:dyDescent="0.2">
      <c r="A469" s="29"/>
      <c r="B469" s="29"/>
      <c r="C469" s="29"/>
      <c r="D469" s="29"/>
    </row>
    <row r="470" spans="1:4" ht="12.75" x14ac:dyDescent="0.2">
      <c r="A470" s="29"/>
      <c r="B470" s="29"/>
      <c r="C470" s="29"/>
      <c r="D470" s="29"/>
    </row>
    <row r="471" spans="1:4" ht="12.75" x14ac:dyDescent="0.2">
      <c r="A471" s="29"/>
      <c r="B471" s="29"/>
      <c r="C471" s="29"/>
      <c r="D471" s="29"/>
    </row>
    <row r="472" spans="1:4" ht="12.75" x14ac:dyDescent="0.2">
      <c r="A472" s="29"/>
      <c r="B472" s="29"/>
      <c r="C472" s="29"/>
      <c r="D472" s="29"/>
    </row>
    <row r="473" spans="1:4" ht="12.75" x14ac:dyDescent="0.2">
      <c r="A473" s="29"/>
      <c r="B473" s="29"/>
      <c r="C473" s="29"/>
      <c r="D473" s="29"/>
    </row>
    <row r="474" spans="1:4" ht="12.75" x14ac:dyDescent="0.2">
      <c r="A474" s="29"/>
      <c r="B474" s="29"/>
      <c r="C474" s="29"/>
      <c r="D474" s="29"/>
    </row>
    <row r="475" spans="1:4" ht="12.75" x14ac:dyDescent="0.2">
      <c r="A475" s="29"/>
      <c r="B475" s="29"/>
      <c r="C475" s="29"/>
      <c r="D475" s="29"/>
    </row>
    <row r="476" spans="1:4" ht="12.75" x14ac:dyDescent="0.2">
      <c r="A476" s="29"/>
      <c r="B476" s="29"/>
      <c r="C476" s="29"/>
      <c r="D476" s="29"/>
    </row>
    <row r="477" spans="1:4" ht="12.75" x14ac:dyDescent="0.2">
      <c r="A477" s="29"/>
      <c r="B477" s="29"/>
      <c r="C477" s="29"/>
      <c r="D477" s="29"/>
    </row>
    <row r="478" spans="1:4" ht="12.75" x14ac:dyDescent="0.2">
      <c r="A478" s="29"/>
      <c r="B478" s="29"/>
      <c r="C478" s="29"/>
      <c r="D478" s="29"/>
    </row>
    <row r="479" spans="1:4" ht="12.75" x14ac:dyDescent="0.2">
      <c r="A479" s="29"/>
      <c r="B479" s="29"/>
      <c r="C479" s="29"/>
      <c r="D479" s="29"/>
    </row>
    <row r="480" spans="1:4" ht="12.75" x14ac:dyDescent="0.2">
      <c r="A480" s="29"/>
      <c r="B480" s="29"/>
      <c r="C480" s="29"/>
      <c r="D480" s="29"/>
    </row>
    <row r="481" spans="1:4" ht="12.75" x14ac:dyDescent="0.2">
      <c r="A481" s="29"/>
      <c r="B481" s="29"/>
      <c r="C481" s="29"/>
      <c r="D481" s="29"/>
    </row>
    <row r="482" spans="1:4" ht="12.75" x14ac:dyDescent="0.2">
      <c r="A482" s="29"/>
      <c r="B482" s="29"/>
      <c r="C482" s="29"/>
      <c r="D482" s="29"/>
    </row>
    <row r="483" spans="1:4" ht="12.75" x14ac:dyDescent="0.2">
      <c r="A483" s="29"/>
      <c r="B483" s="29"/>
      <c r="C483" s="29"/>
      <c r="D483" s="29"/>
    </row>
    <row r="484" spans="1:4" ht="12.75" x14ac:dyDescent="0.2">
      <c r="A484" s="29"/>
      <c r="B484" s="29"/>
      <c r="C484" s="29"/>
      <c r="D484" s="29"/>
    </row>
    <row r="485" spans="1:4" ht="12.75" x14ac:dyDescent="0.2">
      <c r="A485" s="29"/>
      <c r="B485" s="29"/>
      <c r="C485" s="29"/>
      <c r="D485" s="29"/>
    </row>
    <row r="486" spans="1:4" ht="12.75" x14ac:dyDescent="0.2">
      <c r="A486" s="29"/>
      <c r="B486" s="29"/>
      <c r="C486" s="29"/>
      <c r="D486" s="29"/>
    </row>
    <row r="487" spans="1:4" ht="12.75" x14ac:dyDescent="0.2">
      <c r="A487" s="29"/>
      <c r="B487" s="29"/>
      <c r="C487" s="29"/>
      <c r="D487" s="29"/>
    </row>
    <row r="488" spans="1:4" ht="12.75" x14ac:dyDescent="0.2">
      <c r="A488" s="29"/>
      <c r="B488" s="29"/>
      <c r="C488" s="29"/>
      <c r="D488" s="29"/>
    </row>
    <row r="489" spans="1:4" ht="12.75" x14ac:dyDescent="0.2">
      <c r="A489" s="29"/>
      <c r="B489" s="29"/>
      <c r="C489" s="29"/>
      <c r="D489" s="29"/>
    </row>
    <row r="490" spans="1:4" ht="12.75" x14ac:dyDescent="0.2">
      <c r="A490" s="29"/>
      <c r="B490" s="29"/>
      <c r="C490" s="29"/>
      <c r="D490" s="29"/>
    </row>
    <row r="491" spans="1:4" ht="12.75" x14ac:dyDescent="0.2">
      <c r="A491" s="29"/>
      <c r="B491" s="29"/>
      <c r="C491" s="29"/>
      <c r="D491" s="29"/>
    </row>
    <row r="492" spans="1:4" ht="12.75" x14ac:dyDescent="0.2">
      <c r="A492" s="29"/>
      <c r="B492" s="29"/>
      <c r="C492" s="29"/>
      <c r="D492" s="29"/>
    </row>
    <row r="493" spans="1:4" ht="12.75" x14ac:dyDescent="0.2">
      <c r="A493" s="29"/>
      <c r="B493" s="29"/>
      <c r="C493" s="29"/>
      <c r="D493" s="29"/>
    </row>
    <row r="494" spans="1:4" ht="12.75" x14ac:dyDescent="0.2">
      <c r="A494" s="29"/>
      <c r="B494" s="29"/>
      <c r="C494" s="29"/>
      <c r="D494" s="29"/>
    </row>
    <row r="495" spans="1:4" ht="12.75" x14ac:dyDescent="0.2">
      <c r="A495" s="29"/>
      <c r="B495" s="29"/>
      <c r="C495" s="29"/>
      <c r="D495" s="29"/>
    </row>
    <row r="496" spans="1:4" ht="12.75" x14ac:dyDescent="0.2">
      <c r="A496" s="29"/>
      <c r="B496" s="29"/>
      <c r="C496" s="29"/>
      <c r="D496" s="29"/>
    </row>
    <row r="497" spans="1:4" ht="12.75" x14ac:dyDescent="0.2">
      <c r="A497" s="29"/>
      <c r="B497" s="29"/>
      <c r="C497" s="29"/>
      <c r="D497" s="29"/>
    </row>
    <row r="498" spans="1:4" ht="12.75" x14ac:dyDescent="0.2">
      <c r="A498" s="29"/>
      <c r="B498" s="29"/>
      <c r="C498" s="29"/>
      <c r="D498" s="29"/>
    </row>
    <row r="499" spans="1:4" ht="12.75" x14ac:dyDescent="0.2">
      <c r="A499" s="29"/>
      <c r="B499" s="29"/>
      <c r="C499" s="29"/>
      <c r="D499" s="29"/>
    </row>
    <row r="500" spans="1:4" ht="12.75" x14ac:dyDescent="0.2">
      <c r="A500" s="29"/>
      <c r="B500" s="29"/>
      <c r="C500" s="29"/>
      <c r="D500" s="29"/>
    </row>
    <row r="501" spans="1:4" ht="12.75" x14ac:dyDescent="0.2">
      <c r="A501" s="29"/>
      <c r="B501" s="29"/>
      <c r="C501" s="29"/>
      <c r="D501" s="29"/>
    </row>
    <row r="502" spans="1:4" ht="12.75" x14ac:dyDescent="0.2">
      <c r="A502" s="29"/>
      <c r="B502" s="29"/>
      <c r="C502" s="29"/>
      <c r="D502" s="29"/>
    </row>
    <row r="503" spans="1:4" ht="12.75" x14ac:dyDescent="0.2">
      <c r="A503" s="29"/>
      <c r="B503" s="29"/>
      <c r="C503" s="29"/>
      <c r="D503" s="29"/>
    </row>
    <row r="504" spans="1:4" ht="12.75" x14ac:dyDescent="0.2">
      <c r="A504" s="29"/>
      <c r="B504" s="29"/>
      <c r="C504" s="29"/>
      <c r="D504" s="29"/>
    </row>
    <row r="505" spans="1:4" ht="12.75" x14ac:dyDescent="0.2">
      <c r="A505" s="29"/>
      <c r="B505" s="29"/>
      <c r="C505" s="29"/>
      <c r="D505" s="29"/>
    </row>
    <row r="506" spans="1:4" ht="12.75" x14ac:dyDescent="0.2">
      <c r="A506" s="29"/>
      <c r="B506" s="29"/>
      <c r="C506" s="29"/>
      <c r="D506" s="29"/>
    </row>
    <row r="507" spans="1:4" ht="12.75" x14ac:dyDescent="0.2">
      <c r="A507" s="29"/>
      <c r="B507" s="29"/>
      <c r="C507" s="29"/>
      <c r="D507" s="29"/>
    </row>
    <row r="508" spans="1:4" ht="12.75" x14ac:dyDescent="0.2">
      <c r="A508" s="29"/>
      <c r="B508" s="29"/>
      <c r="C508" s="29"/>
      <c r="D508" s="29"/>
    </row>
    <row r="509" spans="1:4" ht="12.75" x14ac:dyDescent="0.2">
      <c r="A509" s="29"/>
      <c r="B509" s="29"/>
      <c r="C509" s="29"/>
      <c r="D509" s="29"/>
    </row>
    <row r="510" spans="1:4" ht="12.75" x14ac:dyDescent="0.2">
      <c r="A510" s="29"/>
      <c r="B510" s="29"/>
      <c r="C510" s="29"/>
      <c r="D510" s="29"/>
    </row>
    <row r="511" spans="1:4" ht="12.75" x14ac:dyDescent="0.2">
      <c r="A511" s="29"/>
      <c r="B511" s="29"/>
      <c r="C511" s="29"/>
      <c r="D511" s="29"/>
    </row>
    <row r="512" spans="1:4" ht="12.75" x14ac:dyDescent="0.2">
      <c r="A512" s="29"/>
      <c r="B512" s="29"/>
      <c r="C512" s="29"/>
      <c r="D512" s="29"/>
    </row>
    <row r="513" spans="1:4" ht="12.75" x14ac:dyDescent="0.2">
      <c r="A513" s="29"/>
      <c r="B513" s="29"/>
      <c r="C513" s="29"/>
      <c r="D513" s="29"/>
    </row>
    <row r="514" spans="1:4" ht="12.75" x14ac:dyDescent="0.2">
      <c r="A514" s="29"/>
      <c r="B514" s="29"/>
      <c r="C514" s="29"/>
      <c r="D514" s="29"/>
    </row>
    <row r="515" spans="1:4" ht="12.75" x14ac:dyDescent="0.2">
      <c r="A515" s="29"/>
      <c r="B515" s="29"/>
      <c r="C515" s="29"/>
      <c r="D515" s="29"/>
    </row>
    <row r="516" spans="1:4" ht="12.75" x14ac:dyDescent="0.2">
      <c r="A516" s="29"/>
      <c r="B516" s="29"/>
      <c r="C516" s="29"/>
      <c r="D516" s="29"/>
    </row>
    <row r="517" spans="1:4" ht="12.75" x14ac:dyDescent="0.2">
      <c r="A517" s="29"/>
      <c r="B517" s="29"/>
      <c r="C517" s="29"/>
      <c r="D517" s="29"/>
    </row>
    <row r="518" spans="1:4" ht="12.75" x14ac:dyDescent="0.2">
      <c r="A518" s="29"/>
      <c r="B518" s="29"/>
      <c r="C518" s="29"/>
      <c r="D518" s="29"/>
    </row>
    <row r="519" spans="1:4" ht="12.75" x14ac:dyDescent="0.2">
      <c r="A519" s="29"/>
      <c r="B519" s="29"/>
      <c r="C519" s="29"/>
      <c r="D519" s="29"/>
    </row>
    <row r="520" spans="1:4" ht="12.75" x14ac:dyDescent="0.2">
      <c r="A520" s="29"/>
      <c r="B520" s="29"/>
      <c r="C520" s="29"/>
      <c r="D520" s="29"/>
    </row>
    <row r="521" spans="1:4" ht="12.75" x14ac:dyDescent="0.2">
      <c r="A521" s="29"/>
      <c r="B521" s="29"/>
      <c r="C521" s="29"/>
      <c r="D521" s="29"/>
    </row>
    <row r="522" spans="1:4" ht="12.75" x14ac:dyDescent="0.2">
      <c r="A522" s="29"/>
      <c r="B522" s="29"/>
      <c r="C522" s="29"/>
      <c r="D522" s="29"/>
    </row>
    <row r="523" spans="1:4" ht="12.75" x14ac:dyDescent="0.2">
      <c r="A523" s="29"/>
      <c r="B523" s="29"/>
      <c r="C523" s="29"/>
      <c r="D523" s="29"/>
    </row>
    <row r="524" spans="1:4" ht="12.75" x14ac:dyDescent="0.2">
      <c r="A524" s="29"/>
      <c r="B524" s="29"/>
      <c r="C524" s="29"/>
      <c r="D524" s="29"/>
    </row>
    <row r="525" spans="1:4" ht="12.75" x14ac:dyDescent="0.2">
      <c r="A525" s="29"/>
      <c r="B525" s="29"/>
      <c r="C525" s="29"/>
      <c r="D525" s="29"/>
    </row>
    <row r="526" spans="1:4" ht="12.75" x14ac:dyDescent="0.2">
      <c r="A526" s="29"/>
      <c r="B526" s="29"/>
      <c r="C526" s="29"/>
      <c r="D526" s="29"/>
    </row>
    <row r="527" spans="1:4" ht="12.75" x14ac:dyDescent="0.2">
      <c r="A527" s="29"/>
      <c r="B527" s="29"/>
      <c r="C527" s="29"/>
      <c r="D527" s="29"/>
    </row>
    <row r="528" spans="1:4" ht="12.75" x14ac:dyDescent="0.2">
      <c r="A528" s="29"/>
      <c r="B528" s="29"/>
      <c r="C528" s="29"/>
      <c r="D528" s="29"/>
    </row>
    <row r="529" spans="1:4" ht="12.75" x14ac:dyDescent="0.2">
      <c r="A529" s="29"/>
      <c r="B529" s="29"/>
      <c r="C529" s="29"/>
      <c r="D529" s="29"/>
    </row>
    <row r="530" spans="1:4" ht="12.75" x14ac:dyDescent="0.2">
      <c r="A530" s="29"/>
      <c r="B530" s="29"/>
      <c r="C530" s="29"/>
      <c r="D530" s="29"/>
    </row>
    <row r="531" spans="1:4" ht="12.75" x14ac:dyDescent="0.2">
      <c r="A531" s="29"/>
      <c r="B531" s="29"/>
      <c r="C531" s="29"/>
      <c r="D531" s="29"/>
    </row>
    <row r="532" spans="1:4" ht="12.75" x14ac:dyDescent="0.2">
      <c r="A532" s="29"/>
      <c r="B532" s="29"/>
      <c r="C532" s="29"/>
      <c r="D532" s="29"/>
    </row>
    <row r="533" spans="1:4" ht="12.75" x14ac:dyDescent="0.2">
      <c r="A533" s="29"/>
      <c r="B533" s="29"/>
      <c r="C533" s="29"/>
      <c r="D533" s="29"/>
    </row>
    <row r="534" spans="1:4" ht="12.75" x14ac:dyDescent="0.2">
      <c r="A534" s="29"/>
      <c r="B534" s="29"/>
      <c r="C534" s="29"/>
      <c r="D534" s="29"/>
    </row>
    <row r="535" spans="1:4" ht="12.75" x14ac:dyDescent="0.2">
      <c r="A535" s="29"/>
      <c r="B535" s="29"/>
      <c r="C535" s="29"/>
      <c r="D535" s="29"/>
    </row>
    <row r="536" spans="1:4" ht="12.75" x14ac:dyDescent="0.2">
      <c r="A536" s="29"/>
      <c r="B536" s="29"/>
      <c r="C536" s="29"/>
      <c r="D536" s="29"/>
    </row>
    <row r="537" spans="1:4" ht="12.75" x14ac:dyDescent="0.2">
      <c r="A537" s="29"/>
      <c r="B537" s="29"/>
      <c r="C537" s="29"/>
      <c r="D537" s="29"/>
    </row>
    <row r="538" spans="1:4" ht="12.75" x14ac:dyDescent="0.2">
      <c r="A538" s="29"/>
      <c r="B538" s="29"/>
      <c r="C538" s="29"/>
      <c r="D538" s="29"/>
    </row>
    <row r="539" spans="1:4" ht="12.75" x14ac:dyDescent="0.2">
      <c r="A539" s="29"/>
      <c r="B539" s="29"/>
      <c r="C539" s="29"/>
      <c r="D539" s="29"/>
    </row>
    <row r="540" spans="1:4" ht="12.75" x14ac:dyDescent="0.2">
      <c r="A540" s="29"/>
      <c r="B540" s="29"/>
      <c r="C540" s="29"/>
      <c r="D540" s="29"/>
    </row>
    <row r="541" spans="1:4" ht="12.75" x14ac:dyDescent="0.2">
      <c r="A541" s="29"/>
      <c r="B541" s="29"/>
      <c r="C541" s="29"/>
      <c r="D541" s="29"/>
    </row>
    <row r="542" spans="1:4" ht="12.75" x14ac:dyDescent="0.2">
      <c r="A542" s="29"/>
      <c r="B542" s="29"/>
      <c r="C542" s="29"/>
      <c r="D542" s="29"/>
    </row>
    <row r="543" spans="1:4" ht="12.75" x14ac:dyDescent="0.2">
      <c r="A543" s="29"/>
      <c r="B543" s="29"/>
      <c r="C543" s="29"/>
      <c r="D543" s="29"/>
    </row>
    <row r="544" spans="1:4" ht="12.75" x14ac:dyDescent="0.2">
      <c r="A544" s="29"/>
      <c r="B544" s="29"/>
      <c r="C544" s="29"/>
      <c r="D544" s="29"/>
    </row>
    <row r="545" spans="1:4" ht="12.75" x14ac:dyDescent="0.2">
      <c r="A545" s="29"/>
      <c r="B545" s="29"/>
      <c r="C545" s="29"/>
      <c r="D545" s="29"/>
    </row>
    <row r="546" spans="1:4" ht="12.75" x14ac:dyDescent="0.2">
      <c r="A546" s="29"/>
      <c r="B546" s="29"/>
      <c r="C546" s="29"/>
      <c r="D546" s="29"/>
    </row>
    <row r="547" spans="1:4" ht="12.75" x14ac:dyDescent="0.2">
      <c r="A547" s="29"/>
      <c r="B547" s="29"/>
      <c r="C547" s="29"/>
      <c r="D547" s="29"/>
    </row>
    <row r="548" spans="1:4" ht="12.75" x14ac:dyDescent="0.2">
      <c r="A548" s="29"/>
      <c r="B548" s="29"/>
      <c r="C548" s="29"/>
      <c r="D548" s="29"/>
    </row>
    <row r="549" spans="1:4" ht="12.75" x14ac:dyDescent="0.2">
      <c r="A549" s="29"/>
      <c r="B549" s="29"/>
      <c r="C549" s="29"/>
      <c r="D549" s="29"/>
    </row>
    <row r="550" spans="1:4" ht="12.75" x14ac:dyDescent="0.2">
      <c r="A550" s="29"/>
      <c r="B550" s="29"/>
      <c r="C550" s="29"/>
      <c r="D550" s="29"/>
    </row>
    <row r="551" spans="1:4" ht="12.75" x14ac:dyDescent="0.2">
      <c r="A551" s="29"/>
      <c r="B551" s="29"/>
      <c r="C551" s="29"/>
      <c r="D551" s="29"/>
    </row>
    <row r="552" spans="1:4" ht="12.75" x14ac:dyDescent="0.2">
      <c r="A552" s="29"/>
      <c r="B552" s="29"/>
      <c r="C552" s="29"/>
      <c r="D552" s="29"/>
    </row>
    <row r="553" spans="1:4" ht="12.75" x14ac:dyDescent="0.2">
      <c r="A553" s="29"/>
      <c r="B553" s="29"/>
      <c r="C553" s="29"/>
      <c r="D553" s="29"/>
    </row>
    <row r="554" spans="1:4" ht="12.75" x14ac:dyDescent="0.2">
      <c r="A554" s="29"/>
      <c r="B554" s="29"/>
      <c r="C554" s="29"/>
      <c r="D554" s="29"/>
    </row>
    <row r="555" spans="1:4" ht="12.75" x14ac:dyDescent="0.2">
      <c r="A555" s="29"/>
      <c r="B555" s="29"/>
      <c r="C555" s="29"/>
      <c r="D555" s="29"/>
    </row>
    <row r="556" spans="1:4" ht="12.75" x14ac:dyDescent="0.2">
      <c r="A556" s="29"/>
      <c r="B556" s="29"/>
      <c r="C556" s="29"/>
      <c r="D556" s="29"/>
    </row>
    <row r="557" spans="1:4" ht="12.75" x14ac:dyDescent="0.2">
      <c r="A557" s="29"/>
      <c r="B557" s="29"/>
      <c r="C557" s="29"/>
      <c r="D557" s="29"/>
    </row>
    <row r="558" spans="1:4" ht="12.75" x14ac:dyDescent="0.2">
      <c r="A558" s="29"/>
      <c r="B558" s="29"/>
      <c r="C558" s="29"/>
      <c r="D558" s="29"/>
    </row>
    <row r="559" spans="1:4" ht="12.75" x14ac:dyDescent="0.2">
      <c r="A559" s="29"/>
      <c r="B559" s="29"/>
      <c r="C559" s="29"/>
      <c r="D559" s="29"/>
    </row>
    <row r="560" spans="1:4" ht="12.75" x14ac:dyDescent="0.2">
      <c r="A560" s="29"/>
      <c r="B560" s="29"/>
      <c r="C560" s="29"/>
      <c r="D560" s="29"/>
    </row>
    <row r="561" spans="1:4" ht="12.75" x14ac:dyDescent="0.2">
      <c r="A561" s="29"/>
      <c r="B561" s="29"/>
      <c r="C561" s="29"/>
      <c r="D561" s="29"/>
    </row>
    <row r="562" spans="1:4" ht="12.75" x14ac:dyDescent="0.2">
      <c r="A562" s="29"/>
      <c r="B562" s="29"/>
      <c r="C562" s="29"/>
      <c r="D562" s="29"/>
    </row>
    <row r="563" spans="1:4" ht="12.75" x14ac:dyDescent="0.2">
      <c r="A563" s="29"/>
      <c r="B563" s="29"/>
      <c r="C563" s="29"/>
      <c r="D563" s="29"/>
    </row>
    <row r="564" spans="1:4" ht="12.75" x14ac:dyDescent="0.2">
      <c r="A564" s="29"/>
      <c r="B564" s="29"/>
      <c r="C564" s="29"/>
      <c r="D564" s="29"/>
    </row>
    <row r="565" spans="1:4" ht="12.75" x14ac:dyDescent="0.2">
      <c r="A565" s="29"/>
      <c r="B565" s="29"/>
      <c r="C565" s="29"/>
      <c r="D565" s="29"/>
    </row>
    <row r="566" spans="1:4" ht="12.75" x14ac:dyDescent="0.2">
      <c r="A566" s="29"/>
      <c r="B566" s="29"/>
      <c r="C566" s="29"/>
      <c r="D566" s="29"/>
    </row>
    <row r="567" spans="1:4" ht="12.75" x14ac:dyDescent="0.2">
      <c r="A567" s="29"/>
      <c r="B567" s="29"/>
      <c r="C567" s="29"/>
      <c r="D567" s="29"/>
    </row>
    <row r="568" spans="1:4" ht="12.75" x14ac:dyDescent="0.2">
      <c r="A568" s="29"/>
      <c r="B568" s="29"/>
      <c r="C568" s="29"/>
      <c r="D568" s="29"/>
    </row>
    <row r="569" spans="1:4" ht="12.75" x14ac:dyDescent="0.2">
      <c r="A569" s="29"/>
      <c r="B569" s="29"/>
      <c r="C569" s="29"/>
      <c r="D569" s="29"/>
    </row>
    <row r="570" spans="1:4" ht="12.75" x14ac:dyDescent="0.2">
      <c r="A570" s="29"/>
      <c r="B570" s="29"/>
      <c r="C570" s="29"/>
      <c r="D570" s="29"/>
    </row>
    <row r="571" spans="1:4" ht="12.75" x14ac:dyDescent="0.2">
      <c r="A571" s="29"/>
      <c r="B571" s="29"/>
      <c r="C571" s="29"/>
      <c r="D571" s="29"/>
    </row>
    <row r="572" spans="1:4" ht="12.75" x14ac:dyDescent="0.2">
      <c r="A572" s="29"/>
      <c r="B572" s="29"/>
      <c r="C572" s="29"/>
      <c r="D572" s="29"/>
    </row>
    <row r="573" spans="1:4" ht="12.75" x14ac:dyDescent="0.2">
      <c r="A573" s="29"/>
      <c r="B573" s="29"/>
      <c r="C573" s="29"/>
      <c r="D573" s="29"/>
    </row>
    <row r="574" spans="1:4" ht="12.75" x14ac:dyDescent="0.2">
      <c r="A574" s="29"/>
      <c r="B574" s="29"/>
      <c r="C574" s="29"/>
      <c r="D574" s="29"/>
    </row>
    <row r="575" spans="1:4" ht="12.75" x14ac:dyDescent="0.2">
      <c r="A575" s="29"/>
      <c r="B575" s="29"/>
      <c r="C575" s="29"/>
      <c r="D575" s="29"/>
    </row>
    <row r="576" spans="1:4" ht="12.75" x14ac:dyDescent="0.2">
      <c r="A576" s="29"/>
      <c r="B576" s="29"/>
      <c r="C576" s="29"/>
      <c r="D576" s="29"/>
    </row>
    <row r="577" spans="1:4" ht="12.75" x14ac:dyDescent="0.2">
      <c r="A577" s="29"/>
      <c r="B577" s="29"/>
      <c r="C577" s="29"/>
      <c r="D577" s="29"/>
    </row>
    <row r="578" spans="1:4" ht="12.75" x14ac:dyDescent="0.2">
      <c r="A578" s="29"/>
      <c r="B578" s="29"/>
      <c r="C578" s="29"/>
      <c r="D578" s="29"/>
    </row>
    <row r="579" spans="1:4" ht="12.75" x14ac:dyDescent="0.2">
      <c r="A579" s="29"/>
      <c r="B579" s="29"/>
      <c r="C579" s="29"/>
      <c r="D579" s="29"/>
    </row>
    <row r="580" spans="1:4" ht="12.75" x14ac:dyDescent="0.2">
      <c r="A580" s="29"/>
      <c r="B580" s="29"/>
      <c r="C580" s="29"/>
      <c r="D580" s="29"/>
    </row>
    <row r="581" spans="1:4" ht="12.75" x14ac:dyDescent="0.2">
      <c r="A581" s="29"/>
      <c r="B581" s="29"/>
      <c r="C581" s="29"/>
      <c r="D581" s="29"/>
    </row>
    <row r="582" spans="1:4" ht="12.75" x14ac:dyDescent="0.2">
      <c r="A582" s="29"/>
      <c r="B582" s="29"/>
      <c r="C582" s="29"/>
      <c r="D582" s="29"/>
    </row>
    <row r="583" spans="1:4" ht="12.75" x14ac:dyDescent="0.2">
      <c r="A583" s="29"/>
      <c r="B583" s="29"/>
      <c r="C583" s="29"/>
      <c r="D583" s="29"/>
    </row>
    <row r="584" spans="1:4" ht="12.75" x14ac:dyDescent="0.2">
      <c r="A584" s="29"/>
      <c r="B584" s="29"/>
      <c r="C584" s="29"/>
      <c r="D584" s="29"/>
    </row>
    <row r="585" spans="1:4" ht="12.75" x14ac:dyDescent="0.2">
      <c r="A585" s="29"/>
      <c r="B585" s="29"/>
      <c r="C585" s="29"/>
      <c r="D585" s="29"/>
    </row>
    <row r="586" spans="1:4" ht="12.75" x14ac:dyDescent="0.2">
      <c r="A586" s="29"/>
      <c r="B586" s="29"/>
      <c r="C586" s="29"/>
      <c r="D586" s="29"/>
    </row>
    <row r="587" spans="1:4" ht="12.75" x14ac:dyDescent="0.2">
      <c r="A587" s="29"/>
      <c r="B587" s="29"/>
      <c r="C587" s="29"/>
      <c r="D587" s="29"/>
    </row>
    <row r="588" spans="1:4" ht="12.75" x14ac:dyDescent="0.2">
      <c r="A588" s="29"/>
      <c r="B588" s="29"/>
      <c r="C588" s="29"/>
      <c r="D588" s="29"/>
    </row>
    <row r="589" spans="1:4" ht="12.75" x14ac:dyDescent="0.2">
      <c r="A589" s="29"/>
      <c r="B589" s="29"/>
      <c r="C589" s="29"/>
      <c r="D589" s="29"/>
    </row>
    <row r="590" spans="1:4" ht="12.75" x14ac:dyDescent="0.2">
      <c r="A590" s="29"/>
      <c r="B590" s="29"/>
      <c r="C590" s="29"/>
      <c r="D590" s="29"/>
    </row>
    <row r="591" spans="1:4" ht="12.75" x14ac:dyDescent="0.2">
      <c r="A591" s="29"/>
      <c r="B591" s="29"/>
      <c r="C591" s="29"/>
      <c r="D591" s="29"/>
    </row>
    <row r="592" spans="1:4" ht="12.75" x14ac:dyDescent="0.2">
      <c r="A592" s="29"/>
      <c r="B592" s="29"/>
      <c r="C592" s="29"/>
      <c r="D592" s="29"/>
    </row>
    <row r="593" spans="1:4" ht="12.75" x14ac:dyDescent="0.2">
      <c r="A593" s="29"/>
      <c r="B593" s="29"/>
      <c r="C593" s="29"/>
      <c r="D593" s="29"/>
    </row>
    <row r="594" spans="1:4" ht="12.75" x14ac:dyDescent="0.2">
      <c r="A594" s="29"/>
      <c r="B594" s="29"/>
      <c r="C594" s="29"/>
      <c r="D594" s="29"/>
    </row>
    <row r="595" spans="1:4" ht="12.75" x14ac:dyDescent="0.2">
      <c r="A595" s="29"/>
      <c r="B595" s="29"/>
      <c r="C595" s="29"/>
      <c r="D595" s="29"/>
    </row>
    <row r="596" spans="1:4" ht="12.75" x14ac:dyDescent="0.2">
      <c r="A596" s="29"/>
      <c r="B596" s="29"/>
      <c r="C596" s="29"/>
      <c r="D596" s="29"/>
    </row>
    <row r="597" spans="1:4" ht="12.75" x14ac:dyDescent="0.2">
      <c r="A597" s="29"/>
      <c r="B597" s="29"/>
      <c r="C597" s="29"/>
      <c r="D597" s="29"/>
    </row>
    <row r="598" spans="1:4" ht="12.75" x14ac:dyDescent="0.2">
      <c r="A598" s="29"/>
      <c r="B598" s="29"/>
      <c r="C598" s="29"/>
      <c r="D598" s="29"/>
    </row>
    <row r="599" spans="1:4" ht="12.75" x14ac:dyDescent="0.2">
      <c r="A599" s="29"/>
      <c r="B599" s="29"/>
      <c r="C599" s="29"/>
      <c r="D599" s="29"/>
    </row>
    <row r="600" spans="1:4" ht="12.75" x14ac:dyDescent="0.2">
      <c r="A600" s="29"/>
      <c r="B600" s="29"/>
      <c r="C600" s="29"/>
      <c r="D600" s="29"/>
    </row>
    <row r="601" spans="1:4" ht="12.75" x14ac:dyDescent="0.2">
      <c r="A601" s="29"/>
      <c r="B601" s="29"/>
      <c r="C601" s="29"/>
      <c r="D601" s="29"/>
    </row>
    <row r="602" spans="1:4" ht="12.75" x14ac:dyDescent="0.2">
      <c r="A602" s="29"/>
      <c r="B602" s="29"/>
      <c r="C602" s="29"/>
      <c r="D602" s="29"/>
    </row>
    <row r="603" spans="1:4" ht="12.75" x14ac:dyDescent="0.2">
      <c r="A603" s="29"/>
      <c r="B603" s="29"/>
      <c r="C603" s="29"/>
      <c r="D603" s="29"/>
    </row>
    <row r="604" spans="1:4" ht="12.75" x14ac:dyDescent="0.2">
      <c r="A604" s="29"/>
      <c r="B604" s="29"/>
      <c r="C604" s="29"/>
      <c r="D604" s="29"/>
    </row>
    <row r="605" spans="1:4" ht="12.75" x14ac:dyDescent="0.2">
      <c r="A605" s="29"/>
      <c r="B605" s="29"/>
      <c r="C605" s="29"/>
      <c r="D605" s="29"/>
    </row>
    <row r="606" spans="1:4" ht="12.75" x14ac:dyDescent="0.2">
      <c r="A606" s="29"/>
      <c r="B606" s="29"/>
      <c r="C606" s="29"/>
      <c r="D606" s="29"/>
    </row>
    <row r="607" spans="1:4" ht="12.75" x14ac:dyDescent="0.2">
      <c r="A607" s="29"/>
      <c r="B607" s="29"/>
      <c r="C607" s="29"/>
      <c r="D607" s="29"/>
    </row>
    <row r="608" spans="1:4" ht="12.75" x14ac:dyDescent="0.2">
      <c r="A608" s="29"/>
      <c r="B608" s="29"/>
      <c r="C608" s="29"/>
      <c r="D608" s="29"/>
    </row>
    <row r="609" spans="1:4" ht="12.75" x14ac:dyDescent="0.2">
      <c r="A609" s="29"/>
      <c r="B609" s="29"/>
      <c r="C609" s="29"/>
      <c r="D609" s="29"/>
    </row>
    <row r="610" spans="1:4" ht="12.75" x14ac:dyDescent="0.2">
      <c r="A610" s="29"/>
      <c r="B610" s="29"/>
      <c r="C610" s="29"/>
      <c r="D610" s="29"/>
    </row>
    <row r="611" spans="1:4" ht="12.75" x14ac:dyDescent="0.2">
      <c r="A611" s="29"/>
      <c r="B611" s="29"/>
      <c r="C611" s="29"/>
      <c r="D611" s="29"/>
    </row>
    <row r="612" spans="1:4" ht="12.75" x14ac:dyDescent="0.2">
      <c r="A612" s="29"/>
      <c r="B612" s="29"/>
      <c r="C612" s="29"/>
      <c r="D612" s="29"/>
    </row>
    <row r="613" spans="1:4" ht="12.75" x14ac:dyDescent="0.2">
      <c r="A613" s="29"/>
      <c r="B613" s="29"/>
      <c r="C613" s="29"/>
      <c r="D613" s="29"/>
    </row>
    <row r="614" spans="1:4" ht="12.75" x14ac:dyDescent="0.2">
      <c r="A614" s="29"/>
      <c r="B614" s="29"/>
      <c r="C614" s="29"/>
      <c r="D614" s="29"/>
    </row>
    <row r="615" spans="1:4" ht="12.75" x14ac:dyDescent="0.2">
      <c r="A615" s="29"/>
      <c r="B615" s="29"/>
      <c r="C615" s="29"/>
      <c r="D615" s="29"/>
    </row>
    <row r="616" spans="1:4" ht="12.75" x14ac:dyDescent="0.2">
      <c r="A616" s="29"/>
      <c r="B616" s="29"/>
      <c r="C616" s="29"/>
      <c r="D616" s="29"/>
    </row>
    <row r="617" spans="1:4" ht="12.75" x14ac:dyDescent="0.2">
      <c r="A617" s="29"/>
      <c r="B617" s="29"/>
      <c r="C617" s="29"/>
      <c r="D617" s="29"/>
    </row>
    <row r="618" spans="1:4" ht="12.75" x14ac:dyDescent="0.2">
      <c r="A618" s="29"/>
      <c r="B618" s="29"/>
      <c r="C618" s="29"/>
      <c r="D618" s="29"/>
    </row>
    <row r="619" spans="1:4" ht="12.75" x14ac:dyDescent="0.2">
      <c r="A619" s="29"/>
      <c r="B619" s="29"/>
      <c r="C619" s="29"/>
      <c r="D619" s="29"/>
    </row>
    <row r="620" spans="1:4" ht="12.75" x14ac:dyDescent="0.2">
      <c r="A620" s="29"/>
      <c r="B620" s="29"/>
      <c r="C620" s="29"/>
      <c r="D620" s="29"/>
    </row>
    <row r="621" spans="1:4" ht="12.75" x14ac:dyDescent="0.2">
      <c r="A621" s="29"/>
      <c r="B621" s="29"/>
      <c r="C621" s="29"/>
      <c r="D621" s="29"/>
    </row>
    <row r="622" spans="1:4" ht="12.75" x14ac:dyDescent="0.2">
      <c r="A622" s="29"/>
      <c r="B622" s="29"/>
      <c r="C622" s="29"/>
      <c r="D622" s="29"/>
    </row>
    <row r="623" spans="1:4" ht="12.75" x14ac:dyDescent="0.2">
      <c r="A623" s="29"/>
      <c r="B623" s="29"/>
      <c r="C623" s="29"/>
      <c r="D623" s="29"/>
    </row>
    <row r="624" spans="1:4" ht="12.75" x14ac:dyDescent="0.2">
      <c r="A624" s="29"/>
      <c r="B624" s="29"/>
      <c r="C624" s="29"/>
      <c r="D624" s="29"/>
    </row>
    <row r="625" spans="1:4" ht="12.75" x14ac:dyDescent="0.2">
      <c r="A625" s="29"/>
      <c r="B625" s="29"/>
      <c r="C625" s="29"/>
      <c r="D625" s="29"/>
    </row>
    <row r="626" spans="1:4" ht="12.75" x14ac:dyDescent="0.2">
      <c r="A626" s="29"/>
      <c r="B626" s="29"/>
      <c r="C626" s="29"/>
      <c r="D626" s="29"/>
    </row>
    <row r="627" spans="1:4" ht="12.75" x14ac:dyDescent="0.2">
      <c r="A627" s="29"/>
      <c r="B627" s="29"/>
      <c r="C627" s="29"/>
      <c r="D627" s="29"/>
    </row>
    <row r="628" spans="1:4" ht="12.75" x14ac:dyDescent="0.2">
      <c r="A628" s="29"/>
      <c r="B628" s="29"/>
      <c r="C628" s="29"/>
      <c r="D628" s="29"/>
    </row>
    <row r="629" spans="1:4" ht="12.75" x14ac:dyDescent="0.2">
      <c r="A629" s="29"/>
      <c r="B629" s="29"/>
      <c r="C629" s="29"/>
      <c r="D629" s="29"/>
    </row>
    <row r="630" spans="1:4" ht="12.75" x14ac:dyDescent="0.2">
      <c r="A630" s="29"/>
      <c r="B630" s="29"/>
      <c r="C630" s="29"/>
      <c r="D630" s="29"/>
    </row>
    <row r="631" spans="1:4" ht="12.75" x14ac:dyDescent="0.2">
      <c r="A631" s="29"/>
      <c r="B631" s="29"/>
      <c r="C631" s="29"/>
      <c r="D631" s="29"/>
    </row>
    <row r="632" spans="1:4" ht="12.75" x14ac:dyDescent="0.2">
      <c r="A632" s="29"/>
      <c r="B632" s="29"/>
      <c r="C632" s="29"/>
      <c r="D632" s="29"/>
    </row>
    <row r="633" spans="1:4" ht="12.75" x14ac:dyDescent="0.2">
      <c r="A633" s="29"/>
      <c r="B633" s="29"/>
      <c r="C633" s="29"/>
      <c r="D633" s="29"/>
    </row>
    <row r="634" spans="1:4" ht="12.75" x14ac:dyDescent="0.2">
      <c r="A634" s="29"/>
      <c r="B634" s="29"/>
      <c r="C634" s="29"/>
      <c r="D634" s="29"/>
    </row>
    <row r="635" spans="1:4" ht="12.75" x14ac:dyDescent="0.2">
      <c r="A635" s="29"/>
      <c r="B635" s="29"/>
      <c r="C635" s="29"/>
      <c r="D635" s="29"/>
    </row>
    <row r="636" spans="1:4" ht="12.75" x14ac:dyDescent="0.2">
      <c r="A636" s="29"/>
      <c r="B636" s="29"/>
      <c r="C636" s="29"/>
      <c r="D636" s="29"/>
    </row>
    <row r="637" spans="1:4" ht="12.75" x14ac:dyDescent="0.2">
      <c r="A637" s="29"/>
      <c r="B637" s="29"/>
      <c r="C637" s="29"/>
      <c r="D637" s="29"/>
    </row>
    <row r="638" spans="1:4" ht="12.75" x14ac:dyDescent="0.2">
      <c r="A638" s="29"/>
      <c r="B638" s="29"/>
      <c r="C638" s="29"/>
      <c r="D638" s="29"/>
    </row>
    <row r="639" spans="1:4" ht="12.75" x14ac:dyDescent="0.2">
      <c r="A639" s="29"/>
      <c r="B639" s="29"/>
      <c r="C639" s="29"/>
      <c r="D639" s="29"/>
    </row>
    <row r="640" spans="1:4" ht="12.75" x14ac:dyDescent="0.2">
      <c r="A640" s="29"/>
      <c r="B640" s="29"/>
      <c r="C640" s="29"/>
      <c r="D640" s="29"/>
    </row>
    <row r="641" spans="1:4" ht="12.75" x14ac:dyDescent="0.2">
      <c r="A641" s="29"/>
      <c r="B641" s="29"/>
      <c r="C641" s="29"/>
      <c r="D641" s="29"/>
    </row>
    <row r="642" spans="1:4" ht="12.75" x14ac:dyDescent="0.2">
      <c r="A642" s="29"/>
      <c r="B642" s="29"/>
      <c r="C642" s="29"/>
      <c r="D642" s="29"/>
    </row>
    <row r="643" spans="1:4" ht="12.75" x14ac:dyDescent="0.2">
      <c r="A643" s="29"/>
      <c r="B643" s="29"/>
      <c r="C643" s="29"/>
      <c r="D643" s="29"/>
    </row>
    <row r="644" spans="1:4" ht="12.75" x14ac:dyDescent="0.2">
      <c r="A644" s="29"/>
      <c r="B644" s="29"/>
      <c r="C644" s="29"/>
      <c r="D644" s="29"/>
    </row>
    <row r="645" spans="1:4" ht="12.75" x14ac:dyDescent="0.2">
      <c r="A645" s="29"/>
      <c r="B645" s="29"/>
      <c r="C645" s="29"/>
      <c r="D645" s="29"/>
    </row>
    <row r="646" spans="1:4" ht="12.75" x14ac:dyDescent="0.2">
      <c r="A646" s="29"/>
      <c r="B646" s="29"/>
      <c r="C646" s="29"/>
      <c r="D646" s="29"/>
    </row>
    <row r="647" spans="1:4" ht="12.75" x14ac:dyDescent="0.2">
      <c r="A647" s="29"/>
      <c r="B647" s="29"/>
      <c r="C647" s="29"/>
      <c r="D647" s="29"/>
    </row>
    <row r="648" spans="1:4" ht="12.75" x14ac:dyDescent="0.2">
      <c r="A648" s="29"/>
      <c r="B648" s="29"/>
      <c r="C648" s="29"/>
      <c r="D648" s="29"/>
    </row>
    <row r="649" spans="1:4" ht="12.75" x14ac:dyDescent="0.2">
      <c r="A649" s="29"/>
      <c r="B649" s="29"/>
      <c r="C649" s="29"/>
      <c r="D649" s="29"/>
    </row>
    <row r="650" spans="1:4" ht="12.75" x14ac:dyDescent="0.2">
      <c r="A650" s="29"/>
      <c r="B650" s="29"/>
      <c r="C650" s="29"/>
      <c r="D650" s="29"/>
    </row>
    <row r="651" spans="1:4" ht="12.75" x14ac:dyDescent="0.2">
      <c r="A651" s="29"/>
      <c r="B651" s="29"/>
      <c r="C651" s="29"/>
      <c r="D651" s="29"/>
    </row>
    <row r="652" spans="1:4" ht="12.75" x14ac:dyDescent="0.2">
      <c r="A652" s="29"/>
      <c r="B652" s="29"/>
      <c r="C652" s="29"/>
      <c r="D652" s="29"/>
    </row>
    <row r="653" spans="1:4" ht="12.75" x14ac:dyDescent="0.2">
      <c r="A653" s="29"/>
      <c r="B653" s="29"/>
      <c r="C653" s="29"/>
      <c r="D653" s="29"/>
    </row>
    <row r="654" spans="1:4" ht="12.75" x14ac:dyDescent="0.2">
      <c r="A654" s="29"/>
      <c r="B654" s="29"/>
      <c r="C654" s="29"/>
      <c r="D654" s="29"/>
    </row>
    <row r="655" spans="1:4" ht="12.75" x14ac:dyDescent="0.2">
      <c r="A655" s="29"/>
      <c r="B655" s="29"/>
      <c r="C655" s="29"/>
      <c r="D655" s="29"/>
    </row>
    <row r="656" spans="1:4" ht="12.75" x14ac:dyDescent="0.2">
      <c r="A656" s="29"/>
      <c r="B656" s="29"/>
      <c r="C656" s="29"/>
      <c r="D656" s="29"/>
    </row>
    <row r="657" spans="1:4" ht="12.75" x14ac:dyDescent="0.2">
      <c r="A657" s="29"/>
      <c r="B657" s="29"/>
      <c r="C657" s="29"/>
      <c r="D657" s="29"/>
    </row>
    <row r="658" spans="1:4" ht="12.75" x14ac:dyDescent="0.2">
      <c r="A658" s="29"/>
      <c r="B658" s="29"/>
      <c r="C658" s="29"/>
      <c r="D658" s="29"/>
    </row>
    <row r="659" spans="1:4" ht="12.75" x14ac:dyDescent="0.2">
      <c r="A659" s="29"/>
      <c r="B659" s="29"/>
      <c r="C659" s="29"/>
      <c r="D659" s="29"/>
    </row>
    <row r="660" spans="1:4" ht="12.75" x14ac:dyDescent="0.2">
      <c r="A660" s="29"/>
      <c r="B660" s="29"/>
      <c r="C660" s="29"/>
      <c r="D660" s="29"/>
    </row>
    <row r="661" spans="1:4" ht="12.75" x14ac:dyDescent="0.2">
      <c r="A661" s="29"/>
      <c r="B661" s="29"/>
      <c r="C661" s="29"/>
      <c r="D661" s="29"/>
    </row>
    <row r="662" spans="1:4" ht="12.75" x14ac:dyDescent="0.2">
      <c r="A662" s="29"/>
      <c r="B662" s="29"/>
      <c r="C662" s="29"/>
      <c r="D662" s="29"/>
    </row>
    <row r="663" spans="1:4" ht="12.75" x14ac:dyDescent="0.2">
      <c r="A663" s="29"/>
      <c r="B663" s="29"/>
      <c r="C663" s="29"/>
      <c r="D663" s="29"/>
    </row>
    <row r="664" spans="1:4" ht="12.75" x14ac:dyDescent="0.2">
      <c r="A664" s="29"/>
      <c r="B664" s="29"/>
      <c r="C664" s="29"/>
      <c r="D664" s="29"/>
    </row>
    <row r="665" spans="1:4" ht="12.75" x14ac:dyDescent="0.2">
      <c r="A665" s="29"/>
      <c r="B665" s="29"/>
      <c r="C665" s="29"/>
      <c r="D665" s="29"/>
    </row>
    <row r="666" spans="1:4" ht="12.75" x14ac:dyDescent="0.2">
      <c r="A666" s="29"/>
      <c r="B666" s="29"/>
      <c r="C666" s="29"/>
      <c r="D666" s="29"/>
    </row>
    <row r="667" spans="1:4" ht="12.75" x14ac:dyDescent="0.2">
      <c r="A667" s="29"/>
      <c r="B667" s="29"/>
      <c r="C667" s="29"/>
      <c r="D667" s="29"/>
    </row>
    <row r="668" spans="1:4" ht="12.75" x14ac:dyDescent="0.2">
      <c r="A668" s="29"/>
      <c r="B668" s="29"/>
      <c r="C668" s="29"/>
      <c r="D668" s="29"/>
    </row>
    <row r="669" spans="1:4" ht="12.75" x14ac:dyDescent="0.2">
      <c r="A669" s="29"/>
      <c r="B669" s="29"/>
      <c r="C669" s="29"/>
      <c r="D669" s="29"/>
    </row>
    <row r="670" spans="1:4" ht="12.75" x14ac:dyDescent="0.2">
      <c r="A670" s="29"/>
      <c r="B670" s="29"/>
      <c r="C670" s="29"/>
      <c r="D670" s="29"/>
    </row>
    <row r="671" spans="1:4" ht="12.75" x14ac:dyDescent="0.2">
      <c r="A671" s="29"/>
      <c r="B671" s="29"/>
      <c r="C671" s="29"/>
      <c r="D671" s="29"/>
    </row>
    <row r="672" spans="1:4" ht="12.75" x14ac:dyDescent="0.2">
      <c r="A672" s="29"/>
      <c r="B672" s="29"/>
      <c r="C672" s="29"/>
      <c r="D672" s="29"/>
    </row>
    <row r="673" spans="1:4" ht="12.75" x14ac:dyDescent="0.2">
      <c r="A673" s="29"/>
      <c r="B673" s="29"/>
      <c r="C673" s="29"/>
      <c r="D673" s="29"/>
    </row>
    <row r="674" spans="1:4" ht="12.75" x14ac:dyDescent="0.2">
      <c r="A674" s="29"/>
      <c r="B674" s="29"/>
      <c r="C674" s="29"/>
      <c r="D674" s="29"/>
    </row>
    <row r="675" spans="1:4" ht="12.75" x14ac:dyDescent="0.2">
      <c r="A675" s="29"/>
      <c r="B675" s="29"/>
      <c r="C675" s="29"/>
      <c r="D675" s="29"/>
    </row>
    <row r="676" spans="1:4" ht="12.75" x14ac:dyDescent="0.2">
      <c r="A676" s="29"/>
      <c r="B676" s="29"/>
      <c r="C676" s="29"/>
      <c r="D676" s="29"/>
    </row>
    <row r="677" spans="1:4" ht="12.75" x14ac:dyDescent="0.2">
      <c r="A677" s="29"/>
      <c r="B677" s="29"/>
      <c r="C677" s="29"/>
      <c r="D677" s="29"/>
    </row>
    <row r="678" spans="1:4" ht="12.75" x14ac:dyDescent="0.2">
      <c r="A678" s="29"/>
      <c r="B678" s="29"/>
      <c r="C678" s="29"/>
      <c r="D678" s="29"/>
    </row>
    <row r="679" spans="1:4" ht="12.75" x14ac:dyDescent="0.2">
      <c r="A679" s="29"/>
      <c r="B679" s="29"/>
      <c r="C679" s="29"/>
      <c r="D679" s="29"/>
    </row>
    <row r="680" spans="1:4" ht="12.75" x14ac:dyDescent="0.2">
      <c r="A680" s="29"/>
      <c r="B680" s="29"/>
      <c r="C680" s="29"/>
      <c r="D680" s="29"/>
    </row>
    <row r="681" spans="1:4" ht="12.75" x14ac:dyDescent="0.2">
      <c r="A681" s="29"/>
      <c r="B681" s="29"/>
      <c r="C681" s="29"/>
      <c r="D681" s="29"/>
    </row>
    <row r="682" spans="1:4" ht="12.75" x14ac:dyDescent="0.2">
      <c r="A682" s="29"/>
      <c r="B682" s="29"/>
      <c r="C682" s="29"/>
      <c r="D682" s="29"/>
    </row>
    <row r="683" spans="1:4" ht="12.75" x14ac:dyDescent="0.2">
      <c r="A683" s="29"/>
      <c r="B683" s="29"/>
      <c r="C683" s="29"/>
      <c r="D683" s="29"/>
    </row>
    <row r="684" spans="1:4" ht="12.75" x14ac:dyDescent="0.2">
      <c r="A684" s="29"/>
      <c r="B684" s="29"/>
      <c r="C684" s="29"/>
      <c r="D684" s="29"/>
    </row>
    <row r="685" spans="1:4" ht="12.75" x14ac:dyDescent="0.2">
      <c r="A685" s="29"/>
      <c r="B685" s="29"/>
      <c r="C685" s="29"/>
      <c r="D685" s="29"/>
    </row>
    <row r="686" spans="1:4" ht="12.75" x14ac:dyDescent="0.2">
      <c r="A686" s="29"/>
      <c r="B686" s="29"/>
      <c r="C686" s="29"/>
      <c r="D686" s="29"/>
    </row>
    <row r="687" spans="1:4" ht="12.75" x14ac:dyDescent="0.2">
      <c r="A687" s="29"/>
      <c r="B687" s="29"/>
      <c r="C687" s="29"/>
      <c r="D687" s="29"/>
    </row>
    <row r="688" spans="1:4" ht="12.75" x14ac:dyDescent="0.2">
      <c r="A688" s="29"/>
      <c r="B688" s="29"/>
      <c r="C688" s="29"/>
      <c r="D688" s="29"/>
    </row>
    <row r="689" spans="1:4" ht="12.75" x14ac:dyDescent="0.2">
      <c r="A689" s="29"/>
      <c r="B689" s="29"/>
      <c r="C689" s="29"/>
      <c r="D689" s="29"/>
    </row>
    <row r="690" spans="1:4" ht="12.75" x14ac:dyDescent="0.2">
      <c r="A690" s="29"/>
      <c r="B690" s="29"/>
      <c r="C690" s="29"/>
      <c r="D690" s="29"/>
    </row>
    <row r="691" spans="1:4" ht="12.75" x14ac:dyDescent="0.2">
      <c r="A691" s="29"/>
      <c r="B691" s="29"/>
      <c r="C691" s="29"/>
      <c r="D691" s="29"/>
    </row>
    <row r="692" spans="1:4" ht="12.75" x14ac:dyDescent="0.2">
      <c r="A692" s="29"/>
      <c r="B692" s="29"/>
      <c r="C692" s="29"/>
      <c r="D692" s="29"/>
    </row>
    <row r="693" spans="1:4" ht="12.75" x14ac:dyDescent="0.2">
      <c r="A693" s="29"/>
      <c r="B693" s="29"/>
      <c r="C693" s="29"/>
      <c r="D693" s="29"/>
    </row>
    <row r="694" spans="1:4" ht="12.75" x14ac:dyDescent="0.2">
      <c r="A694" s="29"/>
      <c r="B694" s="29"/>
      <c r="C694" s="29"/>
      <c r="D694" s="29"/>
    </row>
    <row r="695" spans="1:4" ht="12.75" x14ac:dyDescent="0.2">
      <c r="A695" s="29"/>
      <c r="B695" s="29"/>
      <c r="C695" s="29"/>
      <c r="D695" s="29"/>
    </row>
    <row r="696" spans="1:4" ht="12.75" x14ac:dyDescent="0.2">
      <c r="A696" s="29"/>
      <c r="B696" s="29"/>
      <c r="C696" s="29"/>
      <c r="D696" s="29"/>
    </row>
    <row r="697" spans="1:4" ht="12.75" x14ac:dyDescent="0.2">
      <c r="A697" s="29"/>
      <c r="B697" s="29"/>
      <c r="C697" s="29"/>
      <c r="D697" s="29"/>
    </row>
    <row r="698" spans="1:4" ht="12.75" x14ac:dyDescent="0.2">
      <c r="A698" s="29"/>
      <c r="B698" s="29"/>
      <c r="C698" s="29"/>
      <c r="D698" s="29"/>
    </row>
    <row r="699" spans="1:4" ht="12.75" x14ac:dyDescent="0.2">
      <c r="A699" s="29"/>
      <c r="B699" s="29"/>
      <c r="C699" s="29"/>
      <c r="D699" s="29"/>
    </row>
    <row r="700" spans="1:4" ht="12.75" x14ac:dyDescent="0.2">
      <c r="A700" s="29"/>
      <c r="B700" s="29"/>
      <c r="C700" s="29"/>
      <c r="D700" s="29"/>
    </row>
    <row r="701" spans="1:4" ht="12.75" x14ac:dyDescent="0.2">
      <c r="A701" s="29"/>
      <c r="B701" s="29"/>
      <c r="C701" s="29"/>
      <c r="D701" s="29"/>
    </row>
    <row r="702" spans="1:4" ht="12.75" x14ac:dyDescent="0.2">
      <c r="A702" s="29"/>
      <c r="B702" s="29"/>
      <c r="C702" s="29"/>
      <c r="D702" s="29"/>
    </row>
    <row r="703" spans="1:4" ht="12.75" x14ac:dyDescent="0.2">
      <c r="A703" s="29"/>
      <c r="B703" s="29"/>
      <c r="C703" s="29"/>
      <c r="D703" s="29"/>
    </row>
    <row r="704" spans="1:4" ht="12.75" x14ac:dyDescent="0.2">
      <c r="A704" s="29"/>
      <c r="B704" s="29"/>
      <c r="C704" s="29"/>
      <c r="D704" s="29"/>
    </row>
    <row r="705" spans="1:4" ht="12.75" x14ac:dyDescent="0.2">
      <c r="A705" s="29"/>
      <c r="B705" s="29"/>
      <c r="C705" s="29"/>
      <c r="D705" s="29"/>
    </row>
    <row r="706" spans="1:4" ht="12.75" x14ac:dyDescent="0.2">
      <c r="A706" s="29"/>
      <c r="B706" s="29"/>
      <c r="C706" s="29"/>
      <c r="D706" s="29"/>
    </row>
    <row r="707" spans="1:4" ht="12.75" x14ac:dyDescent="0.2">
      <c r="A707" s="29"/>
      <c r="B707" s="29"/>
      <c r="C707" s="29"/>
      <c r="D707" s="29"/>
    </row>
    <row r="708" spans="1:4" ht="12.75" x14ac:dyDescent="0.2">
      <c r="A708" s="29"/>
      <c r="B708" s="29"/>
      <c r="C708" s="29"/>
      <c r="D708" s="29"/>
    </row>
    <row r="709" spans="1:4" ht="12.75" x14ac:dyDescent="0.2">
      <c r="A709" s="29"/>
      <c r="B709" s="29"/>
      <c r="C709" s="29"/>
      <c r="D709" s="29"/>
    </row>
    <row r="710" spans="1:4" ht="12.75" x14ac:dyDescent="0.2">
      <c r="A710" s="29"/>
      <c r="B710" s="29"/>
      <c r="C710" s="29"/>
      <c r="D710" s="29"/>
    </row>
    <row r="711" spans="1:4" ht="12.75" x14ac:dyDescent="0.2">
      <c r="A711" s="29"/>
      <c r="B711" s="29"/>
      <c r="C711" s="29"/>
      <c r="D711" s="29"/>
    </row>
    <row r="712" spans="1:4" ht="12.75" x14ac:dyDescent="0.2">
      <c r="A712" s="29"/>
      <c r="B712" s="29"/>
      <c r="C712" s="29"/>
      <c r="D712" s="29"/>
    </row>
    <row r="713" spans="1:4" ht="12.75" x14ac:dyDescent="0.2">
      <c r="A713" s="29"/>
      <c r="B713" s="29"/>
      <c r="C713" s="29"/>
      <c r="D713" s="29"/>
    </row>
    <row r="714" spans="1:4" ht="12.75" x14ac:dyDescent="0.2">
      <c r="A714" s="29"/>
      <c r="B714" s="29"/>
      <c r="C714" s="29"/>
      <c r="D714" s="29"/>
    </row>
    <row r="715" spans="1:4" ht="12.75" x14ac:dyDescent="0.2">
      <c r="A715" s="29"/>
      <c r="B715" s="29"/>
      <c r="C715" s="29"/>
      <c r="D715" s="29"/>
    </row>
    <row r="716" spans="1:4" ht="12.75" x14ac:dyDescent="0.2">
      <c r="A716" s="29"/>
      <c r="B716" s="29"/>
      <c r="C716" s="29"/>
      <c r="D716" s="29"/>
    </row>
    <row r="717" spans="1:4" ht="12.75" x14ac:dyDescent="0.2">
      <c r="A717" s="29"/>
      <c r="B717" s="29"/>
      <c r="C717" s="29"/>
      <c r="D717" s="29"/>
    </row>
    <row r="718" spans="1:4" ht="12.75" x14ac:dyDescent="0.2">
      <c r="A718" s="29"/>
      <c r="B718" s="29"/>
      <c r="C718" s="29"/>
      <c r="D718" s="29"/>
    </row>
    <row r="719" spans="1:4" ht="12.75" x14ac:dyDescent="0.2">
      <c r="A719" s="29"/>
      <c r="B719" s="29"/>
      <c r="C719" s="29"/>
      <c r="D719" s="29"/>
    </row>
    <row r="720" spans="1:4" ht="12.75" x14ac:dyDescent="0.2">
      <c r="A720" s="29"/>
      <c r="B720" s="29"/>
      <c r="C720" s="29"/>
      <c r="D720" s="29"/>
    </row>
    <row r="721" spans="1:4" ht="12.75" x14ac:dyDescent="0.2">
      <c r="A721" s="29"/>
      <c r="B721" s="29"/>
      <c r="C721" s="29"/>
      <c r="D721" s="29"/>
    </row>
    <row r="722" spans="1:4" ht="12.75" x14ac:dyDescent="0.2">
      <c r="A722" s="29"/>
      <c r="B722" s="29"/>
      <c r="C722" s="29"/>
      <c r="D722" s="29"/>
    </row>
    <row r="723" spans="1:4" ht="12.75" x14ac:dyDescent="0.2">
      <c r="A723" s="29"/>
      <c r="B723" s="29"/>
      <c r="C723" s="29"/>
      <c r="D723" s="29"/>
    </row>
    <row r="724" spans="1:4" ht="12.75" x14ac:dyDescent="0.2">
      <c r="A724" s="29"/>
      <c r="B724" s="29"/>
      <c r="C724" s="29"/>
      <c r="D724" s="29"/>
    </row>
    <row r="725" spans="1:4" ht="12.75" x14ac:dyDescent="0.2">
      <c r="A725" s="29"/>
      <c r="B725" s="29"/>
      <c r="C725" s="29"/>
      <c r="D725" s="29"/>
    </row>
    <row r="726" spans="1:4" ht="12.75" x14ac:dyDescent="0.2">
      <c r="A726" s="29"/>
      <c r="B726" s="29"/>
      <c r="C726" s="29"/>
      <c r="D726" s="29"/>
    </row>
    <row r="727" spans="1:4" ht="12.75" x14ac:dyDescent="0.2">
      <c r="A727" s="29"/>
      <c r="B727" s="29"/>
      <c r="C727" s="29"/>
      <c r="D727" s="29"/>
    </row>
    <row r="728" spans="1:4" ht="12.75" x14ac:dyDescent="0.2">
      <c r="A728" s="29"/>
      <c r="B728" s="29"/>
      <c r="C728" s="29"/>
      <c r="D728" s="29"/>
    </row>
    <row r="729" spans="1:4" ht="12.75" x14ac:dyDescent="0.2">
      <c r="A729" s="29"/>
      <c r="B729" s="29"/>
      <c r="C729" s="29"/>
      <c r="D729" s="29"/>
    </row>
    <row r="730" spans="1:4" ht="12.75" x14ac:dyDescent="0.2">
      <c r="A730" s="29"/>
      <c r="B730" s="29"/>
      <c r="C730" s="29"/>
      <c r="D730" s="29"/>
    </row>
    <row r="731" spans="1:4" ht="12.75" x14ac:dyDescent="0.2">
      <c r="A731" s="29"/>
      <c r="B731" s="29"/>
      <c r="C731" s="29"/>
      <c r="D731" s="29"/>
    </row>
    <row r="732" spans="1:4" ht="12.75" x14ac:dyDescent="0.2">
      <c r="A732" s="29"/>
      <c r="B732" s="29"/>
      <c r="C732" s="29"/>
      <c r="D732" s="29"/>
    </row>
    <row r="733" spans="1:4" ht="12.75" x14ac:dyDescent="0.2">
      <c r="A733" s="29"/>
      <c r="B733" s="29"/>
      <c r="C733" s="29"/>
      <c r="D733" s="29"/>
    </row>
    <row r="734" spans="1:4" ht="12.75" x14ac:dyDescent="0.2">
      <c r="A734" s="29"/>
      <c r="B734" s="29"/>
      <c r="C734" s="29"/>
      <c r="D734" s="29"/>
    </row>
    <row r="735" spans="1:4" ht="12.75" x14ac:dyDescent="0.2">
      <c r="A735" s="29"/>
      <c r="B735" s="29"/>
      <c r="C735" s="29"/>
      <c r="D735" s="29"/>
    </row>
    <row r="736" spans="1:4" ht="12.75" x14ac:dyDescent="0.2">
      <c r="A736" s="29"/>
      <c r="B736" s="29"/>
      <c r="C736" s="29"/>
      <c r="D736" s="29"/>
    </row>
    <row r="737" spans="1:4" ht="12.75" x14ac:dyDescent="0.2">
      <c r="A737" s="29"/>
      <c r="B737" s="29"/>
      <c r="C737" s="29"/>
      <c r="D737" s="29"/>
    </row>
    <row r="738" spans="1:4" ht="12.75" x14ac:dyDescent="0.2">
      <c r="A738" s="29"/>
      <c r="B738" s="29"/>
      <c r="C738" s="29"/>
      <c r="D738" s="29"/>
    </row>
    <row r="739" spans="1:4" ht="12.75" x14ac:dyDescent="0.2">
      <c r="A739" s="29"/>
      <c r="B739" s="29"/>
      <c r="C739" s="29"/>
      <c r="D739" s="29"/>
    </row>
    <row r="740" spans="1:4" ht="12.75" x14ac:dyDescent="0.2">
      <c r="A740" s="29"/>
      <c r="B740" s="29"/>
      <c r="C740" s="29"/>
      <c r="D740" s="29"/>
    </row>
    <row r="741" spans="1:4" ht="12.75" x14ac:dyDescent="0.2">
      <c r="A741" s="29"/>
      <c r="B741" s="29"/>
      <c r="C741" s="29"/>
      <c r="D741" s="29"/>
    </row>
    <row r="742" spans="1:4" ht="12.75" x14ac:dyDescent="0.2">
      <c r="A742" s="29"/>
      <c r="B742" s="29"/>
      <c r="C742" s="29"/>
      <c r="D742" s="29"/>
    </row>
    <row r="743" spans="1:4" ht="12.75" x14ac:dyDescent="0.2">
      <c r="A743" s="29"/>
      <c r="B743" s="29"/>
      <c r="C743" s="29"/>
      <c r="D743" s="29"/>
    </row>
    <row r="744" spans="1:4" ht="12.75" x14ac:dyDescent="0.2">
      <c r="A744" s="29"/>
      <c r="B744" s="29"/>
      <c r="C744" s="29"/>
      <c r="D744" s="29"/>
    </row>
    <row r="745" spans="1:4" ht="12.75" x14ac:dyDescent="0.2">
      <c r="A745" s="29"/>
      <c r="B745" s="29"/>
      <c r="C745" s="29"/>
      <c r="D745" s="29"/>
    </row>
    <row r="746" spans="1:4" ht="12.75" x14ac:dyDescent="0.2">
      <c r="A746" s="29"/>
      <c r="B746" s="29"/>
      <c r="C746" s="29"/>
      <c r="D746" s="29"/>
    </row>
    <row r="747" spans="1:4" ht="12.75" x14ac:dyDescent="0.2">
      <c r="A747" s="29"/>
      <c r="B747" s="29"/>
      <c r="C747" s="29"/>
      <c r="D747" s="29"/>
    </row>
    <row r="748" spans="1:4" ht="12.75" x14ac:dyDescent="0.2">
      <c r="A748" s="29"/>
      <c r="B748" s="29"/>
      <c r="C748" s="29"/>
      <c r="D748" s="29"/>
    </row>
    <row r="749" spans="1:4" ht="12.75" x14ac:dyDescent="0.2">
      <c r="A749" s="29"/>
      <c r="B749" s="29"/>
      <c r="C749" s="29"/>
      <c r="D749" s="29"/>
    </row>
    <row r="750" spans="1:4" ht="12.75" x14ac:dyDescent="0.2">
      <c r="A750" s="29"/>
      <c r="B750" s="29"/>
      <c r="C750" s="29"/>
      <c r="D750" s="29"/>
    </row>
    <row r="751" spans="1:4" ht="12.75" x14ac:dyDescent="0.2">
      <c r="A751" s="29"/>
      <c r="B751" s="29"/>
      <c r="C751" s="29"/>
      <c r="D751" s="29"/>
    </row>
    <row r="752" spans="1:4" ht="12.75" x14ac:dyDescent="0.2">
      <c r="A752" s="29"/>
      <c r="B752" s="29"/>
      <c r="C752" s="29"/>
      <c r="D752" s="29"/>
    </row>
    <row r="753" spans="1:4" ht="12.75" x14ac:dyDescent="0.2">
      <c r="A753" s="29"/>
      <c r="B753" s="29"/>
      <c r="C753" s="29"/>
      <c r="D753" s="29"/>
    </row>
    <row r="754" spans="1:4" ht="12.75" x14ac:dyDescent="0.2">
      <c r="A754" s="29"/>
      <c r="B754" s="29"/>
      <c r="C754" s="29"/>
      <c r="D754" s="29"/>
    </row>
    <row r="755" spans="1:4" ht="12.75" x14ac:dyDescent="0.2">
      <c r="A755" s="29"/>
      <c r="B755" s="29"/>
      <c r="C755" s="29"/>
      <c r="D755" s="29"/>
    </row>
    <row r="756" spans="1:4" ht="12.75" x14ac:dyDescent="0.2">
      <c r="A756" s="29"/>
      <c r="B756" s="29"/>
      <c r="C756" s="29"/>
      <c r="D756" s="29"/>
    </row>
    <row r="757" spans="1:4" ht="12.75" x14ac:dyDescent="0.2">
      <c r="A757" s="29"/>
      <c r="B757" s="29"/>
      <c r="C757" s="29"/>
      <c r="D757" s="29"/>
    </row>
    <row r="758" spans="1:4" ht="12.75" x14ac:dyDescent="0.2">
      <c r="A758" s="29"/>
      <c r="B758" s="29"/>
      <c r="C758" s="29"/>
      <c r="D758" s="29"/>
    </row>
    <row r="759" spans="1:4" ht="12.75" x14ac:dyDescent="0.2">
      <c r="A759" s="29"/>
      <c r="B759" s="29"/>
      <c r="C759" s="29"/>
      <c r="D759" s="29"/>
    </row>
    <row r="760" spans="1:4" ht="12.75" x14ac:dyDescent="0.2">
      <c r="A760" s="29"/>
      <c r="B760" s="29"/>
      <c r="C760" s="29"/>
      <c r="D760" s="29"/>
    </row>
    <row r="761" spans="1:4" ht="12.75" x14ac:dyDescent="0.2">
      <c r="A761" s="29"/>
      <c r="B761" s="29"/>
      <c r="C761" s="29"/>
      <c r="D761" s="29"/>
    </row>
    <row r="762" spans="1:4" ht="12.75" x14ac:dyDescent="0.2">
      <c r="A762" s="29"/>
      <c r="B762" s="29"/>
      <c r="C762" s="29"/>
      <c r="D762" s="29"/>
    </row>
    <row r="763" spans="1:4" ht="12.75" x14ac:dyDescent="0.2">
      <c r="A763" s="29"/>
      <c r="B763" s="29"/>
      <c r="C763" s="29"/>
      <c r="D763" s="29"/>
    </row>
    <row r="764" spans="1:4" ht="12.75" x14ac:dyDescent="0.2">
      <c r="A764" s="29"/>
      <c r="B764" s="29"/>
      <c r="C764" s="29"/>
      <c r="D764" s="29"/>
    </row>
    <row r="765" spans="1:4" ht="12.75" x14ac:dyDescent="0.2">
      <c r="A765" s="29"/>
      <c r="B765" s="29"/>
      <c r="C765" s="29"/>
      <c r="D765" s="29"/>
    </row>
    <row r="766" spans="1:4" ht="12.75" x14ac:dyDescent="0.2">
      <c r="A766" s="29"/>
      <c r="B766" s="29"/>
      <c r="C766" s="29"/>
      <c r="D766" s="29"/>
    </row>
    <row r="767" spans="1:4" ht="12.75" x14ac:dyDescent="0.2">
      <c r="A767" s="29"/>
      <c r="B767" s="29"/>
      <c r="C767" s="29"/>
      <c r="D767" s="29"/>
    </row>
    <row r="768" spans="1:4" ht="12.75" x14ac:dyDescent="0.2">
      <c r="A768" s="29"/>
      <c r="B768" s="29"/>
      <c r="C768" s="29"/>
      <c r="D768" s="29"/>
    </row>
    <row r="769" spans="1:4" ht="12.75" x14ac:dyDescent="0.2">
      <c r="A769" s="29"/>
      <c r="B769" s="29"/>
      <c r="C769" s="29"/>
      <c r="D769" s="29"/>
    </row>
    <row r="770" spans="1:4" ht="12.75" x14ac:dyDescent="0.2">
      <c r="A770" s="29"/>
      <c r="B770" s="29"/>
      <c r="C770" s="29"/>
      <c r="D770" s="29"/>
    </row>
    <row r="771" spans="1:4" ht="12.75" x14ac:dyDescent="0.2">
      <c r="A771" s="29"/>
      <c r="B771" s="29"/>
      <c r="C771" s="29"/>
      <c r="D771" s="29"/>
    </row>
    <row r="772" spans="1:4" ht="12.75" x14ac:dyDescent="0.2">
      <c r="A772" s="29"/>
      <c r="B772" s="29"/>
      <c r="C772" s="29"/>
      <c r="D772" s="29"/>
    </row>
    <row r="773" spans="1:4" ht="12.75" x14ac:dyDescent="0.2">
      <c r="A773" s="29"/>
      <c r="B773" s="29"/>
      <c r="C773" s="29"/>
      <c r="D773" s="29"/>
    </row>
    <row r="774" spans="1:4" ht="12.75" x14ac:dyDescent="0.2">
      <c r="A774" s="29"/>
      <c r="B774" s="29"/>
      <c r="C774" s="29"/>
      <c r="D774" s="29"/>
    </row>
    <row r="775" spans="1:4" ht="12.75" x14ac:dyDescent="0.2">
      <c r="A775" s="29"/>
      <c r="B775" s="29"/>
      <c r="C775" s="29"/>
      <c r="D775" s="29"/>
    </row>
    <row r="776" spans="1:4" ht="12.75" x14ac:dyDescent="0.2">
      <c r="A776" s="29"/>
      <c r="B776" s="29"/>
      <c r="C776" s="29"/>
      <c r="D776" s="29"/>
    </row>
    <row r="777" spans="1:4" ht="12.75" x14ac:dyDescent="0.2">
      <c r="A777" s="29"/>
      <c r="B777" s="29"/>
      <c r="C777" s="29"/>
      <c r="D777" s="29"/>
    </row>
    <row r="778" spans="1:4" ht="12.75" x14ac:dyDescent="0.2">
      <c r="A778" s="29"/>
      <c r="B778" s="29"/>
      <c r="C778" s="29"/>
      <c r="D778" s="29"/>
    </row>
    <row r="779" spans="1:4" ht="12.75" x14ac:dyDescent="0.2">
      <c r="A779" s="29"/>
      <c r="B779" s="29"/>
      <c r="C779" s="29"/>
      <c r="D779" s="29"/>
    </row>
    <row r="780" spans="1:4" ht="12.75" x14ac:dyDescent="0.2">
      <c r="A780" s="29"/>
      <c r="B780" s="29"/>
      <c r="C780" s="29"/>
      <c r="D780" s="29"/>
    </row>
    <row r="781" spans="1:4" ht="12.75" x14ac:dyDescent="0.2">
      <c r="A781" s="29"/>
      <c r="B781" s="29"/>
      <c r="C781" s="29"/>
      <c r="D781" s="29"/>
    </row>
    <row r="782" spans="1:4" ht="12.75" x14ac:dyDescent="0.2">
      <c r="A782" s="29"/>
      <c r="B782" s="29"/>
      <c r="C782" s="29"/>
      <c r="D782" s="29"/>
    </row>
    <row r="783" spans="1:4" ht="12.75" x14ac:dyDescent="0.2">
      <c r="A783" s="29"/>
      <c r="B783" s="29"/>
      <c r="C783" s="29"/>
      <c r="D783" s="29"/>
    </row>
    <row r="784" spans="1:4" ht="12.75" x14ac:dyDescent="0.2">
      <c r="A784" s="29"/>
      <c r="B784" s="29"/>
      <c r="C784" s="29"/>
      <c r="D784" s="29"/>
    </row>
    <row r="785" spans="1:4" ht="12.75" x14ac:dyDescent="0.2">
      <c r="A785" s="29"/>
      <c r="B785" s="29"/>
      <c r="C785" s="29"/>
      <c r="D785" s="29"/>
    </row>
    <row r="786" spans="1:4" ht="12.75" x14ac:dyDescent="0.2">
      <c r="A786" s="29"/>
      <c r="B786" s="29"/>
      <c r="C786" s="29"/>
      <c r="D786" s="29"/>
    </row>
    <row r="787" spans="1:4" ht="12.75" x14ac:dyDescent="0.2">
      <c r="A787" s="29"/>
      <c r="B787" s="29"/>
      <c r="C787" s="29"/>
      <c r="D787" s="29"/>
    </row>
    <row r="788" spans="1:4" ht="12.75" x14ac:dyDescent="0.2">
      <c r="A788" s="29"/>
      <c r="B788" s="29"/>
      <c r="C788" s="29"/>
      <c r="D788" s="29"/>
    </row>
    <row r="789" spans="1:4" ht="12.75" x14ac:dyDescent="0.2">
      <c r="A789" s="29"/>
      <c r="B789" s="29"/>
      <c r="C789" s="29"/>
      <c r="D789" s="29"/>
    </row>
    <row r="790" spans="1:4" ht="12.75" x14ac:dyDescent="0.2">
      <c r="A790" s="29"/>
      <c r="B790" s="29"/>
      <c r="C790" s="29"/>
      <c r="D790" s="29"/>
    </row>
    <row r="791" spans="1:4" ht="12.75" x14ac:dyDescent="0.2">
      <c r="A791" s="29"/>
      <c r="B791" s="29"/>
      <c r="C791" s="29"/>
      <c r="D791" s="29"/>
    </row>
    <row r="792" spans="1:4" ht="12.75" x14ac:dyDescent="0.2">
      <c r="A792" s="29"/>
      <c r="B792" s="29"/>
      <c r="C792" s="29"/>
      <c r="D792" s="29"/>
    </row>
    <row r="793" spans="1:4" ht="12.75" x14ac:dyDescent="0.2">
      <c r="A793" s="29"/>
      <c r="B793" s="29"/>
      <c r="C793" s="29"/>
      <c r="D793" s="29"/>
    </row>
    <row r="794" spans="1:4" ht="12.75" x14ac:dyDescent="0.2">
      <c r="A794" s="29"/>
      <c r="B794" s="29"/>
      <c r="C794" s="29"/>
      <c r="D794" s="29"/>
    </row>
    <row r="795" spans="1:4" ht="12.75" x14ac:dyDescent="0.2">
      <c r="A795" s="29"/>
      <c r="B795" s="29"/>
      <c r="C795" s="29"/>
      <c r="D795" s="29"/>
    </row>
    <row r="796" spans="1:4" ht="12.75" x14ac:dyDescent="0.2">
      <c r="A796" s="29"/>
      <c r="B796" s="29"/>
      <c r="C796" s="29"/>
      <c r="D796" s="29"/>
    </row>
    <row r="797" spans="1:4" ht="12.75" x14ac:dyDescent="0.2">
      <c r="A797" s="29"/>
      <c r="B797" s="29"/>
      <c r="C797" s="29"/>
      <c r="D797" s="29"/>
    </row>
    <row r="798" spans="1:4" ht="12.75" x14ac:dyDescent="0.2">
      <c r="A798" s="29"/>
      <c r="B798" s="29"/>
      <c r="C798" s="29"/>
      <c r="D798" s="29"/>
    </row>
    <row r="799" spans="1:4" ht="12.75" x14ac:dyDescent="0.2">
      <c r="A799" s="29"/>
      <c r="B799" s="29"/>
      <c r="C799" s="29"/>
      <c r="D799" s="29"/>
    </row>
    <row r="800" spans="1:4" ht="12.75" x14ac:dyDescent="0.2">
      <c r="A800" s="29"/>
      <c r="B800" s="29"/>
      <c r="C800" s="29"/>
      <c r="D800" s="29"/>
    </row>
    <row r="801" spans="1:4" ht="12.75" x14ac:dyDescent="0.2">
      <c r="A801" s="29"/>
      <c r="B801" s="29"/>
      <c r="C801" s="29"/>
      <c r="D801" s="29"/>
    </row>
    <row r="802" spans="1:4" ht="12.75" x14ac:dyDescent="0.2">
      <c r="A802" s="29"/>
      <c r="B802" s="29"/>
      <c r="C802" s="29"/>
      <c r="D802" s="29"/>
    </row>
    <row r="803" spans="1:4" ht="12.75" x14ac:dyDescent="0.2">
      <c r="A803" s="29"/>
      <c r="B803" s="29"/>
      <c r="C803" s="29"/>
      <c r="D803" s="29"/>
    </row>
    <row r="804" spans="1:4" ht="12.75" x14ac:dyDescent="0.2">
      <c r="A804" s="29"/>
      <c r="B804" s="29"/>
      <c r="C804" s="29"/>
      <c r="D804" s="29"/>
    </row>
    <row r="805" spans="1:4" ht="12.75" x14ac:dyDescent="0.2">
      <c r="A805" s="29"/>
      <c r="B805" s="29"/>
      <c r="C805" s="29"/>
      <c r="D805" s="29"/>
    </row>
    <row r="806" spans="1:4" ht="12.75" x14ac:dyDescent="0.2">
      <c r="A806" s="29"/>
      <c r="B806" s="29"/>
      <c r="C806" s="29"/>
      <c r="D806" s="29"/>
    </row>
    <row r="807" spans="1:4" ht="12.75" x14ac:dyDescent="0.2">
      <c r="A807" s="29"/>
      <c r="B807" s="29"/>
      <c r="C807" s="29"/>
      <c r="D807" s="29"/>
    </row>
    <row r="808" spans="1:4" ht="12.75" x14ac:dyDescent="0.2">
      <c r="A808" s="29"/>
      <c r="B808" s="29"/>
      <c r="C808" s="29"/>
      <c r="D808" s="29"/>
    </row>
    <row r="809" spans="1:4" ht="12.75" x14ac:dyDescent="0.2">
      <c r="A809" s="29"/>
      <c r="B809" s="29"/>
      <c r="C809" s="29"/>
      <c r="D809" s="29"/>
    </row>
    <row r="810" spans="1:4" ht="12.75" x14ac:dyDescent="0.2">
      <c r="A810" s="29"/>
      <c r="B810" s="29"/>
      <c r="C810" s="29"/>
      <c r="D810" s="29"/>
    </row>
    <row r="811" spans="1:4" ht="12.75" x14ac:dyDescent="0.2">
      <c r="A811" s="29"/>
      <c r="B811" s="29"/>
      <c r="C811" s="29"/>
      <c r="D811" s="29"/>
    </row>
    <row r="812" spans="1:4" ht="12.75" x14ac:dyDescent="0.2">
      <c r="A812" s="29"/>
      <c r="B812" s="29"/>
      <c r="C812" s="29"/>
      <c r="D812" s="29"/>
    </row>
    <row r="813" spans="1:4" ht="12.75" x14ac:dyDescent="0.2">
      <c r="A813" s="29"/>
      <c r="B813" s="29"/>
      <c r="C813" s="29"/>
      <c r="D813" s="29"/>
    </row>
    <row r="814" spans="1:4" ht="12.75" x14ac:dyDescent="0.2">
      <c r="A814" s="29"/>
      <c r="B814" s="29"/>
      <c r="C814" s="29"/>
      <c r="D814" s="29"/>
    </row>
    <row r="815" spans="1:4" ht="12.75" x14ac:dyDescent="0.2">
      <c r="A815" s="29"/>
      <c r="B815" s="29"/>
      <c r="C815" s="29"/>
      <c r="D815" s="29"/>
    </row>
    <row r="816" spans="1:4" ht="12.75" x14ac:dyDescent="0.2">
      <c r="A816" s="29"/>
      <c r="B816" s="29"/>
      <c r="C816" s="29"/>
      <c r="D816" s="29"/>
    </row>
    <row r="817" spans="1:4" ht="12.75" x14ac:dyDescent="0.2">
      <c r="A817" s="29"/>
      <c r="B817" s="29"/>
      <c r="C817" s="29"/>
      <c r="D817" s="29"/>
    </row>
    <row r="818" spans="1:4" ht="12.75" x14ac:dyDescent="0.2">
      <c r="A818" s="29"/>
      <c r="B818" s="29"/>
      <c r="C818" s="29"/>
      <c r="D818" s="29"/>
    </row>
    <row r="819" spans="1:4" ht="12.75" x14ac:dyDescent="0.2">
      <c r="A819" s="29"/>
      <c r="B819" s="29"/>
      <c r="C819" s="29"/>
      <c r="D819" s="29"/>
    </row>
    <row r="820" spans="1:4" ht="12.75" x14ac:dyDescent="0.2">
      <c r="A820" s="29"/>
      <c r="B820" s="29"/>
      <c r="C820" s="29"/>
      <c r="D820" s="29"/>
    </row>
    <row r="821" spans="1:4" ht="12.75" x14ac:dyDescent="0.2">
      <c r="A821" s="29"/>
      <c r="B821" s="29"/>
      <c r="C821" s="29"/>
      <c r="D821" s="29"/>
    </row>
    <row r="822" spans="1:4" ht="12.75" x14ac:dyDescent="0.2">
      <c r="A822" s="29"/>
      <c r="B822" s="29"/>
      <c r="C822" s="29"/>
      <c r="D822" s="29"/>
    </row>
    <row r="823" spans="1:4" ht="12.75" x14ac:dyDescent="0.2">
      <c r="A823" s="29"/>
      <c r="B823" s="29"/>
      <c r="C823" s="29"/>
      <c r="D823" s="29"/>
    </row>
    <row r="824" spans="1:4" ht="12.75" x14ac:dyDescent="0.2">
      <c r="A824" s="29"/>
      <c r="B824" s="29"/>
      <c r="C824" s="29"/>
      <c r="D824" s="29"/>
    </row>
    <row r="825" spans="1:4" ht="12.75" x14ac:dyDescent="0.2">
      <c r="A825" s="29"/>
      <c r="B825" s="29"/>
      <c r="C825" s="29"/>
      <c r="D825" s="29"/>
    </row>
    <row r="826" spans="1:4" ht="12.75" x14ac:dyDescent="0.2">
      <c r="A826" s="29"/>
      <c r="B826" s="29"/>
      <c r="C826" s="29"/>
      <c r="D826" s="29"/>
    </row>
    <row r="827" spans="1:4" ht="12.75" x14ac:dyDescent="0.2">
      <c r="A827" s="29"/>
      <c r="B827" s="29"/>
      <c r="C827" s="29"/>
      <c r="D827" s="29"/>
    </row>
    <row r="828" spans="1:4" ht="12.75" x14ac:dyDescent="0.2">
      <c r="A828" s="29"/>
      <c r="B828" s="29"/>
      <c r="C828" s="29"/>
      <c r="D828" s="29"/>
    </row>
    <row r="829" spans="1:4" ht="12.75" x14ac:dyDescent="0.2">
      <c r="A829" s="29"/>
      <c r="B829" s="29"/>
      <c r="C829" s="29"/>
      <c r="D829" s="29"/>
    </row>
    <row r="830" spans="1:4" ht="12.75" x14ac:dyDescent="0.2">
      <c r="A830" s="29"/>
      <c r="B830" s="29"/>
      <c r="C830" s="29"/>
      <c r="D830" s="29"/>
    </row>
    <row r="831" spans="1:4" ht="12.75" x14ac:dyDescent="0.2">
      <c r="A831" s="29"/>
      <c r="B831" s="29"/>
      <c r="C831" s="29"/>
      <c r="D831" s="29"/>
    </row>
    <row r="832" spans="1:4" ht="12.75" x14ac:dyDescent="0.2">
      <c r="A832" s="29"/>
      <c r="B832" s="29"/>
      <c r="C832" s="29"/>
      <c r="D832" s="29"/>
    </row>
    <row r="833" spans="1:4" ht="12.75" x14ac:dyDescent="0.2">
      <c r="A833" s="29"/>
      <c r="B833" s="29"/>
      <c r="C833" s="29"/>
      <c r="D833" s="29"/>
    </row>
    <row r="834" spans="1:4" ht="12.75" x14ac:dyDescent="0.2">
      <c r="A834" s="29"/>
      <c r="B834" s="29"/>
      <c r="C834" s="29"/>
      <c r="D834" s="29"/>
    </row>
    <row r="835" spans="1:4" ht="12.75" x14ac:dyDescent="0.2">
      <c r="A835" s="29"/>
      <c r="B835" s="29"/>
      <c r="C835" s="29"/>
      <c r="D835" s="29"/>
    </row>
    <row r="836" spans="1:4" ht="12.75" x14ac:dyDescent="0.2">
      <c r="A836" s="29"/>
      <c r="B836" s="29"/>
      <c r="C836" s="29"/>
      <c r="D836" s="29"/>
    </row>
    <row r="837" spans="1:4" ht="12.75" x14ac:dyDescent="0.2">
      <c r="A837" s="29"/>
      <c r="B837" s="29"/>
      <c r="C837" s="29"/>
      <c r="D837" s="29"/>
    </row>
    <row r="838" spans="1:4" ht="12.75" x14ac:dyDescent="0.2">
      <c r="A838" s="29"/>
      <c r="B838" s="29"/>
      <c r="C838" s="29"/>
      <c r="D838" s="29"/>
    </row>
    <row r="839" spans="1:4" ht="12.75" x14ac:dyDescent="0.2">
      <c r="A839" s="29"/>
      <c r="B839" s="29"/>
      <c r="C839" s="29"/>
      <c r="D839" s="29"/>
    </row>
    <row r="840" spans="1:4" ht="12.75" x14ac:dyDescent="0.2">
      <c r="A840" s="29"/>
      <c r="B840" s="29"/>
      <c r="C840" s="29"/>
      <c r="D840" s="29"/>
    </row>
    <row r="841" spans="1:4" ht="12.75" x14ac:dyDescent="0.2">
      <c r="A841" s="29"/>
      <c r="B841" s="29"/>
      <c r="C841" s="29"/>
      <c r="D841" s="29"/>
    </row>
    <row r="842" spans="1:4" ht="12.75" x14ac:dyDescent="0.2">
      <c r="A842" s="29"/>
      <c r="B842" s="29"/>
      <c r="C842" s="29"/>
      <c r="D842" s="29"/>
    </row>
    <row r="843" spans="1:4" ht="12.75" x14ac:dyDescent="0.2">
      <c r="A843" s="29"/>
      <c r="B843" s="29"/>
      <c r="C843" s="29"/>
      <c r="D843" s="29"/>
    </row>
    <row r="844" spans="1:4" ht="12.75" x14ac:dyDescent="0.2">
      <c r="A844" s="29"/>
      <c r="B844" s="29"/>
      <c r="C844" s="29"/>
      <c r="D844" s="29"/>
    </row>
    <row r="845" spans="1:4" ht="12.75" x14ac:dyDescent="0.2">
      <c r="A845" s="29"/>
      <c r="B845" s="29"/>
      <c r="C845" s="29"/>
      <c r="D845" s="29"/>
    </row>
    <row r="846" spans="1:4" ht="12.75" x14ac:dyDescent="0.2">
      <c r="A846" s="29"/>
      <c r="B846" s="29"/>
      <c r="C846" s="29"/>
      <c r="D846" s="29"/>
    </row>
    <row r="847" spans="1:4" ht="12.75" x14ac:dyDescent="0.2">
      <c r="A847" s="29"/>
      <c r="B847" s="29"/>
      <c r="C847" s="29"/>
      <c r="D847" s="29"/>
    </row>
    <row r="848" spans="1:4" ht="12.75" x14ac:dyDescent="0.2">
      <c r="A848" s="29"/>
      <c r="B848" s="29"/>
      <c r="C848" s="29"/>
      <c r="D848" s="29"/>
    </row>
    <row r="849" spans="1:4" ht="12.75" x14ac:dyDescent="0.2">
      <c r="A849" s="29"/>
      <c r="B849" s="29"/>
      <c r="C849" s="29"/>
      <c r="D849" s="29"/>
    </row>
    <row r="850" spans="1:4" ht="12.75" x14ac:dyDescent="0.2">
      <c r="A850" s="29"/>
      <c r="B850" s="29"/>
      <c r="C850" s="29"/>
      <c r="D850" s="29"/>
    </row>
    <row r="851" spans="1:4" ht="12.75" x14ac:dyDescent="0.2">
      <c r="A851" s="29"/>
      <c r="B851" s="29"/>
      <c r="C851" s="29"/>
      <c r="D851" s="29"/>
    </row>
    <row r="852" spans="1:4" ht="12.75" x14ac:dyDescent="0.2">
      <c r="A852" s="29"/>
      <c r="B852" s="29"/>
      <c r="C852" s="29"/>
      <c r="D852" s="29"/>
    </row>
    <row r="853" spans="1:4" ht="12.75" x14ac:dyDescent="0.2">
      <c r="A853" s="29"/>
      <c r="B853" s="29"/>
      <c r="C853" s="29"/>
      <c r="D853" s="29"/>
    </row>
    <row r="854" spans="1:4" ht="12.75" x14ac:dyDescent="0.2">
      <c r="A854" s="29"/>
      <c r="B854" s="29"/>
      <c r="C854" s="29"/>
      <c r="D854" s="29"/>
    </row>
    <row r="855" spans="1:4" ht="12.75" x14ac:dyDescent="0.2">
      <c r="A855" s="29"/>
      <c r="B855" s="29"/>
      <c r="C855" s="29"/>
      <c r="D855" s="29"/>
    </row>
    <row r="856" spans="1:4" ht="12.75" x14ac:dyDescent="0.2">
      <c r="A856" s="29"/>
      <c r="B856" s="29"/>
      <c r="C856" s="29"/>
      <c r="D856" s="29"/>
    </row>
    <row r="857" spans="1:4" ht="12.75" x14ac:dyDescent="0.2">
      <c r="A857" s="29"/>
      <c r="B857" s="29"/>
      <c r="C857" s="29"/>
      <c r="D857" s="29"/>
    </row>
    <row r="858" spans="1:4" ht="12.75" x14ac:dyDescent="0.2">
      <c r="A858" s="29"/>
      <c r="B858" s="29"/>
      <c r="C858" s="29"/>
      <c r="D858" s="29"/>
    </row>
    <row r="859" spans="1:4" ht="12.75" x14ac:dyDescent="0.2">
      <c r="A859" s="29"/>
      <c r="B859" s="29"/>
      <c r="C859" s="29"/>
      <c r="D859" s="29"/>
    </row>
    <row r="860" spans="1:4" ht="12.75" x14ac:dyDescent="0.2">
      <c r="A860" s="29"/>
      <c r="B860" s="29"/>
      <c r="C860" s="29"/>
      <c r="D860" s="29"/>
    </row>
    <row r="861" spans="1:4" ht="12.75" x14ac:dyDescent="0.2">
      <c r="A861" s="29"/>
      <c r="B861" s="29"/>
      <c r="C861" s="29"/>
      <c r="D861" s="29"/>
    </row>
    <row r="862" spans="1:4" ht="12.75" x14ac:dyDescent="0.2">
      <c r="A862" s="29"/>
      <c r="B862" s="29"/>
      <c r="C862" s="29"/>
      <c r="D862" s="29"/>
    </row>
    <row r="863" spans="1:4" ht="12.75" x14ac:dyDescent="0.2">
      <c r="A863" s="29"/>
      <c r="B863" s="29"/>
      <c r="C863" s="29"/>
      <c r="D863" s="29"/>
    </row>
    <row r="864" spans="1:4" ht="12.75" x14ac:dyDescent="0.2">
      <c r="A864" s="29"/>
      <c r="B864" s="29"/>
      <c r="C864" s="29"/>
      <c r="D864" s="29"/>
    </row>
    <row r="865" spans="1:4" ht="12.75" x14ac:dyDescent="0.2">
      <c r="A865" s="29"/>
      <c r="B865" s="29"/>
      <c r="C865" s="29"/>
      <c r="D865" s="29"/>
    </row>
    <row r="866" spans="1:4" ht="12.75" x14ac:dyDescent="0.2">
      <c r="A866" s="29"/>
      <c r="B866" s="29"/>
      <c r="C866" s="29"/>
      <c r="D866" s="29"/>
    </row>
    <row r="867" spans="1:4" ht="12.75" x14ac:dyDescent="0.2">
      <c r="A867" s="29"/>
      <c r="B867" s="29"/>
      <c r="C867" s="29"/>
      <c r="D867" s="29"/>
    </row>
    <row r="868" spans="1:4" ht="12.75" x14ac:dyDescent="0.2">
      <c r="A868" s="29"/>
      <c r="B868" s="29"/>
      <c r="C868" s="29"/>
      <c r="D868" s="29"/>
    </row>
    <row r="869" spans="1:4" ht="12.75" x14ac:dyDescent="0.2">
      <c r="A869" s="29"/>
      <c r="B869" s="29"/>
      <c r="C869" s="29"/>
      <c r="D869" s="29"/>
    </row>
    <row r="870" spans="1:4" ht="12.75" x14ac:dyDescent="0.2">
      <c r="A870" s="29"/>
      <c r="B870" s="29"/>
      <c r="C870" s="29"/>
      <c r="D870" s="29"/>
    </row>
    <row r="871" spans="1:4" ht="12.75" x14ac:dyDescent="0.2">
      <c r="A871" s="29"/>
      <c r="B871" s="29"/>
      <c r="C871" s="29"/>
      <c r="D871" s="29"/>
    </row>
    <row r="872" spans="1:4" ht="12.75" x14ac:dyDescent="0.2">
      <c r="A872" s="29"/>
      <c r="B872" s="29"/>
      <c r="C872" s="29"/>
      <c r="D872" s="29"/>
    </row>
    <row r="873" spans="1:4" ht="12.75" x14ac:dyDescent="0.2">
      <c r="A873" s="29"/>
      <c r="B873" s="29"/>
      <c r="C873" s="29"/>
      <c r="D873" s="29"/>
    </row>
    <row r="874" spans="1:4" ht="12.75" x14ac:dyDescent="0.2">
      <c r="A874" s="29"/>
      <c r="B874" s="29"/>
      <c r="C874" s="29"/>
      <c r="D874" s="29"/>
    </row>
    <row r="875" spans="1:4" ht="12.75" x14ac:dyDescent="0.2">
      <c r="A875" s="29"/>
      <c r="B875" s="29"/>
      <c r="C875" s="29"/>
      <c r="D875" s="29"/>
    </row>
    <row r="876" spans="1:4" ht="12.75" x14ac:dyDescent="0.2">
      <c r="A876" s="29"/>
      <c r="B876" s="29"/>
      <c r="C876" s="29"/>
      <c r="D876" s="29"/>
    </row>
    <row r="877" spans="1:4" ht="12.75" x14ac:dyDescent="0.2">
      <c r="A877" s="29"/>
      <c r="B877" s="29"/>
      <c r="C877" s="29"/>
      <c r="D877" s="29"/>
    </row>
    <row r="878" spans="1:4" ht="12.75" x14ac:dyDescent="0.2">
      <c r="A878" s="29"/>
      <c r="B878" s="29"/>
      <c r="C878" s="29"/>
      <c r="D878" s="29"/>
    </row>
    <row r="879" spans="1:4" ht="12.75" x14ac:dyDescent="0.2">
      <c r="A879" s="29"/>
      <c r="B879" s="29"/>
      <c r="C879" s="29"/>
      <c r="D879" s="29"/>
    </row>
    <row r="880" spans="1:4" ht="12.75" x14ac:dyDescent="0.2">
      <c r="A880" s="29"/>
      <c r="B880" s="29"/>
      <c r="C880" s="29"/>
      <c r="D880" s="29"/>
    </row>
    <row r="881" spans="1:4" ht="12.75" x14ac:dyDescent="0.2">
      <c r="A881" s="29"/>
      <c r="B881" s="29"/>
      <c r="C881" s="29"/>
      <c r="D881" s="29"/>
    </row>
    <row r="882" spans="1:4" ht="12.75" x14ac:dyDescent="0.2">
      <c r="A882" s="29"/>
      <c r="B882" s="29"/>
      <c r="C882" s="29"/>
      <c r="D882" s="29"/>
    </row>
    <row r="883" spans="1:4" ht="12.75" x14ac:dyDescent="0.2">
      <c r="A883" s="29"/>
      <c r="B883" s="29"/>
      <c r="C883" s="29"/>
      <c r="D883" s="29"/>
    </row>
    <row r="884" spans="1:4" ht="12.75" x14ac:dyDescent="0.2">
      <c r="A884" s="29"/>
      <c r="B884" s="29"/>
      <c r="C884" s="29"/>
      <c r="D884" s="29"/>
    </row>
    <row r="885" spans="1:4" ht="12.75" x14ac:dyDescent="0.2">
      <c r="A885" s="29"/>
      <c r="B885" s="29"/>
      <c r="C885" s="29"/>
      <c r="D885" s="29"/>
    </row>
    <row r="886" spans="1:4" ht="12.75" x14ac:dyDescent="0.2">
      <c r="A886" s="29"/>
      <c r="B886" s="29"/>
      <c r="C886" s="29"/>
      <c r="D886" s="29"/>
    </row>
    <row r="887" spans="1:4" ht="12.75" x14ac:dyDescent="0.2">
      <c r="A887" s="29"/>
      <c r="B887" s="29"/>
      <c r="C887" s="29"/>
      <c r="D887" s="29"/>
    </row>
    <row r="888" spans="1:4" ht="12.75" x14ac:dyDescent="0.2">
      <c r="A888" s="29"/>
      <c r="B888" s="29"/>
      <c r="C888" s="29"/>
      <c r="D888" s="29"/>
    </row>
    <row r="889" spans="1:4" ht="12.75" x14ac:dyDescent="0.2">
      <c r="A889" s="29"/>
      <c r="B889" s="29"/>
      <c r="C889" s="29"/>
      <c r="D889" s="29"/>
    </row>
    <row r="890" spans="1:4" ht="12.75" x14ac:dyDescent="0.2">
      <c r="A890" s="29"/>
      <c r="B890" s="29"/>
      <c r="C890" s="29"/>
      <c r="D890" s="29"/>
    </row>
    <row r="891" spans="1:4" ht="12.75" x14ac:dyDescent="0.2">
      <c r="A891" s="29"/>
      <c r="B891" s="29"/>
      <c r="C891" s="29"/>
      <c r="D891" s="29"/>
    </row>
    <row r="892" spans="1:4" ht="12.75" x14ac:dyDescent="0.2">
      <c r="A892" s="29"/>
      <c r="B892" s="29"/>
      <c r="C892" s="29"/>
      <c r="D892" s="29"/>
    </row>
    <row r="893" spans="1:4" ht="12.75" x14ac:dyDescent="0.2">
      <c r="A893" s="29"/>
      <c r="B893" s="29"/>
      <c r="C893" s="29"/>
      <c r="D893" s="29"/>
    </row>
    <row r="894" spans="1:4" ht="12.75" x14ac:dyDescent="0.2">
      <c r="A894" s="29"/>
      <c r="B894" s="29"/>
      <c r="C894" s="29"/>
      <c r="D894" s="29"/>
    </row>
    <row r="895" spans="1:4" ht="12.75" x14ac:dyDescent="0.2">
      <c r="A895" s="29"/>
      <c r="B895" s="29"/>
      <c r="C895" s="29"/>
      <c r="D895" s="29"/>
    </row>
    <row r="896" spans="1:4" ht="12.75" x14ac:dyDescent="0.2">
      <c r="A896" s="29"/>
      <c r="B896" s="29"/>
      <c r="C896" s="29"/>
      <c r="D896" s="29"/>
    </row>
    <row r="897" spans="1:4" ht="12.75" x14ac:dyDescent="0.2">
      <c r="A897" s="29"/>
      <c r="B897" s="29"/>
      <c r="C897" s="29"/>
      <c r="D897" s="29"/>
    </row>
    <row r="898" spans="1:4" ht="12.75" x14ac:dyDescent="0.2">
      <c r="A898" s="29"/>
      <c r="B898" s="29"/>
      <c r="C898" s="29"/>
      <c r="D898" s="29"/>
    </row>
    <row r="899" spans="1:4" ht="12.75" x14ac:dyDescent="0.2">
      <c r="A899" s="29"/>
      <c r="B899" s="29"/>
      <c r="C899" s="29"/>
      <c r="D899" s="29"/>
    </row>
    <row r="900" spans="1:4" ht="12.75" x14ac:dyDescent="0.2">
      <c r="A900" s="29"/>
      <c r="B900" s="29"/>
      <c r="C900" s="29"/>
      <c r="D900" s="29"/>
    </row>
    <row r="901" spans="1:4" ht="12.75" x14ac:dyDescent="0.2">
      <c r="A901" s="29"/>
      <c r="B901" s="29"/>
      <c r="C901" s="29"/>
      <c r="D901" s="29"/>
    </row>
    <row r="902" spans="1:4" ht="12.75" x14ac:dyDescent="0.2">
      <c r="A902" s="29"/>
      <c r="B902" s="29"/>
      <c r="C902" s="29"/>
      <c r="D902" s="29"/>
    </row>
    <row r="903" spans="1:4" ht="12.75" x14ac:dyDescent="0.2">
      <c r="A903" s="29"/>
      <c r="B903" s="29"/>
      <c r="C903" s="29"/>
      <c r="D903" s="29"/>
    </row>
    <row r="904" spans="1:4" ht="12.75" x14ac:dyDescent="0.2">
      <c r="A904" s="29"/>
      <c r="B904" s="29"/>
      <c r="C904" s="29"/>
      <c r="D904" s="29"/>
    </row>
    <row r="905" spans="1:4" ht="12.75" x14ac:dyDescent="0.2">
      <c r="A905" s="29"/>
      <c r="B905" s="29"/>
      <c r="C905" s="29"/>
      <c r="D905" s="29"/>
    </row>
    <row r="906" spans="1:4" ht="12.75" x14ac:dyDescent="0.2">
      <c r="A906" s="29"/>
      <c r="B906" s="29"/>
      <c r="C906" s="29"/>
      <c r="D906" s="29"/>
    </row>
    <row r="907" spans="1:4" ht="12.75" x14ac:dyDescent="0.2">
      <c r="A907" s="29"/>
      <c r="B907" s="29"/>
      <c r="C907" s="29"/>
      <c r="D907" s="29"/>
    </row>
    <row r="908" spans="1:4" ht="12.75" x14ac:dyDescent="0.2">
      <c r="A908" s="29"/>
      <c r="B908" s="29"/>
      <c r="C908" s="29"/>
      <c r="D908" s="29"/>
    </row>
    <row r="909" spans="1:4" ht="12.75" x14ac:dyDescent="0.2">
      <c r="A909" s="29"/>
      <c r="B909" s="29"/>
      <c r="C909" s="29"/>
      <c r="D909" s="29"/>
    </row>
    <row r="910" spans="1:4" ht="12.75" x14ac:dyDescent="0.2">
      <c r="A910" s="29"/>
      <c r="B910" s="29"/>
      <c r="C910" s="29"/>
      <c r="D910" s="29"/>
    </row>
    <row r="911" spans="1:4" ht="12.75" x14ac:dyDescent="0.2">
      <c r="A911" s="29"/>
      <c r="B911" s="29"/>
      <c r="C911" s="29"/>
      <c r="D911" s="29"/>
    </row>
    <row r="912" spans="1:4" ht="12.75" x14ac:dyDescent="0.2">
      <c r="A912" s="29"/>
      <c r="B912" s="29"/>
      <c r="C912" s="29"/>
      <c r="D912" s="29"/>
    </row>
    <row r="913" spans="1:4" ht="12.75" x14ac:dyDescent="0.2">
      <c r="A913" s="29"/>
      <c r="B913" s="29"/>
      <c r="C913" s="29"/>
      <c r="D913" s="29"/>
    </row>
    <row r="914" spans="1:4" ht="12.75" x14ac:dyDescent="0.2">
      <c r="A914" s="29"/>
      <c r="B914" s="29"/>
      <c r="C914" s="29"/>
      <c r="D914" s="29"/>
    </row>
    <row r="915" spans="1:4" ht="12.75" x14ac:dyDescent="0.2">
      <c r="A915" s="29"/>
      <c r="B915" s="29"/>
      <c r="C915" s="29"/>
      <c r="D915" s="29"/>
    </row>
    <row r="916" spans="1:4" ht="12.75" x14ac:dyDescent="0.2">
      <c r="A916" s="29"/>
      <c r="B916" s="29"/>
      <c r="C916" s="29"/>
      <c r="D916" s="29"/>
    </row>
    <row r="917" spans="1:4" ht="12.75" x14ac:dyDescent="0.2">
      <c r="A917" s="29"/>
      <c r="B917" s="29"/>
      <c r="C917" s="29"/>
      <c r="D917" s="29"/>
    </row>
    <row r="918" spans="1:4" ht="12.75" x14ac:dyDescent="0.2">
      <c r="A918" s="29"/>
      <c r="B918" s="29"/>
      <c r="C918" s="29"/>
      <c r="D918" s="29"/>
    </row>
    <row r="919" spans="1:4" ht="12.75" x14ac:dyDescent="0.2">
      <c r="A919" s="29"/>
      <c r="B919" s="29"/>
      <c r="C919" s="29"/>
      <c r="D919" s="29"/>
    </row>
    <row r="920" spans="1:4" ht="12.75" x14ac:dyDescent="0.2">
      <c r="A920" s="29"/>
      <c r="B920" s="29"/>
      <c r="C920" s="29"/>
      <c r="D920" s="29"/>
    </row>
    <row r="921" spans="1:4" ht="12.75" x14ac:dyDescent="0.2">
      <c r="A921" s="29"/>
      <c r="B921" s="29"/>
      <c r="C921" s="29"/>
      <c r="D921" s="29"/>
    </row>
    <row r="922" spans="1:4" ht="12.75" x14ac:dyDescent="0.2">
      <c r="A922" s="29"/>
      <c r="B922" s="29"/>
      <c r="C922" s="29"/>
      <c r="D922" s="29"/>
    </row>
    <row r="923" spans="1:4" ht="12.75" x14ac:dyDescent="0.2">
      <c r="A923" s="29"/>
      <c r="B923" s="29"/>
      <c r="C923" s="29"/>
      <c r="D923" s="29"/>
    </row>
    <row r="924" spans="1:4" ht="12.75" x14ac:dyDescent="0.2">
      <c r="A924" s="29"/>
      <c r="B924" s="29"/>
      <c r="C924" s="29"/>
      <c r="D924" s="29"/>
    </row>
    <row r="925" spans="1:4" ht="12.75" x14ac:dyDescent="0.2">
      <c r="A925" s="29"/>
      <c r="B925" s="29"/>
      <c r="C925" s="29"/>
      <c r="D925" s="29"/>
    </row>
    <row r="926" spans="1:4" ht="12.75" x14ac:dyDescent="0.2">
      <c r="A926" s="29"/>
      <c r="B926" s="29"/>
      <c r="C926" s="29"/>
      <c r="D926" s="29"/>
    </row>
    <row r="927" spans="1:4" ht="12.75" x14ac:dyDescent="0.2">
      <c r="A927" s="29"/>
      <c r="B927" s="29"/>
      <c r="C927" s="29"/>
      <c r="D927" s="29"/>
    </row>
    <row r="928" spans="1:4" ht="12.75" x14ac:dyDescent="0.2">
      <c r="A928" s="29"/>
      <c r="B928" s="29"/>
      <c r="C928" s="29"/>
      <c r="D928" s="29"/>
    </row>
    <row r="929" spans="1:4" ht="12.75" x14ac:dyDescent="0.2">
      <c r="A929" s="29"/>
      <c r="B929" s="29"/>
      <c r="C929" s="29"/>
      <c r="D929" s="29"/>
    </row>
    <row r="930" spans="1:4" ht="12.75" x14ac:dyDescent="0.2">
      <c r="A930" s="29"/>
      <c r="B930" s="29"/>
      <c r="C930" s="29"/>
      <c r="D930" s="29"/>
    </row>
    <row r="931" spans="1:4" ht="12.75" x14ac:dyDescent="0.2">
      <c r="A931" s="29"/>
      <c r="B931" s="29"/>
      <c r="C931" s="29"/>
      <c r="D931" s="29"/>
    </row>
    <row r="932" spans="1:4" ht="12.75" x14ac:dyDescent="0.2">
      <c r="A932" s="29"/>
      <c r="B932" s="29"/>
      <c r="C932" s="29"/>
      <c r="D932" s="29"/>
    </row>
    <row r="933" spans="1:4" ht="12.75" x14ac:dyDescent="0.2">
      <c r="A933" s="29"/>
      <c r="B933" s="29"/>
      <c r="C933" s="29"/>
      <c r="D933" s="29"/>
    </row>
    <row r="934" spans="1:4" ht="12.75" x14ac:dyDescent="0.2">
      <c r="A934" s="29"/>
      <c r="B934" s="29"/>
      <c r="C934" s="29"/>
      <c r="D934" s="29"/>
    </row>
    <row r="935" spans="1:4" ht="12.75" x14ac:dyDescent="0.2">
      <c r="A935" s="29"/>
      <c r="B935" s="29"/>
      <c r="C935" s="29"/>
      <c r="D935" s="29"/>
    </row>
    <row r="936" spans="1:4" ht="12.75" x14ac:dyDescent="0.2">
      <c r="A936" s="29"/>
      <c r="B936" s="29"/>
      <c r="C936" s="29"/>
      <c r="D936" s="29"/>
    </row>
    <row r="937" spans="1:4" ht="12.75" x14ac:dyDescent="0.2">
      <c r="A937" s="29"/>
      <c r="B937" s="29"/>
      <c r="C937" s="29"/>
      <c r="D937" s="29"/>
    </row>
    <row r="938" spans="1:4" ht="12.75" x14ac:dyDescent="0.2">
      <c r="A938" s="29"/>
      <c r="B938" s="29"/>
      <c r="C938" s="29"/>
      <c r="D938" s="29"/>
    </row>
    <row r="939" spans="1:4" ht="12.75" x14ac:dyDescent="0.2">
      <c r="A939" s="29"/>
      <c r="B939" s="29"/>
      <c r="C939" s="29"/>
      <c r="D939" s="29"/>
    </row>
    <row r="940" spans="1:4" ht="12.75" x14ac:dyDescent="0.2">
      <c r="A940" s="29"/>
      <c r="B940" s="29"/>
      <c r="C940" s="29"/>
      <c r="D940" s="29"/>
    </row>
    <row r="941" spans="1:4" ht="12.75" x14ac:dyDescent="0.2">
      <c r="A941" s="29"/>
      <c r="B941" s="29"/>
      <c r="C941" s="29"/>
      <c r="D941" s="29"/>
    </row>
    <row r="942" spans="1:4" ht="12.75" x14ac:dyDescent="0.2">
      <c r="A942" s="29"/>
      <c r="B942" s="29"/>
      <c r="C942" s="29"/>
      <c r="D942" s="29"/>
    </row>
    <row r="943" spans="1:4" ht="12.75" x14ac:dyDescent="0.2">
      <c r="A943" s="29"/>
      <c r="B943" s="29"/>
      <c r="C943" s="29"/>
      <c r="D943" s="29"/>
    </row>
    <row r="944" spans="1:4" ht="12.75" x14ac:dyDescent="0.2">
      <c r="A944" s="29"/>
      <c r="B944" s="29"/>
      <c r="C944" s="29"/>
      <c r="D944" s="29"/>
    </row>
    <row r="945" spans="1:4" ht="12.75" x14ac:dyDescent="0.2">
      <c r="A945" s="29"/>
      <c r="B945" s="29"/>
      <c r="C945" s="29"/>
      <c r="D945" s="29"/>
    </row>
    <row r="946" spans="1:4" ht="12.75" x14ac:dyDescent="0.2">
      <c r="A946" s="29"/>
      <c r="B946" s="29"/>
      <c r="C946" s="29"/>
      <c r="D946" s="29"/>
    </row>
    <row r="947" spans="1:4" ht="12.75" x14ac:dyDescent="0.2">
      <c r="A947" s="29"/>
      <c r="B947" s="29"/>
      <c r="C947" s="29"/>
      <c r="D947" s="29"/>
    </row>
    <row r="948" spans="1:4" ht="12.75" x14ac:dyDescent="0.2">
      <c r="A948" s="29"/>
      <c r="B948" s="29"/>
      <c r="C948" s="29"/>
      <c r="D948" s="29"/>
    </row>
    <row r="949" spans="1:4" ht="12.75" x14ac:dyDescent="0.2">
      <c r="A949" s="29"/>
      <c r="B949" s="29"/>
      <c r="C949" s="29"/>
      <c r="D949" s="29"/>
    </row>
    <row r="950" spans="1:4" ht="12.75" x14ac:dyDescent="0.2">
      <c r="A950" s="29"/>
      <c r="B950" s="29"/>
      <c r="C950" s="29"/>
      <c r="D950" s="29"/>
    </row>
    <row r="951" spans="1:4" ht="12.75" x14ac:dyDescent="0.2">
      <c r="A951" s="29"/>
      <c r="B951" s="29"/>
      <c r="C951" s="29"/>
      <c r="D951" s="29"/>
    </row>
    <row r="952" spans="1:4" ht="12.75" x14ac:dyDescent="0.2">
      <c r="A952" s="29"/>
      <c r="B952" s="29"/>
      <c r="C952" s="29"/>
      <c r="D952" s="29"/>
    </row>
    <row r="953" spans="1:4" ht="12.75" x14ac:dyDescent="0.2">
      <c r="A953" s="29"/>
      <c r="B953" s="29"/>
      <c r="C953" s="29"/>
      <c r="D953" s="29"/>
    </row>
    <row r="954" spans="1:4" ht="12.75" x14ac:dyDescent="0.2">
      <c r="A954" s="29"/>
      <c r="B954" s="29"/>
      <c r="C954" s="29"/>
      <c r="D954" s="29"/>
    </row>
    <row r="955" spans="1:4" ht="12.75" x14ac:dyDescent="0.2">
      <c r="A955" s="29"/>
      <c r="B955" s="29"/>
      <c r="C955" s="29"/>
      <c r="D955" s="29"/>
    </row>
    <row r="956" spans="1:4" ht="12.75" x14ac:dyDescent="0.2">
      <c r="A956" s="29"/>
      <c r="B956" s="29"/>
      <c r="C956" s="29"/>
      <c r="D956" s="29"/>
    </row>
    <row r="957" spans="1:4" ht="12.75" x14ac:dyDescent="0.2">
      <c r="A957" s="29"/>
      <c r="B957" s="29"/>
      <c r="C957" s="29"/>
      <c r="D957" s="29"/>
    </row>
    <row r="958" spans="1:4" ht="12.75" x14ac:dyDescent="0.2">
      <c r="A958" s="29"/>
      <c r="B958" s="29"/>
      <c r="C958" s="29"/>
      <c r="D958" s="29"/>
    </row>
    <row r="959" spans="1:4" ht="12.75" x14ac:dyDescent="0.2">
      <c r="A959" s="29"/>
      <c r="B959" s="29"/>
      <c r="C959" s="29"/>
      <c r="D959" s="29"/>
    </row>
    <row r="960" spans="1:4" ht="12.75" x14ac:dyDescent="0.2">
      <c r="A960" s="29"/>
      <c r="B960" s="29"/>
      <c r="C960" s="29"/>
      <c r="D960" s="29"/>
    </row>
    <row r="961" spans="1:4" ht="12.75" x14ac:dyDescent="0.2">
      <c r="A961" s="29"/>
      <c r="B961" s="29"/>
      <c r="C961" s="29"/>
      <c r="D961" s="29"/>
    </row>
    <row r="962" spans="1:4" ht="12.75" x14ac:dyDescent="0.2">
      <c r="A962" s="29"/>
      <c r="B962" s="29"/>
      <c r="C962" s="29"/>
      <c r="D962" s="29"/>
    </row>
    <row r="963" spans="1:4" ht="12.75" x14ac:dyDescent="0.2">
      <c r="A963" s="29"/>
      <c r="B963" s="29"/>
      <c r="C963" s="29"/>
      <c r="D963" s="29"/>
    </row>
    <row r="964" spans="1:4" ht="12.75" x14ac:dyDescent="0.2">
      <c r="A964" s="29"/>
      <c r="B964" s="29"/>
      <c r="C964" s="29"/>
      <c r="D964" s="29"/>
    </row>
    <row r="965" spans="1:4" ht="12.75" x14ac:dyDescent="0.2">
      <c r="A965" s="29"/>
      <c r="B965" s="29"/>
      <c r="C965" s="29"/>
      <c r="D965" s="29"/>
    </row>
    <row r="966" spans="1:4" ht="12.75" x14ac:dyDescent="0.2">
      <c r="A966" s="29"/>
      <c r="B966" s="29"/>
      <c r="C966" s="29"/>
      <c r="D966" s="29"/>
    </row>
    <row r="967" spans="1:4" ht="12.75" x14ac:dyDescent="0.2">
      <c r="A967" s="29"/>
      <c r="B967" s="29"/>
      <c r="C967" s="29"/>
      <c r="D967" s="29"/>
    </row>
    <row r="968" spans="1:4" ht="12.75" x14ac:dyDescent="0.2">
      <c r="A968" s="29"/>
      <c r="B968" s="29"/>
      <c r="C968" s="29"/>
      <c r="D968" s="29"/>
    </row>
    <row r="969" spans="1:4" ht="12.75" x14ac:dyDescent="0.2">
      <c r="A969" s="29"/>
      <c r="B969" s="29"/>
      <c r="C969" s="29"/>
      <c r="D969" s="29"/>
    </row>
    <row r="970" spans="1:4" ht="12.75" x14ac:dyDescent="0.2">
      <c r="A970" s="29"/>
      <c r="B970" s="29"/>
      <c r="C970" s="29"/>
      <c r="D970" s="29"/>
    </row>
    <row r="971" spans="1:4" ht="12.75" x14ac:dyDescent="0.2">
      <c r="A971" s="29"/>
      <c r="B971" s="29"/>
      <c r="C971" s="29"/>
      <c r="D971" s="29"/>
    </row>
    <row r="972" spans="1:4" ht="12.75" x14ac:dyDescent="0.2">
      <c r="A972" s="29"/>
      <c r="B972" s="29"/>
      <c r="C972" s="29"/>
      <c r="D972" s="29"/>
    </row>
    <row r="973" spans="1:4" ht="12.75" x14ac:dyDescent="0.2">
      <c r="A973" s="29"/>
      <c r="B973" s="29"/>
      <c r="C973" s="29"/>
      <c r="D973" s="29"/>
    </row>
    <row r="974" spans="1:4" ht="12.75" x14ac:dyDescent="0.2">
      <c r="A974" s="29"/>
      <c r="B974" s="29"/>
      <c r="C974" s="29"/>
      <c r="D974" s="29"/>
    </row>
    <row r="975" spans="1:4" ht="12.75" x14ac:dyDescent="0.2">
      <c r="A975" s="29"/>
      <c r="B975" s="29"/>
      <c r="C975" s="29"/>
      <c r="D975" s="29"/>
    </row>
    <row r="976" spans="1:4" ht="12.75" x14ac:dyDescent="0.2">
      <c r="A976" s="29"/>
      <c r="B976" s="29"/>
      <c r="C976" s="29"/>
      <c r="D976" s="29"/>
    </row>
    <row r="977" spans="1:4" ht="12.75" x14ac:dyDescent="0.2">
      <c r="A977" s="29"/>
      <c r="B977" s="29"/>
      <c r="C977" s="29"/>
      <c r="D977" s="29"/>
    </row>
    <row r="978" spans="1:4" ht="12.75" x14ac:dyDescent="0.2">
      <c r="A978" s="29"/>
      <c r="B978" s="29"/>
      <c r="C978" s="29"/>
      <c r="D978" s="29"/>
    </row>
    <row r="979" spans="1:4" ht="12.75" x14ac:dyDescent="0.2">
      <c r="A979" s="29"/>
      <c r="B979" s="29"/>
      <c r="C979" s="29"/>
      <c r="D979" s="29"/>
    </row>
    <row r="980" spans="1:4" ht="12.75" x14ac:dyDescent="0.2">
      <c r="A980" s="29"/>
      <c r="B980" s="29"/>
      <c r="C980" s="29"/>
      <c r="D980" s="29"/>
    </row>
    <row r="981" spans="1:4" ht="12.75" x14ac:dyDescent="0.2">
      <c r="A981" s="29"/>
      <c r="B981" s="29"/>
      <c r="C981" s="29"/>
      <c r="D981" s="29"/>
    </row>
    <row r="982" spans="1:4" ht="12.75" x14ac:dyDescent="0.2">
      <c r="A982" s="29"/>
      <c r="B982" s="29"/>
      <c r="C982" s="29"/>
      <c r="D982" s="29"/>
    </row>
    <row r="983" spans="1:4" ht="12.75" x14ac:dyDescent="0.2">
      <c r="A983" s="29"/>
      <c r="B983" s="29"/>
      <c r="C983" s="29"/>
      <c r="D983" s="29"/>
    </row>
    <row r="984" spans="1:4" ht="12.75" x14ac:dyDescent="0.2">
      <c r="A984" s="29"/>
      <c r="B984" s="29"/>
      <c r="C984" s="29"/>
      <c r="D984" s="29"/>
    </row>
    <row r="985" spans="1:4" ht="12.75" x14ac:dyDescent="0.2">
      <c r="A985" s="29"/>
      <c r="B985" s="29"/>
      <c r="C985" s="29"/>
      <c r="D985" s="29"/>
    </row>
    <row r="986" spans="1:4" ht="12.75" x14ac:dyDescent="0.2">
      <c r="A986" s="29"/>
      <c r="B986" s="29"/>
      <c r="C986" s="29"/>
      <c r="D986" s="29"/>
    </row>
    <row r="987" spans="1:4" ht="12.75" x14ac:dyDescent="0.2">
      <c r="A987" s="29"/>
      <c r="B987" s="29"/>
      <c r="C987" s="29"/>
      <c r="D987" s="29"/>
    </row>
    <row r="988" spans="1:4" ht="12.75" x14ac:dyDescent="0.2">
      <c r="A988" s="29"/>
      <c r="B988" s="29"/>
      <c r="C988" s="29"/>
      <c r="D988" s="29"/>
    </row>
    <row r="989" spans="1:4" ht="12.75" x14ac:dyDescent="0.2">
      <c r="A989" s="29"/>
      <c r="B989" s="29"/>
      <c r="C989" s="29"/>
      <c r="D989" s="29"/>
    </row>
    <row r="990" spans="1:4" ht="12.75" x14ac:dyDescent="0.2">
      <c r="A990" s="29"/>
      <c r="B990" s="29"/>
      <c r="C990" s="29"/>
      <c r="D990" s="29"/>
    </row>
    <row r="991" spans="1:4" ht="12.75" x14ac:dyDescent="0.2">
      <c r="A991" s="29"/>
      <c r="B991" s="29"/>
      <c r="C991" s="29"/>
      <c r="D991" s="29"/>
    </row>
    <row r="992" spans="1:4" ht="12.75" x14ac:dyDescent="0.2">
      <c r="A992" s="29"/>
      <c r="B992" s="29"/>
      <c r="C992" s="29"/>
      <c r="D992" s="29"/>
    </row>
    <row r="993" spans="1:4" ht="12.75" x14ac:dyDescent="0.2">
      <c r="A993" s="29"/>
      <c r="B993" s="29"/>
      <c r="C993" s="29"/>
      <c r="D993" s="29"/>
    </row>
    <row r="994" spans="1:4" ht="12.75" x14ac:dyDescent="0.2">
      <c r="A994" s="29"/>
      <c r="B994" s="29"/>
      <c r="C994" s="29"/>
      <c r="D994" s="29"/>
    </row>
    <row r="995" spans="1:4" ht="12.75" x14ac:dyDescent="0.2">
      <c r="A995" s="29"/>
      <c r="B995" s="29"/>
      <c r="C995" s="29"/>
      <c r="D995" s="29"/>
    </row>
    <row r="996" spans="1:4" ht="12.75" x14ac:dyDescent="0.2">
      <c r="A996" s="29"/>
      <c r="B996" s="29"/>
      <c r="C996" s="29"/>
      <c r="D996" s="29"/>
    </row>
    <row r="997" spans="1:4" ht="12.75" x14ac:dyDescent="0.2">
      <c r="A997" s="29"/>
      <c r="B997" s="29"/>
      <c r="C997" s="29"/>
      <c r="D997" s="29"/>
    </row>
    <row r="998" spans="1:4" ht="12.75" x14ac:dyDescent="0.2">
      <c r="A998" s="29"/>
      <c r="B998" s="29"/>
      <c r="C998" s="29"/>
      <c r="D998" s="29"/>
    </row>
    <row r="999" spans="1:4" ht="12.75" x14ac:dyDescent="0.2">
      <c r="A999" s="29"/>
      <c r="B999" s="29"/>
      <c r="C999" s="29"/>
      <c r="D999" s="29"/>
    </row>
    <row r="1000" spans="1:4" ht="12.75" x14ac:dyDescent="0.2">
      <c r="A1000" s="29"/>
      <c r="B1000" s="29"/>
      <c r="C1000" s="29"/>
      <c r="D1000"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Algorithm</vt:lpstr>
      <vt:lpstr>User data</vt:lpstr>
      <vt:lpstr>Preference</vt:lpstr>
      <vt:lpstr>correlation</vt:lpstr>
      <vt:lpstr>corr_components</vt:lpstr>
      <vt:lpstr>Cuision</vt:lpstr>
      <vt:lpstr>Countries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Lei</dc:creator>
  <cp:lastModifiedBy>Zhang, Lei</cp:lastModifiedBy>
  <dcterms:created xsi:type="dcterms:W3CDTF">2015-01-08T21:28:09Z</dcterms:created>
  <dcterms:modified xsi:type="dcterms:W3CDTF">2015-01-09T18:16:17Z</dcterms:modified>
</cp:coreProperties>
</file>